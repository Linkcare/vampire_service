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2"/>
  <workbookPr/>
  <mc:AlternateContent xmlns:mc="http://schemas.openxmlformats.org/markup-compatibility/2006">
    <mc:Choice Requires="x15">
      <x15ac:absPath xmlns:x15ac="http://schemas.microsoft.com/office/spreadsheetml/2010/11/ac" url="/Users/slpedro/Desarrollo/PHP/vampire_service/retrospective/"/>
    </mc:Choice>
  </mc:AlternateContent>
  <xr:revisionPtr revIDLastSave="0" documentId="13_ncr:1_{D4E3C420-3F07-E64C-A3D2-64DBAE444EFB}" xr6:coauthVersionLast="47" xr6:coauthVersionMax="47" xr10:uidLastSave="{00000000-0000-0000-0000-000000000000}"/>
  <bookViews>
    <workbookView xWindow="-3420" yWindow="-21000" windowWidth="36020" windowHeight="21000" firstSheet="2" activeTab="4" xr2:uid="{00000000-000D-0000-FFFF-FFFF00000000}"/>
  </bookViews>
  <sheets>
    <sheet name="CIRS" sheetId="6" r:id="rId1"/>
    <sheet name="FALLS EFFICACY SCALE (FES)" sheetId="9" r:id="rId2"/>
    <sheet name="BARTHEL INDEX OF ADL (BI)" sheetId="8" r:id="rId3"/>
    <sheet name="Berg balance test" sheetId="10" r:id="rId4"/>
    <sheet name="MDS-UPDRS-1" sheetId="36" r:id="rId5"/>
    <sheet name="MDS-UPDRS-2" sheetId="38" r:id="rId6"/>
    <sheet name="MDS-UPDRS-3" sheetId="39" r:id="rId7"/>
    <sheet name="MDS-UPDRS-4" sheetId="40" r:id="rId8"/>
    <sheet name="EURO QoL 5D" sheetId="4" r:id="rId9"/>
    <sheet name="Pittsburg Sleep Quality Index" sheetId="34" r:id="rId10"/>
    <sheet name="State Trai Anxiety Inventory" sheetId="35" r:id="rId11"/>
    <sheet name="ITEM_CODES" sheetId="37" r:id="rId12"/>
    <sheet name="Legend" sheetId="33" r:id="rId13"/>
  </sheets>
  <definedNames>
    <definedName name="_xlnm._FilterDatabase" localSheetId="8" hidden="1">'EURO QoL 5D'!$A$1:$A$196</definedName>
    <definedName name="_xlnm._FilterDatabase" localSheetId="1" hidden="1">'FALLS EFFICACY SCALE (FES)'!$A$1:$R$184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6" l="1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2" i="36"/>
  <c r="K23" i="36"/>
  <c r="K24" i="36"/>
  <c r="K25" i="36"/>
  <c r="K26" i="36"/>
  <c r="K27" i="36"/>
  <c r="K28" i="36"/>
  <c r="K29" i="36"/>
  <c r="K30" i="36"/>
  <c r="K31" i="36"/>
  <c r="K32" i="36"/>
  <c r="K33" i="36"/>
  <c r="K34" i="36"/>
  <c r="K3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K56" i="36"/>
  <c r="K57" i="36"/>
  <c r="K58" i="36"/>
  <c r="K59" i="36"/>
  <c r="K60" i="36"/>
  <c r="K61" i="36"/>
  <c r="K62" i="36"/>
  <c r="K63" i="36"/>
  <c r="K64" i="36"/>
  <c r="K65" i="36"/>
  <c r="K66" i="36"/>
  <c r="K67" i="36"/>
  <c r="K68" i="36"/>
  <c r="K69" i="36"/>
  <c r="K70" i="36"/>
  <c r="K71" i="36"/>
  <c r="K72" i="36"/>
  <c r="K73" i="36"/>
  <c r="K74" i="36"/>
  <c r="K75" i="36"/>
  <c r="K76" i="36"/>
  <c r="K77" i="36"/>
  <c r="K78" i="36"/>
  <c r="K79" i="36"/>
  <c r="K80" i="36"/>
  <c r="K81" i="36"/>
  <c r="K82" i="36"/>
  <c r="K83" i="36"/>
  <c r="K84" i="36"/>
  <c r="K85" i="36"/>
  <c r="K86" i="36"/>
  <c r="K87" i="36"/>
  <c r="K88" i="36"/>
  <c r="K89" i="36"/>
  <c r="K90" i="36"/>
  <c r="K91" i="36"/>
  <c r="K92" i="36"/>
  <c r="K93" i="36"/>
  <c r="K94" i="36"/>
  <c r="K95" i="36"/>
  <c r="K96" i="36"/>
  <c r="K97" i="36"/>
  <c r="K98" i="36"/>
  <c r="K99" i="36"/>
  <c r="K100" i="36"/>
  <c r="K101" i="36"/>
  <c r="K102" i="36"/>
  <c r="K103" i="36"/>
  <c r="K104" i="36"/>
  <c r="K105" i="36"/>
  <c r="K106" i="36"/>
  <c r="K107" i="36"/>
  <c r="K108" i="36"/>
  <c r="K109" i="36"/>
  <c r="K110" i="36"/>
  <c r="K111" i="36"/>
  <c r="K112" i="36"/>
  <c r="K113" i="36"/>
  <c r="K114" i="36"/>
  <c r="K115" i="36"/>
  <c r="K116" i="36"/>
  <c r="K117" i="36"/>
  <c r="K118" i="36"/>
  <c r="K119" i="36"/>
  <c r="K120" i="36"/>
  <c r="K121" i="36"/>
  <c r="K122" i="36"/>
  <c r="K123" i="36"/>
  <c r="K124" i="36"/>
  <c r="K125" i="36"/>
  <c r="K126" i="36"/>
  <c r="K127" i="36"/>
  <c r="K128" i="36"/>
  <c r="K129" i="36"/>
  <c r="K130" i="36"/>
  <c r="K131" i="36"/>
  <c r="K132" i="36"/>
  <c r="K133" i="36"/>
  <c r="K134" i="36"/>
  <c r="K135" i="36"/>
  <c r="K136" i="36"/>
  <c r="K137" i="36"/>
  <c r="K138" i="36"/>
  <c r="K139" i="36"/>
  <c r="K140" i="36"/>
  <c r="K141" i="36"/>
  <c r="K142" i="36"/>
  <c r="K143" i="36"/>
  <c r="K144" i="36"/>
  <c r="K145" i="36"/>
  <c r="K146" i="36"/>
  <c r="K147" i="36"/>
  <c r="K148" i="36"/>
  <c r="K149" i="36"/>
  <c r="K150" i="36"/>
  <c r="K151" i="36"/>
  <c r="K152" i="36"/>
  <c r="K153" i="36"/>
  <c r="K154" i="36"/>
  <c r="K155" i="36"/>
  <c r="K156" i="36"/>
  <c r="K157" i="36"/>
  <c r="K158" i="36"/>
  <c r="K159" i="36"/>
  <c r="K160" i="36"/>
  <c r="K161" i="36"/>
  <c r="K162" i="36"/>
  <c r="K163" i="36"/>
  <c r="K164" i="36"/>
  <c r="K165" i="36"/>
  <c r="K166" i="36"/>
  <c r="K167" i="36"/>
  <c r="K168" i="36"/>
  <c r="K169" i="36"/>
  <c r="K170" i="36"/>
  <c r="K171" i="36"/>
  <c r="K3" i="36"/>
  <c r="K2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134" i="36"/>
  <c r="C135" i="36"/>
  <c r="C136" i="36"/>
  <c r="C137" i="36"/>
  <c r="C138" i="36"/>
  <c r="C139" i="36"/>
  <c r="C140" i="36"/>
  <c r="C141" i="36"/>
  <c r="C142" i="36"/>
  <c r="C143" i="36"/>
  <c r="C144" i="36"/>
  <c r="C145" i="36"/>
  <c r="C146" i="36"/>
  <c r="C147" i="36"/>
  <c r="C148" i="36"/>
  <c r="C149" i="36"/>
  <c r="C150" i="36"/>
  <c r="C151" i="36"/>
  <c r="C152" i="36"/>
  <c r="C153" i="36"/>
  <c r="C154" i="36"/>
  <c r="C155" i="36"/>
  <c r="C156" i="36"/>
  <c r="C157" i="36"/>
  <c r="C158" i="36"/>
  <c r="C159" i="36"/>
  <c r="C160" i="36"/>
  <c r="C161" i="36"/>
  <c r="C162" i="36"/>
  <c r="C163" i="36"/>
  <c r="C164" i="36"/>
  <c r="C165" i="36"/>
  <c r="C166" i="36"/>
  <c r="C167" i="36"/>
  <c r="C168" i="36"/>
  <c r="C169" i="36"/>
  <c r="C170" i="36"/>
  <c r="C171" i="36"/>
  <c r="C3" i="36"/>
  <c r="C2" i="36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3" i="34"/>
  <c r="AA2" i="34"/>
  <c r="V7" i="34"/>
  <c r="V8" i="34"/>
  <c r="V9" i="34"/>
  <c r="V12" i="34"/>
  <c r="V13" i="34"/>
  <c r="V14" i="34"/>
  <c r="V15" i="34"/>
  <c r="V20" i="34"/>
  <c r="V21" i="34"/>
  <c r="V24" i="34"/>
  <c r="V25" i="34"/>
  <c r="V26" i="34"/>
  <c r="V27" i="34"/>
  <c r="V32" i="34"/>
  <c r="V33" i="34"/>
  <c r="V36" i="34"/>
  <c r="V37" i="34"/>
  <c r="V38" i="34"/>
  <c r="V39" i="34"/>
  <c r="V44" i="34"/>
  <c r="V45" i="34"/>
  <c r="V48" i="34"/>
  <c r="V49" i="34"/>
  <c r="V50" i="34"/>
  <c r="V51" i="34"/>
  <c r="V56" i="34"/>
  <c r="V57" i="34"/>
  <c r="V60" i="34"/>
  <c r="V61" i="34"/>
  <c r="V62" i="34"/>
  <c r="V63" i="34"/>
  <c r="V68" i="34"/>
  <c r="V69" i="34"/>
  <c r="V72" i="34"/>
  <c r="V73" i="34"/>
  <c r="V74" i="34"/>
  <c r="V75" i="34"/>
  <c r="V80" i="34"/>
  <c r="V81" i="34"/>
  <c r="V84" i="34"/>
  <c r="V85" i="34"/>
  <c r="V86" i="34"/>
  <c r="V87" i="34"/>
  <c r="V92" i="34"/>
  <c r="V93" i="34"/>
  <c r="V96" i="34"/>
  <c r="V97" i="34"/>
  <c r="V98" i="34"/>
  <c r="V99" i="34"/>
  <c r="V104" i="34"/>
  <c r="V105" i="34"/>
  <c r="V108" i="34"/>
  <c r="V109" i="34"/>
  <c r="V110" i="34"/>
  <c r="V111" i="34"/>
  <c r="V116" i="34"/>
  <c r="V117" i="34"/>
  <c r="V120" i="34"/>
  <c r="V121" i="34"/>
  <c r="V122" i="34"/>
  <c r="V123" i="34"/>
  <c r="V128" i="34"/>
  <c r="V129" i="34"/>
  <c r="V132" i="34"/>
  <c r="V133" i="34"/>
  <c r="V134" i="34"/>
  <c r="V135" i="34"/>
  <c r="V140" i="34"/>
  <c r="V141" i="34"/>
  <c r="V144" i="34"/>
  <c r="V145" i="34"/>
  <c r="V146" i="34"/>
  <c r="V147" i="34"/>
  <c r="V152" i="34"/>
  <c r="V153" i="34"/>
  <c r="V156" i="34"/>
  <c r="V157" i="34"/>
  <c r="V158" i="34"/>
  <c r="V159" i="34"/>
  <c r="V164" i="34"/>
  <c r="V165" i="34"/>
  <c r="V168" i="34"/>
  <c r="V169" i="34"/>
  <c r="V170" i="34"/>
  <c r="V171" i="34"/>
  <c r="V176" i="34"/>
  <c r="V177" i="34"/>
  <c r="V180" i="34"/>
  <c r="V181" i="34"/>
  <c r="V182" i="34"/>
  <c r="V183" i="34"/>
  <c r="V188" i="34"/>
  <c r="V189" i="34"/>
  <c r="U4" i="34"/>
  <c r="V4" i="34" s="1"/>
  <c r="U5" i="34"/>
  <c r="V5" i="34" s="1"/>
  <c r="U6" i="34"/>
  <c r="V6" i="34" s="1"/>
  <c r="U7" i="34"/>
  <c r="U8" i="34"/>
  <c r="U9" i="34"/>
  <c r="U10" i="34"/>
  <c r="V10" i="34" s="1"/>
  <c r="U11" i="34"/>
  <c r="V11" i="34" s="1"/>
  <c r="U12" i="34"/>
  <c r="U13" i="34"/>
  <c r="U14" i="34"/>
  <c r="U15" i="34"/>
  <c r="U16" i="34"/>
  <c r="V16" i="34" s="1"/>
  <c r="U17" i="34"/>
  <c r="V17" i="34" s="1"/>
  <c r="U18" i="34"/>
  <c r="V18" i="34" s="1"/>
  <c r="U19" i="34"/>
  <c r="V19" i="34" s="1"/>
  <c r="U20" i="34"/>
  <c r="U21" i="34"/>
  <c r="U22" i="34"/>
  <c r="V22" i="34" s="1"/>
  <c r="U23" i="34"/>
  <c r="V23" i="34" s="1"/>
  <c r="U24" i="34"/>
  <c r="U25" i="34"/>
  <c r="U26" i="34"/>
  <c r="U27" i="34"/>
  <c r="U28" i="34"/>
  <c r="V28" i="34" s="1"/>
  <c r="U29" i="34"/>
  <c r="V29" i="34" s="1"/>
  <c r="U30" i="34"/>
  <c r="V30" i="34" s="1"/>
  <c r="U31" i="34"/>
  <c r="V31" i="34" s="1"/>
  <c r="U32" i="34"/>
  <c r="U33" i="34"/>
  <c r="U34" i="34"/>
  <c r="V34" i="34" s="1"/>
  <c r="U35" i="34"/>
  <c r="V35" i="34" s="1"/>
  <c r="U36" i="34"/>
  <c r="U37" i="34"/>
  <c r="U38" i="34"/>
  <c r="U39" i="34"/>
  <c r="U40" i="34"/>
  <c r="V40" i="34" s="1"/>
  <c r="U41" i="34"/>
  <c r="V41" i="34" s="1"/>
  <c r="U42" i="34"/>
  <c r="V42" i="34" s="1"/>
  <c r="U43" i="34"/>
  <c r="V43" i="34" s="1"/>
  <c r="U44" i="34"/>
  <c r="U45" i="34"/>
  <c r="U46" i="34"/>
  <c r="V46" i="34" s="1"/>
  <c r="U47" i="34"/>
  <c r="V47" i="34" s="1"/>
  <c r="U48" i="34"/>
  <c r="U49" i="34"/>
  <c r="U50" i="34"/>
  <c r="U51" i="34"/>
  <c r="U52" i="34"/>
  <c r="V52" i="34" s="1"/>
  <c r="U53" i="34"/>
  <c r="V53" i="34" s="1"/>
  <c r="U54" i="34"/>
  <c r="V54" i="34" s="1"/>
  <c r="U55" i="34"/>
  <c r="V55" i="34" s="1"/>
  <c r="U56" i="34"/>
  <c r="U57" i="34"/>
  <c r="U58" i="34"/>
  <c r="V58" i="34" s="1"/>
  <c r="U59" i="34"/>
  <c r="V59" i="34" s="1"/>
  <c r="U60" i="34"/>
  <c r="U61" i="34"/>
  <c r="U62" i="34"/>
  <c r="U63" i="34"/>
  <c r="U64" i="34"/>
  <c r="V64" i="34" s="1"/>
  <c r="U65" i="34"/>
  <c r="V65" i="34" s="1"/>
  <c r="U66" i="34"/>
  <c r="V66" i="34" s="1"/>
  <c r="U67" i="34"/>
  <c r="V67" i="34" s="1"/>
  <c r="U68" i="34"/>
  <c r="U69" i="34"/>
  <c r="U70" i="34"/>
  <c r="V70" i="34" s="1"/>
  <c r="U71" i="34"/>
  <c r="V71" i="34" s="1"/>
  <c r="U72" i="34"/>
  <c r="U73" i="34"/>
  <c r="U74" i="34"/>
  <c r="U75" i="34"/>
  <c r="U76" i="34"/>
  <c r="V76" i="34" s="1"/>
  <c r="U77" i="34"/>
  <c r="V77" i="34" s="1"/>
  <c r="U78" i="34"/>
  <c r="V78" i="34" s="1"/>
  <c r="U79" i="34"/>
  <c r="V79" i="34" s="1"/>
  <c r="U80" i="34"/>
  <c r="U81" i="34"/>
  <c r="U82" i="34"/>
  <c r="V82" i="34" s="1"/>
  <c r="U83" i="34"/>
  <c r="V83" i="34" s="1"/>
  <c r="U84" i="34"/>
  <c r="U85" i="34"/>
  <c r="U86" i="34"/>
  <c r="U87" i="34"/>
  <c r="U88" i="34"/>
  <c r="V88" i="34" s="1"/>
  <c r="U89" i="34"/>
  <c r="V89" i="34" s="1"/>
  <c r="U90" i="34"/>
  <c r="V90" i="34" s="1"/>
  <c r="U91" i="34"/>
  <c r="V91" i="34" s="1"/>
  <c r="U92" i="34"/>
  <c r="U93" i="34"/>
  <c r="U94" i="34"/>
  <c r="V94" i="34" s="1"/>
  <c r="U95" i="34"/>
  <c r="V95" i="34" s="1"/>
  <c r="U96" i="34"/>
  <c r="U97" i="34"/>
  <c r="U98" i="34"/>
  <c r="U99" i="34"/>
  <c r="U100" i="34"/>
  <c r="V100" i="34" s="1"/>
  <c r="U101" i="34"/>
  <c r="V101" i="34" s="1"/>
  <c r="U102" i="34"/>
  <c r="V102" i="34" s="1"/>
  <c r="U103" i="34"/>
  <c r="V103" i="34" s="1"/>
  <c r="U104" i="34"/>
  <c r="U105" i="34"/>
  <c r="U106" i="34"/>
  <c r="V106" i="34" s="1"/>
  <c r="U107" i="34"/>
  <c r="V107" i="34" s="1"/>
  <c r="U108" i="34"/>
  <c r="U109" i="34"/>
  <c r="U110" i="34"/>
  <c r="U111" i="34"/>
  <c r="U112" i="34"/>
  <c r="V112" i="34" s="1"/>
  <c r="U113" i="34"/>
  <c r="V113" i="34" s="1"/>
  <c r="U114" i="34"/>
  <c r="V114" i="34" s="1"/>
  <c r="U115" i="34"/>
  <c r="V115" i="34" s="1"/>
  <c r="U116" i="34"/>
  <c r="U117" i="34"/>
  <c r="U118" i="34"/>
  <c r="V118" i="34" s="1"/>
  <c r="U119" i="34"/>
  <c r="V119" i="34" s="1"/>
  <c r="U120" i="34"/>
  <c r="U121" i="34"/>
  <c r="U122" i="34"/>
  <c r="U123" i="34"/>
  <c r="U124" i="34"/>
  <c r="V124" i="34" s="1"/>
  <c r="U125" i="34"/>
  <c r="V125" i="34" s="1"/>
  <c r="U126" i="34"/>
  <c r="V126" i="34" s="1"/>
  <c r="U127" i="34"/>
  <c r="V127" i="34" s="1"/>
  <c r="U128" i="34"/>
  <c r="U129" i="34"/>
  <c r="U130" i="34"/>
  <c r="V130" i="34" s="1"/>
  <c r="U131" i="34"/>
  <c r="V131" i="34" s="1"/>
  <c r="U132" i="34"/>
  <c r="U133" i="34"/>
  <c r="U134" i="34"/>
  <c r="U135" i="34"/>
  <c r="U136" i="34"/>
  <c r="V136" i="34" s="1"/>
  <c r="U137" i="34"/>
  <c r="V137" i="34" s="1"/>
  <c r="U138" i="34"/>
  <c r="V138" i="34" s="1"/>
  <c r="U139" i="34"/>
  <c r="V139" i="34" s="1"/>
  <c r="U140" i="34"/>
  <c r="U141" i="34"/>
  <c r="U142" i="34"/>
  <c r="V142" i="34" s="1"/>
  <c r="U143" i="34"/>
  <c r="V143" i="34" s="1"/>
  <c r="U144" i="34"/>
  <c r="U145" i="34"/>
  <c r="U146" i="34"/>
  <c r="U147" i="34"/>
  <c r="U148" i="34"/>
  <c r="V148" i="34" s="1"/>
  <c r="U149" i="34"/>
  <c r="V149" i="34" s="1"/>
  <c r="U150" i="34"/>
  <c r="V150" i="34" s="1"/>
  <c r="U151" i="34"/>
  <c r="V151" i="34" s="1"/>
  <c r="U152" i="34"/>
  <c r="U153" i="34"/>
  <c r="U154" i="34"/>
  <c r="V154" i="34" s="1"/>
  <c r="U155" i="34"/>
  <c r="V155" i="34" s="1"/>
  <c r="U156" i="34"/>
  <c r="U157" i="34"/>
  <c r="U158" i="34"/>
  <c r="U159" i="34"/>
  <c r="U160" i="34"/>
  <c r="V160" i="34" s="1"/>
  <c r="U161" i="34"/>
  <c r="V161" i="34" s="1"/>
  <c r="U162" i="34"/>
  <c r="V162" i="34" s="1"/>
  <c r="U163" i="34"/>
  <c r="V163" i="34" s="1"/>
  <c r="U164" i="34"/>
  <c r="U165" i="34"/>
  <c r="U166" i="34"/>
  <c r="V166" i="34" s="1"/>
  <c r="U167" i="34"/>
  <c r="V167" i="34" s="1"/>
  <c r="U168" i="34"/>
  <c r="U169" i="34"/>
  <c r="U170" i="34"/>
  <c r="U171" i="34"/>
  <c r="U172" i="34"/>
  <c r="V172" i="34" s="1"/>
  <c r="U173" i="34"/>
  <c r="V173" i="34" s="1"/>
  <c r="U174" i="34"/>
  <c r="V174" i="34" s="1"/>
  <c r="U175" i="34"/>
  <c r="V175" i="34" s="1"/>
  <c r="U176" i="34"/>
  <c r="U177" i="34"/>
  <c r="U178" i="34"/>
  <c r="V178" i="34" s="1"/>
  <c r="U179" i="34"/>
  <c r="V179" i="34" s="1"/>
  <c r="U180" i="34"/>
  <c r="U181" i="34"/>
  <c r="U182" i="34"/>
  <c r="U183" i="34"/>
  <c r="U184" i="34"/>
  <c r="V184" i="34" s="1"/>
  <c r="U185" i="34"/>
  <c r="V185" i="34" s="1"/>
  <c r="U186" i="34"/>
  <c r="V186" i="34" s="1"/>
  <c r="U187" i="34"/>
  <c r="V187" i="34" s="1"/>
  <c r="U188" i="34"/>
  <c r="U189" i="34"/>
  <c r="U190" i="34"/>
  <c r="V190" i="34" s="1"/>
  <c r="U3" i="34"/>
  <c r="V3" i="34" s="1"/>
  <c r="V2" i="34"/>
  <c r="U2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G64" i="34"/>
  <c r="G65" i="34"/>
  <c r="G66" i="34"/>
  <c r="G67" i="34"/>
  <c r="G68" i="34"/>
  <c r="G69" i="34"/>
  <c r="G70" i="34"/>
  <c r="G71" i="34"/>
  <c r="G72" i="34"/>
  <c r="G73" i="34"/>
  <c r="G74" i="34"/>
  <c r="G75" i="34"/>
  <c r="G76" i="34"/>
  <c r="G77" i="34"/>
  <c r="G78" i="34"/>
  <c r="G79" i="34"/>
  <c r="G80" i="34"/>
  <c r="G81" i="34"/>
  <c r="G82" i="34"/>
  <c r="G83" i="34"/>
  <c r="G84" i="34"/>
  <c r="G85" i="34"/>
  <c r="G86" i="34"/>
  <c r="G87" i="34"/>
  <c r="G88" i="34"/>
  <c r="G89" i="34"/>
  <c r="G90" i="34"/>
  <c r="G91" i="34"/>
  <c r="G92" i="34"/>
  <c r="G93" i="34"/>
  <c r="G94" i="34"/>
  <c r="G95" i="34"/>
  <c r="G96" i="34"/>
  <c r="G97" i="34"/>
  <c r="G98" i="34"/>
  <c r="G99" i="34"/>
  <c r="G100" i="34"/>
  <c r="G101" i="34"/>
  <c r="G102" i="34"/>
  <c r="G103" i="34"/>
  <c r="G104" i="34"/>
  <c r="G105" i="34"/>
  <c r="G106" i="34"/>
  <c r="G107" i="34"/>
  <c r="G108" i="34"/>
  <c r="G109" i="34"/>
  <c r="G110" i="34"/>
  <c r="G111" i="34"/>
  <c r="G112" i="34"/>
  <c r="G113" i="34"/>
  <c r="G114" i="34"/>
  <c r="G115" i="34"/>
  <c r="G116" i="34"/>
  <c r="G117" i="34"/>
  <c r="G118" i="34"/>
  <c r="G119" i="34"/>
  <c r="G120" i="34"/>
  <c r="G121" i="34"/>
  <c r="G122" i="34"/>
  <c r="G123" i="34"/>
  <c r="G124" i="34"/>
  <c r="G125" i="34"/>
  <c r="G126" i="34"/>
  <c r="G127" i="34"/>
  <c r="G128" i="34"/>
  <c r="G129" i="34"/>
  <c r="G130" i="34"/>
  <c r="G131" i="34"/>
  <c r="G132" i="34"/>
  <c r="G133" i="34"/>
  <c r="G134" i="34"/>
  <c r="G135" i="34"/>
  <c r="G136" i="34"/>
  <c r="G137" i="34"/>
  <c r="G138" i="34"/>
  <c r="G139" i="34"/>
  <c r="G140" i="34"/>
  <c r="G141" i="34"/>
  <c r="G142" i="34"/>
  <c r="G143" i="34"/>
  <c r="G144" i="34"/>
  <c r="G145" i="34"/>
  <c r="G146" i="34"/>
  <c r="G147" i="34"/>
  <c r="G148" i="34"/>
  <c r="G149" i="34"/>
  <c r="G150" i="34"/>
  <c r="G151" i="34"/>
  <c r="G152" i="34"/>
  <c r="G153" i="34"/>
  <c r="G154" i="34"/>
  <c r="G155" i="34"/>
  <c r="G156" i="34"/>
  <c r="G157" i="34"/>
  <c r="G158" i="34"/>
  <c r="G159" i="34"/>
  <c r="G160" i="34"/>
  <c r="G161" i="34"/>
  <c r="G162" i="34"/>
  <c r="G163" i="34"/>
  <c r="G164" i="34"/>
  <c r="G165" i="34"/>
  <c r="G166" i="34"/>
  <c r="G167" i="34"/>
  <c r="G168" i="34"/>
  <c r="G169" i="34"/>
  <c r="G170" i="34"/>
  <c r="G171" i="34"/>
  <c r="G172" i="34"/>
  <c r="G173" i="34"/>
  <c r="G174" i="34"/>
  <c r="G175" i="34"/>
  <c r="G176" i="34"/>
  <c r="G177" i="34"/>
  <c r="G178" i="34"/>
  <c r="G179" i="34"/>
  <c r="G180" i="34"/>
  <c r="G181" i="34"/>
  <c r="G182" i="34"/>
  <c r="G183" i="34"/>
  <c r="G184" i="34"/>
  <c r="G185" i="34"/>
  <c r="G186" i="34"/>
  <c r="G187" i="34"/>
  <c r="G188" i="34"/>
  <c r="G189" i="34"/>
  <c r="G190" i="34"/>
  <c r="G3" i="34"/>
  <c r="G2" i="34"/>
  <c r="E184" i="34"/>
  <c r="E182" i="34"/>
  <c r="E181" i="34"/>
  <c r="E180" i="34"/>
  <c r="E179" i="34"/>
  <c r="E174" i="34"/>
  <c r="E169" i="34"/>
  <c r="E168" i="34"/>
  <c r="E167" i="34"/>
  <c r="E161" i="34"/>
  <c r="E156" i="34"/>
  <c r="E155" i="34"/>
  <c r="E148" i="34"/>
  <c r="E143" i="34"/>
  <c r="E131" i="34"/>
  <c r="E127" i="34"/>
  <c r="E126" i="34"/>
  <c r="E125" i="34"/>
  <c r="E124" i="34"/>
  <c r="E122" i="34"/>
  <c r="E121" i="34"/>
  <c r="E120" i="34"/>
  <c r="E119" i="34"/>
  <c r="E115" i="34"/>
  <c r="E114" i="34"/>
  <c r="E113" i="34"/>
  <c r="E112" i="34"/>
  <c r="E109" i="34"/>
  <c r="E108" i="34"/>
  <c r="E107" i="34"/>
  <c r="E103" i="34"/>
  <c r="E102" i="34"/>
  <c r="E101" i="34"/>
  <c r="E100" i="34"/>
  <c r="E97" i="34"/>
  <c r="E96" i="34"/>
  <c r="E95" i="34"/>
  <c r="E90" i="34"/>
  <c r="E89" i="34"/>
  <c r="E88" i="34"/>
  <c r="E85" i="34"/>
  <c r="E84" i="34"/>
  <c r="E83" i="34"/>
  <c r="E77" i="34"/>
  <c r="E76" i="34"/>
  <c r="E73" i="34"/>
  <c r="E72" i="34"/>
  <c r="E71" i="34"/>
  <c r="E64" i="34"/>
  <c r="E62" i="34"/>
  <c r="E61" i="34"/>
  <c r="E60" i="34"/>
  <c r="E50" i="34"/>
  <c r="E49" i="34"/>
  <c r="E48" i="34"/>
  <c r="E47" i="34"/>
  <c r="E43" i="34"/>
  <c r="E38" i="34"/>
  <c r="E37" i="34"/>
  <c r="E36" i="34"/>
  <c r="E35" i="34"/>
  <c r="E30" i="34"/>
  <c r="E25" i="34"/>
  <c r="E24" i="34"/>
  <c r="E23" i="34"/>
  <c r="E17" i="34"/>
  <c r="E12" i="34"/>
  <c r="E11" i="34"/>
  <c r="E4" i="34"/>
  <c r="C2" i="34"/>
  <c r="E186" i="34"/>
  <c r="E185" i="34"/>
  <c r="E59" i="34"/>
  <c r="F2" i="8"/>
  <c r="K2" i="8"/>
  <c r="D2" i="8"/>
  <c r="E190" i="34"/>
  <c r="E189" i="34"/>
  <c r="E188" i="34"/>
  <c r="E187" i="34"/>
  <c r="E183" i="34"/>
  <c r="E178" i="34"/>
  <c r="E177" i="34"/>
  <c r="E176" i="34"/>
  <c r="E175" i="34"/>
  <c r="E173" i="34"/>
  <c r="E172" i="34"/>
  <c r="E171" i="34"/>
  <c r="E170" i="34"/>
  <c r="E166" i="34"/>
  <c r="E165" i="34"/>
  <c r="E164" i="34"/>
  <c r="E163" i="34"/>
  <c r="E162" i="34"/>
  <c r="E160" i="34"/>
  <c r="E159" i="34"/>
  <c r="E158" i="34"/>
  <c r="E157" i="34"/>
  <c r="E154" i="34"/>
  <c r="E153" i="34"/>
  <c r="E152" i="34"/>
  <c r="E151" i="34"/>
  <c r="E150" i="34"/>
  <c r="E149" i="34"/>
  <c r="E147" i="34"/>
  <c r="E146" i="34"/>
  <c r="E145" i="34"/>
  <c r="E144" i="34"/>
  <c r="E142" i="34"/>
  <c r="E141" i="34"/>
  <c r="E140" i="34"/>
  <c r="E139" i="34"/>
  <c r="E138" i="34"/>
  <c r="E137" i="34"/>
  <c r="E136" i="34"/>
  <c r="E135" i="34"/>
  <c r="E134" i="34"/>
  <c r="E133" i="34"/>
  <c r="E132" i="34"/>
  <c r="E130" i="34"/>
  <c r="E129" i="34"/>
  <c r="E128" i="34"/>
  <c r="E123" i="34"/>
  <c r="E118" i="34"/>
  <c r="E117" i="34"/>
  <c r="E116" i="34"/>
  <c r="E111" i="34"/>
  <c r="E110" i="34"/>
  <c r="E106" i="34"/>
  <c r="E105" i="34"/>
  <c r="E104" i="34"/>
  <c r="E99" i="34"/>
  <c r="E98" i="34"/>
  <c r="E94" i="34"/>
  <c r="E93" i="34"/>
  <c r="E92" i="34"/>
  <c r="E91" i="34"/>
  <c r="E87" i="34"/>
  <c r="E86" i="34"/>
  <c r="E82" i="34"/>
  <c r="E81" i="34"/>
  <c r="E80" i="34"/>
  <c r="E79" i="34"/>
  <c r="E78" i="34"/>
  <c r="E75" i="34"/>
  <c r="E74" i="34"/>
  <c r="E70" i="34"/>
  <c r="E69" i="34"/>
  <c r="E68" i="34"/>
  <c r="E67" i="34"/>
  <c r="E66" i="34"/>
  <c r="E65" i="34"/>
  <c r="E63" i="34"/>
  <c r="E58" i="34"/>
  <c r="E57" i="34"/>
  <c r="E56" i="34"/>
  <c r="E55" i="34"/>
  <c r="E54" i="34"/>
  <c r="E53" i="34"/>
  <c r="E52" i="34"/>
  <c r="E51" i="34"/>
  <c r="E46" i="34"/>
  <c r="E45" i="34"/>
  <c r="E44" i="34"/>
  <c r="E42" i="34"/>
  <c r="E41" i="34"/>
  <c r="E40" i="34"/>
  <c r="E39" i="34"/>
  <c r="E34" i="34"/>
  <c r="E33" i="34"/>
  <c r="E32" i="34"/>
  <c r="E31" i="34"/>
  <c r="E29" i="34"/>
  <c r="E28" i="34"/>
  <c r="E27" i="34"/>
  <c r="E26" i="34"/>
  <c r="E22" i="34"/>
  <c r="E21" i="34"/>
  <c r="E20" i="34"/>
  <c r="E19" i="34"/>
  <c r="E18" i="34"/>
  <c r="E16" i="34"/>
  <c r="E15" i="34"/>
  <c r="E14" i="34"/>
  <c r="E13" i="34"/>
  <c r="E10" i="34"/>
  <c r="E9" i="34"/>
  <c r="E8" i="34"/>
  <c r="E7" i="34"/>
  <c r="E6" i="34"/>
  <c r="E5" i="34"/>
  <c r="E3" i="34"/>
  <c r="E2" i="34"/>
  <c r="I2" i="34"/>
  <c r="B2" i="9"/>
  <c r="AO2" i="35" l="1"/>
  <c r="AN2" i="35"/>
  <c r="AM2" i="35"/>
  <c r="AL2" i="35"/>
  <c r="AK2" i="35"/>
  <c r="AJ2" i="35"/>
  <c r="AI2" i="35"/>
  <c r="AH2" i="35"/>
  <c r="AG2" i="35"/>
  <c r="AF2" i="35"/>
  <c r="AE2" i="35"/>
  <c r="AD2" i="35"/>
  <c r="AC2" i="35"/>
  <c r="AB2" i="35"/>
  <c r="AA2" i="35"/>
  <c r="Z2" i="35"/>
  <c r="Y2" i="35"/>
  <c r="X2" i="35"/>
  <c r="W2" i="35"/>
  <c r="V2" i="35"/>
  <c r="U2" i="35"/>
  <c r="T2" i="35"/>
  <c r="S2" i="35"/>
  <c r="R2" i="35"/>
  <c r="Q2" i="35"/>
  <c r="P2" i="35"/>
  <c r="O2" i="35"/>
  <c r="N2" i="35"/>
  <c r="M2" i="35"/>
  <c r="L2" i="35"/>
  <c r="K2" i="35"/>
  <c r="J2" i="35"/>
  <c r="I2" i="35"/>
  <c r="H2" i="35"/>
  <c r="G2" i="35"/>
  <c r="F2" i="35"/>
  <c r="E2" i="35"/>
  <c r="D2" i="35"/>
  <c r="C2" i="35"/>
  <c r="B2" i="35"/>
  <c r="Z2" i="34"/>
  <c r="Y2" i="34"/>
  <c r="X2" i="34"/>
  <c r="W2" i="34"/>
  <c r="R2" i="34"/>
  <c r="Q2" i="34"/>
  <c r="P2" i="34"/>
  <c r="O2" i="34"/>
  <c r="N2" i="34"/>
  <c r="M2" i="34"/>
  <c r="L2" i="34"/>
  <c r="K2" i="34"/>
  <c r="J2" i="34"/>
  <c r="H2" i="34"/>
  <c r="G2" i="4"/>
  <c r="F2" i="4"/>
  <c r="E2" i="4"/>
  <c r="D2" i="4"/>
  <c r="C2" i="4"/>
  <c r="B2" i="4"/>
  <c r="G2" i="40"/>
  <c r="F2" i="40"/>
  <c r="E2" i="40"/>
  <c r="D2" i="40"/>
  <c r="C2" i="40"/>
  <c r="B2" i="40"/>
  <c r="AN2" i="39"/>
  <c r="AL2" i="39"/>
  <c r="AK2" i="39"/>
  <c r="AJ2" i="39"/>
  <c r="AI2" i="39"/>
  <c r="AH2" i="39"/>
  <c r="AG2" i="39"/>
  <c r="AF2" i="39"/>
  <c r="AE2" i="39"/>
  <c r="AD2" i="39"/>
  <c r="AC2" i="39"/>
  <c r="AB2" i="39"/>
  <c r="AA2" i="39"/>
  <c r="Z2" i="39"/>
  <c r="Y2" i="39"/>
  <c r="X2" i="39"/>
  <c r="W2" i="39"/>
  <c r="V2" i="39"/>
  <c r="U2" i="39"/>
  <c r="T2" i="39"/>
  <c r="S2" i="39"/>
  <c r="R2" i="39"/>
  <c r="Q2" i="39"/>
  <c r="P2" i="39"/>
  <c r="O2" i="39"/>
  <c r="N2" i="39"/>
  <c r="M2" i="39"/>
  <c r="L2" i="39"/>
  <c r="K2" i="39"/>
  <c r="J2" i="39"/>
  <c r="I2" i="39"/>
  <c r="H2" i="39"/>
  <c r="G2" i="39"/>
  <c r="F2" i="39"/>
  <c r="E2" i="39"/>
  <c r="D2" i="39"/>
  <c r="C2" i="39"/>
  <c r="B2" i="39"/>
  <c r="B2" i="38"/>
  <c r="N2" i="38"/>
  <c r="M2" i="38"/>
  <c r="L2" i="38"/>
  <c r="K2" i="38"/>
  <c r="J2" i="38"/>
  <c r="I2" i="38"/>
  <c r="H2" i="38"/>
  <c r="G2" i="38"/>
  <c r="F2" i="38"/>
  <c r="E2" i="38"/>
  <c r="D2" i="38"/>
  <c r="C2" i="38"/>
  <c r="R2" i="36"/>
  <c r="Q2" i="36"/>
  <c r="P2" i="36"/>
  <c r="O2" i="36"/>
  <c r="N2" i="36"/>
  <c r="M2" i="36"/>
  <c r="L2" i="36"/>
  <c r="I2" i="36"/>
  <c r="H2" i="36"/>
  <c r="G2" i="36"/>
  <c r="F2" i="36"/>
  <c r="E2" i="36"/>
  <c r="D2" i="36"/>
  <c r="H98" i="40"/>
  <c r="H97" i="40"/>
  <c r="H96" i="40"/>
  <c r="H94" i="40"/>
  <c r="H93" i="40"/>
  <c r="H92" i="40"/>
  <c r="H90" i="40"/>
  <c r="H89" i="40"/>
  <c r="H88" i="40"/>
  <c r="H87" i="40"/>
  <c r="H86" i="40"/>
  <c r="H85" i="40"/>
  <c r="H84" i="40"/>
  <c r="H83" i="40"/>
  <c r="H81" i="40"/>
  <c r="H80" i="40"/>
  <c r="H79" i="40"/>
  <c r="H78" i="40"/>
  <c r="H77" i="40"/>
  <c r="H76" i="40"/>
  <c r="H75" i="40"/>
  <c r="H74" i="40"/>
  <c r="H73" i="40"/>
  <c r="H72" i="40"/>
  <c r="H71" i="40"/>
  <c r="H70" i="40"/>
  <c r="H69" i="40"/>
  <c r="H67" i="40"/>
  <c r="H65" i="40"/>
  <c r="H63" i="40"/>
  <c r="H61" i="40"/>
  <c r="H60" i="40"/>
  <c r="H59" i="40"/>
  <c r="H58" i="40"/>
  <c r="H57" i="40"/>
  <c r="H56" i="40"/>
  <c r="H55" i="40"/>
  <c r="H54" i="40"/>
  <c r="H53" i="40"/>
  <c r="H52" i="40"/>
  <c r="H50" i="40"/>
  <c r="H49" i="40"/>
  <c r="H46" i="40"/>
  <c r="H45" i="40"/>
  <c r="H44" i="40"/>
  <c r="H43" i="40"/>
  <c r="H42" i="40"/>
  <c r="H41" i="40"/>
  <c r="H40" i="40"/>
  <c r="H39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5" i="40"/>
  <c r="H24" i="40"/>
  <c r="H23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9" i="40"/>
  <c r="H8" i="40"/>
  <c r="H7" i="40"/>
  <c r="H6" i="40"/>
  <c r="H5" i="40"/>
  <c r="H4" i="40"/>
  <c r="H3" i="40"/>
  <c r="AM98" i="39"/>
  <c r="AM97" i="39"/>
  <c r="AM96" i="39"/>
  <c r="AM95" i="39"/>
  <c r="AM94" i="39"/>
  <c r="AM93" i="39"/>
  <c r="AM92" i="39"/>
  <c r="AM90" i="39"/>
  <c r="AM89" i="39"/>
  <c r="AM88" i="39"/>
  <c r="AM87" i="39"/>
  <c r="AM86" i="39"/>
  <c r="AM85" i="39"/>
  <c r="AM84" i="39"/>
  <c r="AM83" i="39"/>
  <c r="AM81" i="39"/>
  <c r="AM80" i="39"/>
  <c r="AM79" i="39"/>
  <c r="AM78" i="39"/>
  <c r="AM77" i="39"/>
  <c r="AM76" i="39"/>
  <c r="AM75" i="39"/>
  <c r="AM74" i="39"/>
  <c r="AM73" i="39"/>
  <c r="AM72" i="39"/>
  <c r="AM71" i="39"/>
  <c r="AM70" i="39"/>
  <c r="AM69" i="39"/>
  <c r="AM67" i="39"/>
  <c r="AM65" i="39"/>
  <c r="AM63" i="39"/>
  <c r="AM59" i="39"/>
  <c r="AM58" i="39"/>
  <c r="AM54" i="39"/>
  <c r="AM53" i="39"/>
  <c r="AM52" i="39"/>
  <c r="AM50" i="39"/>
  <c r="AM49" i="39"/>
  <c r="AM46" i="39"/>
  <c r="AM45" i="39"/>
  <c r="AM44" i="39"/>
  <c r="AM43" i="39"/>
  <c r="AM42" i="39"/>
  <c r="AM41" i="39"/>
  <c r="AM40" i="39"/>
  <c r="AM39" i="39"/>
  <c r="AM38" i="39"/>
  <c r="AM37" i="39"/>
  <c r="AM36" i="39"/>
  <c r="AM35" i="39"/>
  <c r="AM34" i="39"/>
  <c r="AM33" i="39"/>
  <c r="AM32" i="39"/>
  <c r="AM31" i="39"/>
  <c r="AM30" i="39"/>
  <c r="AM29" i="39"/>
  <c r="AM28" i="39"/>
  <c r="AM27" i="39"/>
  <c r="AM26" i="39"/>
  <c r="AM25" i="39"/>
  <c r="AM24" i="39"/>
  <c r="AM23" i="39"/>
  <c r="AM22" i="39"/>
  <c r="AM21" i="39"/>
  <c r="AM20" i="39"/>
  <c r="AM19" i="39"/>
  <c r="AM18" i="39"/>
  <c r="AM17" i="39"/>
  <c r="AM16" i="39"/>
  <c r="AM15" i="39"/>
  <c r="AM14" i="39"/>
  <c r="AM13" i="39"/>
  <c r="AM12" i="39"/>
  <c r="AM11" i="39"/>
  <c r="AM10" i="39"/>
  <c r="AM9" i="39"/>
  <c r="AM8" i="39"/>
  <c r="AM7" i="39"/>
  <c r="AM6" i="39"/>
  <c r="AM5" i="39"/>
  <c r="AM4" i="39"/>
  <c r="AM3" i="39"/>
  <c r="O98" i="38"/>
  <c r="O97" i="38"/>
  <c r="O96" i="38"/>
  <c r="O94" i="38"/>
  <c r="O93" i="38"/>
  <c r="O92" i="38"/>
  <c r="O90" i="38"/>
  <c r="O88" i="38"/>
  <c r="O87" i="38"/>
  <c r="O86" i="38"/>
  <c r="O85" i="38"/>
  <c r="O84" i="38"/>
  <c r="O83" i="38"/>
  <c r="O81" i="38"/>
  <c r="O80" i="38"/>
  <c r="O79" i="38"/>
  <c r="O78" i="38"/>
  <c r="O77" i="38"/>
  <c r="O76" i="38"/>
  <c r="O74" i="38"/>
  <c r="O73" i="38"/>
  <c r="O71" i="38"/>
  <c r="O70" i="38"/>
  <c r="O69" i="38"/>
  <c r="O67" i="38"/>
  <c r="O65" i="38"/>
  <c r="O61" i="38"/>
  <c r="O60" i="38"/>
  <c r="O59" i="38"/>
  <c r="O58" i="38"/>
  <c r="O57" i="38"/>
  <c r="O56" i="38"/>
  <c r="O55" i="38"/>
  <c r="O54" i="38"/>
  <c r="O53" i="38"/>
  <c r="O52" i="38"/>
  <c r="O50" i="38"/>
  <c r="O49" i="38"/>
  <c r="O46" i="38"/>
  <c r="O45" i="38"/>
  <c r="O44" i="38"/>
  <c r="O43" i="38"/>
  <c r="O42" i="38"/>
  <c r="O41" i="38"/>
  <c r="O40" i="38"/>
  <c r="O39" i="38"/>
  <c r="O38" i="38"/>
  <c r="O37" i="38"/>
  <c r="O36" i="38"/>
  <c r="O35" i="38"/>
  <c r="O34" i="38"/>
  <c r="O32" i="38"/>
  <c r="O31" i="38"/>
  <c r="O30" i="38"/>
  <c r="O29" i="38"/>
  <c r="O28" i="38"/>
  <c r="O27" i="38"/>
  <c r="O26" i="38"/>
  <c r="O25" i="38"/>
  <c r="O24" i="38"/>
  <c r="O23" i="38"/>
  <c r="O22" i="38"/>
  <c r="O21" i="38"/>
  <c r="O20" i="38"/>
  <c r="O19" i="38"/>
  <c r="O18" i="38"/>
  <c r="O17" i="38"/>
  <c r="O16" i="38"/>
  <c r="O15" i="38"/>
  <c r="O14" i="38"/>
  <c r="O13" i="38"/>
  <c r="O12" i="38"/>
  <c r="O11" i="38"/>
  <c r="O10" i="38"/>
  <c r="O9" i="38"/>
  <c r="O8" i="38"/>
  <c r="O7" i="38"/>
  <c r="O6" i="38"/>
  <c r="O5" i="38"/>
  <c r="O4" i="38"/>
  <c r="O3" i="38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N2" i="8"/>
  <c r="M2" i="8"/>
  <c r="L2" i="8"/>
  <c r="I2" i="8"/>
  <c r="H2" i="8"/>
  <c r="G2" i="8"/>
  <c r="B2" i="8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Q177" i="35"/>
  <c r="AQ176" i="35"/>
  <c r="AQ175" i="35"/>
  <c r="AQ174" i="35"/>
  <c r="AQ173" i="35"/>
  <c r="AQ172" i="35"/>
  <c r="AQ171" i="35"/>
  <c r="AQ170" i="35"/>
  <c r="AQ169" i="35"/>
  <c r="AQ168" i="35"/>
  <c r="AQ167" i="35"/>
  <c r="AQ166" i="35"/>
  <c r="AQ165" i="35"/>
  <c r="AQ164" i="35"/>
  <c r="AQ163" i="35"/>
  <c r="AQ162" i="35"/>
  <c r="AQ161" i="35"/>
  <c r="AQ160" i="35"/>
  <c r="AQ159" i="35"/>
  <c r="AQ158" i="35"/>
  <c r="AQ157" i="35"/>
  <c r="AQ156" i="35"/>
  <c r="AQ155" i="35"/>
  <c r="AQ153" i="35"/>
  <c r="AQ152" i="35"/>
  <c r="AQ150" i="35"/>
  <c r="AQ149" i="35"/>
  <c r="AQ147" i="35"/>
  <c r="AQ146" i="35"/>
  <c r="AQ145" i="35"/>
  <c r="AQ144" i="35"/>
  <c r="AQ143" i="35"/>
  <c r="AQ142" i="35"/>
  <c r="AQ141" i="35"/>
  <c r="AQ140" i="35"/>
  <c r="AQ139" i="35"/>
  <c r="AQ138" i="35"/>
  <c r="AQ137" i="35"/>
  <c r="AQ136" i="35"/>
  <c r="AQ135" i="35"/>
  <c r="AQ134" i="35"/>
  <c r="AQ133" i="35"/>
  <c r="AQ132" i="35"/>
  <c r="AQ131" i="35"/>
  <c r="AQ130" i="35"/>
  <c r="AQ129" i="35"/>
  <c r="AQ128" i="35"/>
  <c r="AQ127" i="35"/>
  <c r="AQ126" i="35"/>
  <c r="AQ125" i="35"/>
  <c r="AQ124" i="35"/>
  <c r="AQ123" i="35"/>
  <c r="AQ122" i="35"/>
  <c r="AQ121" i="35"/>
  <c r="AQ120" i="35"/>
  <c r="AQ119" i="35"/>
  <c r="AQ118" i="35"/>
  <c r="AQ117" i="35"/>
  <c r="AQ116" i="35"/>
  <c r="AQ115" i="35"/>
  <c r="AQ114" i="35"/>
  <c r="AQ113" i="35"/>
  <c r="AQ112" i="35"/>
  <c r="AQ111" i="35"/>
  <c r="AQ110" i="35"/>
  <c r="AQ109" i="35"/>
  <c r="AQ108" i="35"/>
  <c r="AQ107" i="35"/>
  <c r="AQ106" i="35"/>
  <c r="AQ105" i="35"/>
  <c r="AQ104" i="35"/>
  <c r="AQ103" i="35"/>
  <c r="AQ102" i="35"/>
  <c r="AQ101" i="35"/>
  <c r="AQ100" i="35"/>
  <c r="AQ99" i="35"/>
  <c r="AQ98" i="35"/>
  <c r="AQ97" i="35"/>
  <c r="AQ96" i="35"/>
  <c r="AQ95" i="35"/>
  <c r="AQ94" i="35"/>
  <c r="AQ93" i="35"/>
  <c r="AP93" i="35"/>
  <c r="AQ92" i="35"/>
  <c r="AP92" i="35"/>
  <c r="AQ91" i="35"/>
  <c r="AP91" i="35"/>
  <c r="AQ90" i="35"/>
  <c r="AP90" i="35"/>
  <c r="AQ89" i="35"/>
  <c r="AP89" i="35"/>
  <c r="AP88" i="35"/>
  <c r="AQ87" i="35"/>
  <c r="AP87" i="35"/>
  <c r="AQ86" i="35"/>
  <c r="AP86" i="35"/>
  <c r="AQ85" i="35"/>
  <c r="AP85" i="35"/>
  <c r="AQ84" i="35"/>
  <c r="AP84" i="35"/>
  <c r="AQ83" i="35"/>
  <c r="AP83" i="35"/>
  <c r="AQ82" i="35"/>
  <c r="AP82" i="35"/>
  <c r="AQ81" i="35"/>
  <c r="AP81" i="35"/>
  <c r="AQ80" i="35"/>
  <c r="AP80" i="35"/>
  <c r="AQ79" i="35"/>
  <c r="AP79" i="35"/>
  <c r="AQ78" i="35"/>
  <c r="AP78" i="35"/>
  <c r="AQ77" i="35"/>
  <c r="AP77" i="35"/>
  <c r="AQ76" i="35"/>
  <c r="AP76" i="35"/>
  <c r="AQ75" i="35"/>
  <c r="AP75" i="35"/>
  <c r="AQ74" i="35"/>
  <c r="AP74" i="35"/>
  <c r="AQ73" i="35"/>
  <c r="AP73" i="35"/>
  <c r="AQ72" i="35"/>
  <c r="AP72" i="35"/>
  <c r="AQ71" i="35"/>
  <c r="AP71" i="35"/>
  <c r="AQ70" i="35"/>
  <c r="AP70" i="35"/>
  <c r="AQ69" i="35"/>
  <c r="AQ68" i="35"/>
  <c r="AP68" i="35"/>
  <c r="AQ67" i="35"/>
  <c r="AP67" i="35"/>
  <c r="AQ66" i="35"/>
  <c r="AP66" i="35"/>
  <c r="AQ65" i="35"/>
  <c r="AP65" i="35"/>
  <c r="AQ64" i="35"/>
  <c r="AP64" i="35"/>
  <c r="AQ63" i="35"/>
  <c r="AP63" i="35"/>
  <c r="AQ62" i="35"/>
  <c r="AP62" i="35"/>
  <c r="AQ61" i="35"/>
  <c r="AP61" i="35"/>
  <c r="AQ60" i="35"/>
  <c r="AP60" i="35"/>
  <c r="AQ59" i="35"/>
  <c r="AP59" i="35"/>
  <c r="AQ58" i="35"/>
  <c r="AP58" i="35"/>
  <c r="AQ57" i="35"/>
  <c r="AP57" i="35"/>
  <c r="AQ56" i="35"/>
  <c r="AP56" i="35"/>
  <c r="AQ55" i="35"/>
  <c r="AP55" i="35"/>
  <c r="AQ54" i="35"/>
  <c r="AP54" i="35"/>
  <c r="AQ53" i="35"/>
  <c r="AP53" i="35"/>
  <c r="AQ52" i="35"/>
  <c r="AP52" i="35"/>
  <c r="AQ51" i="35"/>
  <c r="AP51" i="35"/>
  <c r="AQ50" i="35"/>
  <c r="AP50" i="35"/>
  <c r="AQ49" i="35"/>
  <c r="AP49" i="35"/>
  <c r="AQ48" i="35"/>
  <c r="AP48" i="35"/>
  <c r="AQ47" i="35"/>
  <c r="AP47" i="35"/>
  <c r="AQ46" i="35"/>
  <c r="AP46" i="35"/>
  <c r="AQ45" i="35"/>
  <c r="AP45" i="35"/>
  <c r="AQ44" i="35"/>
  <c r="AP44" i="35"/>
  <c r="AQ43" i="35"/>
  <c r="AP43" i="35"/>
  <c r="AQ42" i="35"/>
  <c r="AP42" i="35"/>
  <c r="AQ41" i="35"/>
  <c r="AP41" i="35"/>
  <c r="AQ40" i="35"/>
  <c r="AP40" i="35"/>
  <c r="AQ39" i="35"/>
  <c r="AP39" i="35"/>
  <c r="AQ38" i="35"/>
  <c r="AP38" i="35"/>
  <c r="AQ37" i="35"/>
  <c r="AP37" i="35"/>
  <c r="AQ36" i="35"/>
  <c r="AP36" i="35"/>
  <c r="AQ35" i="35"/>
  <c r="AP35" i="35"/>
  <c r="AQ34" i="35"/>
  <c r="AP34" i="35"/>
  <c r="AQ33" i="35"/>
  <c r="AP33" i="35"/>
  <c r="AQ32" i="35"/>
  <c r="AP32" i="35"/>
  <c r="AQ31" i="35"/>
  <c r="AP31" i="35"/>
  <c r="AQ30" i="35"/>
  <c r="AP30" i="35"/>
  <c r="AQ29" i="35"/>
  <c r="AP29" i="35"/>
  <c r="AQ28" i="35"/>
  <c r="AP28" i="35"/>
  <c r="AQ27" i="35"/>
  <c r="AP27" i="35"/>
  <c r="AQ26" i="35"/>
  <c r="AP26" i="35"/>
  <c r="AQ25" i="35"/>
  <c r="AP25" i="35"/>
  <c r="AQ24" i="35"/>
  <c r="AP24" i="35"/>
  <c r="AQ23" i="35"/>
  <c r="AP23" i="35"/>
  <c r="AQ22" i="35"/>
  <c r="AP22" i="35"/>
  <c r="AQ21" i="35"/>
  <c r="AP21" i="35"/>
  <c r="AQ20" i="35"/>
  <c r="AP20" i="35"/>
  <c r="AQ19" i="35"/>
  <c r="AP19" i="35"/>
  <c r="AQ18" i="35"/>
  <c r="AP18" i="35"/>
  <c r="AQ17" i="35"/>
  <c r="AP17" i="35"/>
  <c r="AQ16" i="35"/>
  <c r="AP16" i="35"/>
  <c r="AQ15" i="35"/>
  <c r="AP15" i="35"/>
  <c r="AQ14" i="35"/>
  <c r="AP14" i="35"/>
  <c r="AQ13" i="35"/>
  <c r="AP13" i="35"/>
  <c r="AQ12" i="35"/>
  <c r="AP12" i="35"/>
  <c r="AQ11" i="35"/>
  <c r="AP11" i="35"/>
  <c r="AQ10" i="35"/>
  <c r="AP10" i="35"/>
  <c r="AQ9" i="35"/>
  <c r="AP9" i="35"/>
  <c r="AQ8" i="35"/>
  <c r="AP8" i="35"/>
  <c r="AQ7" i="35"/>
  <c r="AP7" i="35"/>
  <c r="AQ6" i="35"/>
  <c r="AP6" i="35"/>
  <c r="AQ5" i="35"/>
  <c r="AP5" i="35"/>
  <c r="AQ4" i="35"/>
  <c r="AP4" i="35"/>
  <c r="AQ3" i="35"/>
  <c r="AP3" i="35"/>
  <c r="S86" i="36"/>
  <c r="S85" i="36"/>
  <c r="S84" i="36"/>
  <c r="S82" i="36"/>
  <c r="S81" i="36"/>
  <c r="S80" i="36"/>
  <c r="S79" i="36"/>
  <c r="S78" i="36"/>
  <c r="S77" i="36"/>
  <c r="S76" i="36"/>
  <c r="S75" i="36"/>
  <c r="S74" i="36"/>
  <c r="S73" i="36"/>
  <c r="S72" i="36"/>
  <c r="S71" i="36"/>
  <c r="S70" i="36"/>
  <c r="S69" i="36"/>
  <c r="S68" i="36"/>
  <c r="S67" i="36"/>
  <c r="S66" i="36"/>
  <c r="S65" i="36"/>
  <c r="S64" i="36"/>
  <c r="S63" i="36"/>
  <c r="S62" i="36"/>
  <c r="S61" i="36"/>
  <c r="S60" i="36"/>
  <c r="S59" i="36"/>
  <c r="S58" i="36"/>
  <c r="S57" i="36"/>
  <c r="S56" i="36"/>
  <c r="S55" i="36"/>
  <c r="S54" i="36"/>
  <c r="S53" i="36"/>
  <c r="S51" i="36"/>
  <c r="S50" i="36"/>
  <c r="S49" i="36"/>
  <c r="S48" i="36"/>
  <c r="S47" i="36"/>
  <c r="S46" i="36"/>
  <c r="S45" i="36"/>
  <c r="S44" i="36"/>
  <c r="S43" i="36"/>
  <c r="S42" i="36"/>
  <c r="S41" i="36"/>
  <c r="S40" i="36"/>
  <c r="S39" i="36"/>
  <c r="S38" i="36"/>
  <c r="S37" i="36"/>
  <c r="S36" i="36"/>
  <c r="S35" i="36"/>
  <c r="S34" i="36"/>
  <c r="S33" i="36"/>
  <c r="S32" i="36"/>
  <c r="S31" i="36"/>
  <c r="S30" i="36"/>
  <c r="S29" i="36"/>
  <c r="S28" i="36"/>
  <c r="S27" i="36"/>
  <c r="S26" i="36"/>
  <c r="S25" i="36"/>
  <c r="S24" i="36"/>
  <c r="S23" i="36"/>
  <c r="S21" i="36"/>
  <c r="S20" i="36"/>
  <c r="S19" i="36"/>
  <c r="S18" i="36"/>
  <c r="S17" i="36"/>
  <c r="S15" i="36"/>
  <c r="S14" i="36"/>
  <c r="S13" i="36"/>
  <c r="S12" i="36"/>
  <c r="S11" i="36"/>
  <c r="S10" i="36"/>
  <c r="S9" i="36"/>
  <c r="S8" i="36"/>
  <c r="S7" i="36"/>
  <c r="S6" i="36"/>
  <c r="S5" i="36"/>
  <c r="S4" i="36"/>
  <c r="S3" i="36"/>
  <c r="P168" i="10"/>
  <c r="P167" i="10"/>
  <c r="P166" i="10"/>
  <c r="P165" i="10"/>
  <c r="P164" i="10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P114" i="10"/>
  <c r="P113" i="10"/>
  <c r="P112" i="10"/>
  <c r="P111" i="10"/>
  <c r="P110" i="10"/>
  <c r="P109" i="10"/>
  <c r="P108" i="10"/>
  <c r="P107" i="10"/>
  <c r="P106" i="10"/>
  <c r="P105" i="10"/>
  <c r="P104" i="10"/>
  <c r="P103" i="10"/>
  <c r="P102" i="10"/>
  <c r="P101" i="10"/>
  <c r="P100" i="10"/>
  <c r="P99" i="10"/>
  <c r="P98" i="10"/>
  <c r="P97" i="10"/>
  <c r="P96" i="10"/>
  <c r="P95" i="10"/>
  <c r="P94" i="10"/>
  <c r="P93" i="10"/>
  <c r="P92" i="10"/>
  <c r="P91" i="10"/>
  <c r="P90" i="10"/>
  <c r="P89" i="10"/>
  <c r="P88" i="10"/>
  <c r="P87" i="10"/>
  <c r="P86" i="10"/>
  <c r="P85" i="10"/>
  <c r="P84" i="10"/>
  <c r="P83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O194" i="8"/>
  <c r="O193" i="8"/>
  <c r="O192" i="8"/>
  <c r="O191" i="8"/>
  <c r="O190" i="8"/>
  <c r="O189" i="8"/>
  <c r="O188" i="8"/>
  <c r="O187" i="8"/>
  <c r="O186" i="8"/>
  <c r="O185" i="8"/>
  <c r="O184" i="8"/>
  <c r="O183" i="8"/>
  <c r="O182" i="8"/>
  <c r="O181" i="8"/>
  <c r="O180" i="8"/>
  <c r="O179" i="8"/>
  <c r="O178" i="8"/>
  <c r="O177" i="8"/>
  <c r="O176" i="8"/>
  <c r="O175" i="8"/>
  <c r="O174" i="8"/>
  <c r="O173" i="8"/>
  <c r="O172" i="8"/>
  <c r="O171" i="8"/>
  <c r="O170" i="8"/>
  <c r="O169" i="8"/>
  <c r="O168" i="8"/>
  <c r="O167" i="8"/>
  <c r="O166" i="8"/>
  <c r="O165" i="8"/>
  <c r="O164" i="8"/>
  <c r="O163" i="8"/>
  <c r="O162" i="8"/>
  <c r="O161" i="8"/>
  <c r="O160" i="8"/>
  <c r="O159" i="8"/>
  <c r="O158" i="8"/>
  <c r="O157" i="8"/>
  <c r="O156" i="8"/>
  <c r="O155" i="8"/>
  <c r="O154" i="8"/>
  <c r="O153" i="8"/>
  <c r="O152" i="8"/>
  <c r="O151" i="8"/>
  <c r="O150" i="8"/>
  <c r="O149" i="8"/>
  <c r="O148" i="8"/>
  <c r="O147" i="8"/>
  <c r="O146" i="8"/>
  <c r="O145" i="8"/>
  <c r="O144" i="8"/>
  <c r="O143" i="8"/>
  <c r="O142" i="8"/>
  <c r="O141" i="8"/>
  <c r="O140" i="8"/>
  <c r="O139" i="8"/>
  <c r="O138" i="8"/>
  <c r="O137" i="8"/>
  <c r="O136" i="8"/>
  <c r="O135" i="8"/>
  <c r="O134" i="8"/>
  <c r="O133" i="8"/>
  <c r="O132" i="8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7" i="9"/>
  <c r="R146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R5" i="9"/>
  <c r="R4" i="9"/>
  <c r="R3" i="9"/>
  <c r="P195" i="6"/>
  <c r="P194" i="6"/>
  <c r="P193" i="6"/>
  <c r="P192" i="6"/>
  <c r="P191" i="6"/>
  <c r="P190" i="6"/>
  <c r="P189" i="6"/>
  <c r="P188" i="6"/>
  <c r="P187" i="6"/>
  <c r="P186" i="6"/>
  <c r="P185" i="6"/>
  <c r="P184" i="6"/>
  <c r="P183" i="6"/>
  <c r="P182" i="6"/>
  <c r="P181" i="6"/>
  <c r="P180" i="6"/>
  <c r="P179" i="6"/>
  <c r="P178" i="6"/>
  <c r="P177" i="6"/>
  <c r="P176" i="6"/>
  <c r="P175" i="6"/>
  <c r="P174" i="6"/>
  <c r="P173" i="6"/>
  <c r="P172" i="6"/>
  <c r="P171" i="6"/>
  <c r="P170" i="6"/>
  <c r="P169" i="6"/>
  <c r="P168" i="6"/>
  <c r="P167" i="6"/>
  <c r="P166" i="6"/>
  <c r="P165" i="6"/>
  <c r="P164" i="6"/>
  <c r="P163" i="6"/>
  <c r="P162" i="6"/>
  <c r="P161" i="6"/>
  <c r="P160" i="6"/>
  <c r="P159" i="6"/>
  <c r="P158" i="6"/>
  <c r="P157" i="6"/>
  <c r="P156" i="6"/>
  <c r="P155" i="6"/>
  <c r="P154" i="6"/>
  <c r="P153" i="6"/>
  <c r="P152" i="6"/>
  <c r="P151" i="6"/>
  <c r="P150" i="6"/>
  <c r="P149" i="6"/>
  <c r="P148" i="6"/>
  <c r="P147" i="6"/>
  <c r="P146" i="6"/>
  <c r="P145" i="6"/>
  <c r="P144" i="6"/>
  <c r="P143" i="6"/>
  <c r="P142" i="6"/>
  <c r="P141" i="6"/>
  <c r="P140" i="6"/>
  <c r="P139" i="6"/>
  <c r="P138" i="6"/>
  <c r="P137" i="6"/>
  <c r="P136" i="6"/>
  <c r="P135" i="6"/>
  <c r="P134" i="6"/>
  <c r="P133" i="6"/>
  <c r="P132" i="6"/>
  <c r="P131" i="6"/>
  <c r="P130" i="6"/>
  <c r="P129" i="6"/>
  <c r="P128" i="6"/>
  <c r="P127" i="6"/>
  <c r="P126" i="6"/>
  <c r="P125" i="6"/>
  <c r="P124" i="6"/>
  <c r="P123" i="6"/>
  <c r="P122" i="6"/>
  <c r="P121" i="6"/>
  <c r="P120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4" i="6"/>
  <c r="P103" i="6"/>
  <c r="P102" i="6"/>
  <c r="P101" i="6"/>
  <c r="P100" i="6"/>
  <c r="P99" i="6"/>
  <c r="P98" i="6"/>
  <c r="P97" i="6"/>
  <c r="P96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74" i="6"/>
  <c r="P73" i="6"/>
  <c r="P72" i="6"/>
  <c r="P71" i="6"/>
  <c r="P70" i="6"/>
  <c r="P69" i="6"/>
  <c r="P68" i="6"/>
  <c r="P67" i="6"/>
  <c r="P66" i="6"/>
  <c r="P65" i="6"/>
  <c r="P64" i="6"/>
  <c r="P63" i="6"/>
  <c r="P62" i="6"/>
  <c r="P61" i="6"/>
  <c r="P60" i="6"/>
  <c r="P59" i="6"/>
  <c r="P58" i="6"/>
  <c r="P57" i="6"/>
  <c r="P56" i="6"/>
  <c r="P55" i="6"/>
  <c r="P54" i="6"/>
  <c r="P53" i="6"/>
  <c r="P52" i="6"/>
  <c r="P51" i="6"/>
  <c r="P50" i="6"/>
  <c r="P49" i="6"/>
  <c r="P48" i="6"/>
  <c r="P47" i="6"/>
  <c r="P46" i="6"/>
  <c r="P45" i="6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</calcChain>
</file>

<file path=xl/sharedStrings.xml><?xml version="1.0" encoding="utf-8"?>
<sst xmlns="http://schemas.openxmlformats.org/spreadsheetml/2006/main" count="3621" uniqueCount="793">
  <si>
    <t>Education level</t>
  </si>
  <si>
    <t>0-3 years</t>
  </si>
  <si>
    <t>None</t>
  </si>
  <si>
    <t>4 years</t>
  </si>
  <si>
    <t>Primary education</t>
  </si>
  <si>
    <t>9 years</t>
  </si>
  <si>
    <t>Upper secondary education</t>
  </si>
  <si>
    <t>12 years</t>
  </si>
  <si>
    <t>Post-secondary non-tertiary education</t>
  </si>
  <si>
    <t>Bachelor/master</t>
  </si>
  <si>
    <t>Doctoral</t>
  </si>
  <si>
    <t>NA</t>
  </si>
  <si>
    <t>1. Cardiologic (0-4)</t>
  </si>
  <si>
    <t>2. Vascular (0-4)</t>
  </si>
  <si>
    <t xml:space="preserve">3. Hematopoietic (0-4) </t>
  </si>
  <si>
    <t>4. Respiratory (0-4)</t>
  </si>
  <si>
    <t>5. ORL (0-4)</t>
  </si>
  <si>
    <t>6. Upper GI (0-4)</t>
  </si>
  <si>
    <t>7. Lower GI (0-4)</t>
  </si>
  <si>
    <t>8. Liver/pancreas/biliary (0-4)</t>
  </si>
  <si>
    <t>9. Renal (0-4)</t>
  </si>
  <si>
    <t>10. Genitourinary (0-4)</t>
  </si>
  <si>
    <t>11. Musculoskeletal/skin (0-4)</t>
  </si>
  <si>
    <t>12. Neurologic (0-4)</t>
  </si>
  <si>
    <t>13. Endocrine and breast (0-4)</t>
  </si>
  <si>
    <t>14. Psychiatric (0-4)</t>
  </si>
  <si>
    <t>Total score (0-56)</t>
  </si>
  <si>
    <t>Cleaning the house
(e.g. sweep, vacuum or dust) (1= Not at all concerned; 2= Somewhat concerned; 3= Somewhat concerned; 4=Very concerned)</t>
  </si>
  <si>
    <t>Getting dressed or undressed  (1= Not at all concerned; 2= Somewhat concerned; 3= Somewhat concerned; 4=Very concerned)</t>
  </si>
  <si>
    <t>Preparing simple meals  (1= Not at all concerned; 2= Somewhat concerned; 3= Somewhat concerned; 4=Very concerned)</t>
  </si>
  <si>
    <t>Taking a bath or shower  (1= Not at all concerned; 2= Somewhat concerned; 3= Somewhat concerned; 4=Somewhat concerned)</t>
  </si>
  <si>
    <t>Going to the shop  (1= Not at all concerned; 2= Somewhat concerned; 3= Somewhat concerned; 4=Very concerned)</t>
  </si>
  <si>
    <t>Getting in or out of a chair  (1= Not at all concerned; 2= Somewhat concerned; 3= Somewhat concerned; 4=Very concerned)</t>
  </si>
  <si>
    <t>Going up or down stairs  (1= Not at all concerned; 2= Somewhat concerned; 3= Somewhat concerned; 4=Very concerned)</t>
  </si>
  <si>
    <t>Walking around in the neighbourhood  (1= Not at all concerned; 2= Somewhat concerned; 3= Somewhat concerned; 4=Very concerned)</t>
  </si>
  <si>
    <t>Reaching for something above your head or on the ground  (1= Not at all concerned; 2= Somewhat concerned; 3= Somewhat concerned; 4=Very concerned)</t>
  </si>
  <si>
    <t>Going to answer the telephone before its stops ringing  (1= Not at all concerned; 2= Somewhat concerned; 3= Somewhat concerned; 4=Very concerned)</t>
  </si>
  <si>
    <t>Walking on a slippery surface (e.g., wet or icy)  (1= Not at all concerned; 2= Somewhat concerned; 3= Somewhat concerned; 4=Very concerned)</t>
  </si>
  <si>
    <t>Visiting a friend or a relative  (1= Not at all concerned; 2= Somewhat concerned; 3= Somewhat concerned; 4=Very concerned)</t>
  </si>
  <si>
    <t>Walking in a place with crowds  (1= Not at all concerned; 2= Somewhat concerned; 3= Somewhat concerned; 4=Very concerned)</t>
  </si>
  <si>
    <t>Walking on an uneven surface (e.g., rocky ground, poorly maintained pavement)  (1= Not at all concerned; 2= Somewhat concerned; 3= Somewhat concerned; 4=Very concerned)</t>
  </si>
  <si>
    <t>Walking up or down a slope  (1= Not at all concerned; 2= Somewhat concerned; 3= Somewhat concerned; 4=Very concerned)</t>
  </si>
  <si>
    <t>Going out to a social event (e.g., religious service, family gathering or club meeting)  (1= Not at all concerned; 2= Somewhat concerned; 3= Somewhat concerned; 4=Very concerned)</t>
  </si>
  <si>
    <t xml:space="preserve">Total </t>
  </si>
  <si>
    <t>Feeding ( 0, 5 or 10)</t>
  </si>
  <si>
    <t>Bathing ( 0 or 5)</t>
  </si>
  <si>
    <t>Grooming ( 0 or 5)</t>
  </si>
  <si>
    <t>Dressing ( 0, 5 or 10)</t>
  </si>
  <si>
    <t>Bowel control ( 0, 5 or 10)</t>
  </si>
  <si>
    <t>Bladder control ( 0, 5 or 10)</t>
  </si>
  <si>
    <t>Toilet use ( 0, 5 or 10)</t>
  </si>
  <si>
    <t>Transfers (bed to chair and back) ( 0, 5, 10 or 15)</t>
  </si>
  <si>
    <t>Mobility on level surfaces ( 0, 5, 10 or 15)</t>
  </si>
  <si>
    <t>Stairs ( 0, 5 or 10)</t>
  </si>
  <si>
    <t>Total</t>
  </si>
  <si>
    <t>Sitting to standing (0-4)</t>
  </si>
  <si>
    <t>Standing unsupported (0-4)</t>
  </si>
  <si>
    <t>Sitting with back unsupported but feet supported on floor or on a stool  (0-4)</t>
  </si>
  <si>
    <t>Standing to sitting (0-4)</t>
  </si>
  <si>
    <t>Transfers (0-4)</t>
  </si>
  <si>
    <t>Standing unsupported with eyes closed (0-4)</t>
  </si>
  <si>
    <t xml:space="preserve"> Standing unsupported with feet together  (0-4)</t>
  </si>
  <si>
    <t>Reaching for ward without stretched arm while standing (0-4)</t>
  </si>
  <si>
    <t>. Pick up object from the floor from a standing position  (0-4)</t>
  </si>
  <si>
    <t>Turning to look behind over left and right shoulders while standing (0-4)</t>
  </si>
  <si>
    <t>Turn 360 degrees (0-4)</t>
  </si>
  <si>
    <t>Place alternate foot on step or stool while standing unsupported (0-4)</t>
  </si>
  <si>
    <t>Standing unsupported one foot in front (0-4)</t>
  </si>
  <si>
    <t>Standing on one leg (0-4)</t>
  </si>
  <si>
    <t>TOTAL PARTE I</t>
  </si>
  <si>
    <t>TOTAL PART II</t>
  </si>
  <si>
    <t>TOTAL PART III</t>
  </si>
  <si>
    <t>HY</t>
  </si>
  <si>
    <t>TOTAL PART IV</t>
  </si>
  <si>
    <t>1.A</t>
  </si>
  <si>
    <t>1.1</t>
  </si>
  <si>
    <t>1.2</t>
  </si>
  <si>
    <t>1.3</t>
  </si>
  <si>
    <t>1.4</t>
  </si>
  <si>
    <t>1.5</t>
  </si>
  <si>
    <t>1.6</t>
  </si>
  <si>
    <t>1.6A</t>
  </si>
  <si>
    <t>1.7</t>
  </si>
  <si>
    <t>1.8</t>
  </si>
  <si>
    <t>1.9</t>
  </si>
  <si>
    <t>1.10</t>
  </si>
  <si>
    <t>1.11</t>
  </si>
  <si>
    <t>1.12</t>
  </si>
  <si>
    <t>1.13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</si>
  <si>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</si>
  <si>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</si>
  <si>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</si>
  <si>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</si>
  <si>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</si>
  <si>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</si>
  <si>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</si>
  <si>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</si>
  <si>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</si>
  <si>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</si>
  <si>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</si>
  <si>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</si>
  <si>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</si>
  <si>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3a</t>
  </si>
  <si>
    <t>3b</t>
  </si>
  <si>
    <t>3c</t>
  </si>
  <si>
    <t>3C1</t>
  </si>
  <si>
    <t>3.1</t>
  </si>
  <si>
    <t>3.2</t>
  </si>
  <si>
    <t>3.3a</t>
  </si>
  <si>
    <t>3.3b</t>
  </si>
  <si>
    <t>3.3c</t>
  </si>
  <si>
    <t>3.3d</t>
  </si>
  <si>
    <t>3.3e</t>
  </si>
  <si>
    <t>3.4a</t>
  </si>
  <si>
    <t>3.4b</t>
  </si>
  <si>
    <t>3.5a</t>
  </si>
  <si>
    <t>3.5b</t>
  </si>
  <si>
    <t>3.6a</t>
  </si>
  <si>
    <t>3.6b</t>
  </si>
  <si>
    <t>3.7a</t>
  </si>
  <si>
    <t>3.7b</t>
  </si>
  <si>
    <t>3.8a</t>
  </si>
  <si>
    <t>3.8b</t>
  </si>
  <si>
    <t>3.9</t>
  </si>
  <si>
    <t>3.10</t>
  </si>
  <si>
    <t>3.11</t>
  </si>
  <si>
    <t>3.12</t>
  </si>
  <si>
    <t>3.13</t>
  </si>
  <si>
    <t>3.14</t>
  </si>
  <si>
    <t>3.15a</t>
  </si>
  <si>
    <t>3.15b</t>
  </si>
  <si>
    <t>3.16a</t>
  </si>
  <si>
    <t>3.16b</t>
  </si>
  <si>
    <t>3.17a</t>
  </si>
  <si>
    <t>3.17b</t>
  </si>
  <si>
    <t>3.17c</t>
  </si>
  <si>
    <t>3.17d</t>
  </si>
  <si>
    <t>3.17e</t>
  </si>
  <si>
    <t>3.18</t>
  </si>
  <si>
    <t>4.1</t>
  </si>
  <si>
    <t>4.2</t>
  </si>
  <si>
    <t>4.3</t>
  </si>
  <si>
    <t>4.4</t>
  </si>
  <si>
    <t>4.5</t>
  </si>
  <si>
    <t>4.6</t>
  </si>
  <si>
    <t>Patient</t>
  </si>
  <si>
    <t>2 (0: ≤ 15min; 1: 16-30min; 2: 31-60min; 3: &gt;60min)</t>
  </si>
  <si>
    <t>4 (exact number)</t>
  </si>
  <si>
    <t xml:space="preserve">4 score (0: &gt; 7hours; 1: 6-7hours; 2: 5-6hours; 3: &lt; 5hours) </t>
  </si>
  <si>
    <t>5a (0-3)</t>
  </si>
  <si>
    <t>5b (0-3)</t>
  </si>
  <si>
    <t>5c (0-3)</t>
  </si>
  <si>
    <t>5d (0-3)</t>
  </si>
  <si>
    <t>5e (0-3)</t>
  </si>
  <si>
    <t>5f (0-3)</t>
  </si>
  <si>
    <t>5g (0-3)</t>
  </si>
  <si>
    <t>5h (0-3)</t>
  </si>
  <si>
    <t>5i (0-3)</t>
  </si>
  <si>
    <t>5j (0-3)</t>
  </si>
  <si>
    <t>5j description</t>
  </si>
  <si>
    <t>6 (0-3)</t>
  </si>
  <si>
    <t>7 (0-3)</t>
  </si>
  <si>
    <t>8 (0-3)</t>
  </si>
  <si>
    <t>9 (0-3)</t>
  </si>
  <si>
    <t>Mobility (0=no problem;1=slight problems; 2=moderate problems; 3= severe problems; 4=unable)</t>
  </si>
  <si>
    <t>Self-care (0=no problem;1=slight problems; 2=moderate problems; 3= severe problems; 4=unable)</t>
  </si>
  <si>
    <t>Usual activities (0=no problem;1=slight problems; 2=moderate problems; 3= severe problems; 4=unable)</t>
  </si>
  <si>
    <t>Pain/Discomfort (0=no pain/discomfort; 1=slight pain/discomfort; 2=moderate pain/discomfort; 3=severe pain/discomfort; 4=extreme pain/discomfort)</t>
  </si>
  <si>
    <t>Anxiety/Depression (0=not anxious/depressed;1=slightly anxious/depressed; 2=moderately anxious/depressed; 3= severely anxious/depressed; 4=extremely anxious/depressed)</t>
  </si>
  <si>
    <t>Your health today (0-100)</t>
  </si>
  <si>
    <t>Center_diagnosis_setting_progressive number</t>
  </si>
  <si>
    <t xml:space="preserve">Participant's code </t>
  </si>
  <si>
    <t>CIRS</t>
  </si>
  <si>
    <t>FES</t>
  </si>
  <si>
    <t xml:space="preserve"> Not at all concerned</t>
  </si>
  <si>
    <t>Somewhat concerned</t>
  </si>
  <si>
    <t>Very concerned</t>
  </si>
  <si>
    <t>BI</t>
  </si>
  <si>
    <t>Berg balance</t>
  </si>
  <si>
    <t>MDS-UPDRS</t>
  </si>
  <si>
    <t>Normal</t>
  </si>
  <si>
    <t>Slight</t>
  </si>
  <si>
    <t>Mild</t>
  </si>
  <si>
    <t>Moderate</t>
  </si>
  <si>
    <t>Severe</t>
  </si>
  <si>
    <t>Unilaterla syntoms</t>
  </si>
  <si>
    <t>Bilateral or midline involvement without impairment of balance</t>
  </si>
  <si>
    <t>Bilateral disease: mild to moderate disability with impaired postural reflexes; physically independent</t>
  </si>
  <si>
    <t>Severely disabling disease; still able to walk or stand unassisted</t>
  </si>
  <si>
    <t>Confinement to bed or wheelchair unless aided</t>
  </si>
  <si>
    <t>Euro Qol 5D</t>
  </si>
  <si>
    <t>Quite concerned</t>
  </si>
  <si>
    <t>Dependent</t>
  </si>
  <si>
    <t>With help</t>
  </si>
  <si>
    <t>Independent</t>
  </si>
  <si>
    <t>No/absent</t>
  </si>
  <si>
    <t>Very severe</t>
  </si>
  <si>
    <t>Slight problems</t>
  </si>
  <si>
    <t>Moderate problems</t>
  </si>
  <si>
    <t>Severe problems</t>
  </si>
  <si>
    <t>Unable</t>
  </si>
  <si>
    <t>Unable to perform the task</t>
  </si>
  <si>
    <t>Able to perform the task within the time and under the indicated conditions</t>
  </si>
  <si>
    <t>From 0 to 4</t>
  </si>
  <si>
    <t>Open answer</t>
  </si>
  <si>
    <t>Worst state of health imaginable</t>
  </si>
  <si>
    <t>Best state of health imaginable</t>
  </si>
  <si>
    <t>Your health today = from 0 to 100</t>
  </si>
  <si>
    <t>PSQI</t>
  </si>
  <si>
    <t>Item 1</t>
  </si>
  <si>
    <t>time he went to bed - exact time</t>
  </si>
  <si>
    <t xml:space="preserve">Item 2 </t>
  </si>
  <si>
    <t xml:space="preserve">1 = 16-30min </t>
  </si>
  <si>
    <t>2 = 31-60min</t>
  </si>
  <si>
    <t xml:space="preserve">0 = ≤ 15min </t>
  </si>
  <si>
    <t>time taken to fall asleep - from 0 to 3</t>
  </si>
  <si>
    <t>3 = &gt; 60min</t>
  </si>
  <si>
    <t>Item 3</t>
  </si>
  <si>
    <t>time to wakeup - exact time</t>
  </si>
  <si>
    <t xml:space="preserve">Item 4 </t>
  </si>
  <si>
    <t>sleep hours - exact time</t>
  </si>
  <si>
    <t>sleep hours - score from 0 to 3</t>
  </si>
  <si>
    <t>0 = &gt; 7 hours</t>
  </si>
  <si>
    <t xml:space="preserve">1 = 6-7hours </t>
  </si>
  <si>
    <t>2 = 5-6 hours</t>
  </si>
  <si>
    <t xml:space="preserve">3 = &lt; 5 hours </t>
  </si>
  <si>
    <t>Item 1.A</t>
  </si>
  <si>
    <t>Item 1.6A</t>
  </si>
  <si>
    <t>Item 3a</t>
  </si>
  <si>
    <t>Item 3b</t>
  </si>
  <si>
    <t>Item 3c</t>
  </si>
  <si>
    <t>Item 3C1</t>
  </si>
  <si>
    <t>Less then once a week</t>
  </si>
  <si>
    <t>Not during the last month</t>
  </si>
  <si>
    <t>Once o twice a week</t>
  </si>
  <si>
    <t>Three or more times a week</t>
  </si>
  <si>
    <t>item 6</t>
  </si>
  <si>
    <t>sleep quality overall</t>
  </si>
  <si>
    <t>0 = Very good</t>
  </si>
  <si>
    <t>1 = Fairly good</t>
  </si>
  <si>
    <t>2 = Fairly bad</t>
  </si>
  <si>
    <t>3 = Very bed</t>
  </si>
  <si>
    <t>Item 4 score</t>
  </si>
  <si>
    <t>Item 5j</t>
  </si>
  <si>
    <t>other trouble sleeping - Yes/No</t>
  </si>
  <si>
    <t>Comments/descripsions</t>
  </si>
  <si>
    <t>1. I feel calm (1= not at all, 2= a little, 3= somewhat, 4= very much so)</t>
  </si>
  <si>
    <t>2. I feel secure (1= not at all, 2= a little, 3= somewhat, 4= very much so)</t>
  </si>
  <si>
    <t>3. I feel tense (1= not at all, 2= a little, 3= somewhat, 4= very much so)</t>
  </si>
  <si>
    <t>4. I feel strained (1= not at all, 2= a little, 3= somewhat, 4= very much so)</t>
  </si>
  <si>
    <t>5. I feel at ease (1= not at all, 2= a little, 3= somewhat, 4= very much so)</t>
  </si>
  <si>
    <t>6. I feel upset (1= not at all, 2= a little, 3= somewhat, 4= very much so)</t>
  </si>
  <si>
    <t>7. I am presently worrying over possible misfortunes (1= not at all, 2= a little, 3= somewhat, 4= very much so)</t>
  </si>
  <si>
    <t>8. I feel satisfied (1= not at all, 2= a little, 3= somewhat, 4= very much so)</t>
  </si>
  <si>
    <t>9. I feel frightened  (1= not at all, 2= a little, 3= somewhat, 4= very much so)</t>
  </si>
  <si>
    <t>10. I feel uncomfortable  (1= not at all, 2= a little, 3= somewhat, 4= very much so)</t>
  </si>
  <si>
    <t>11. I feel self confident (1= not at all, 2= a little, 3= somewhat, 4= very much so)</t>
  </si>
  <si>
    <t>12. I feel nervous (1= not at all, 2= a little, 3= somewhat, 4= very much so)</t>
  </si>
  <si>
    <t>13. I feel jittery (1= not at all, 2= a little, 3= somewhat, 4= very much so)</t>
  </si>
  <si>
    <t>14. I feel indecisive (1= not at all, 2= a little, 3= somewhat, 4= very much so)</t>
  </si>
  <si>
    <t>15. I am relaxed (1= not at all, 2= a little, 3= somewhat, 4= very much so)</t>
  </si>
  <si>
    <t>16. I feel content (1= not at all, 2= a little, 3= somewhat, 4= very much so)</t>
  </si>
  <si>
    <t>17. I am worried (1= not at all, 2= a little, 3= somewhat, 4= very much so)</t>
  </si>
  <si>
    <t>18. I feel confused (1= not at all, 2= a little, 3= somewhat, 4= very much so)</t>
  </si>
  <si>
    <t>19. I feel steady (1= not at all, 2= a little, 3= somewhat, 4= very much so)</t>
  </si>
  <si>
    <t>20. I feel pleasant (1= not at all, 2= a little, 3= somewhat, 4= very much so)</t>
  </si>
  <si>
    <t>21. I feel pleasant (1= almost nerver, 2= sometimes, 3= often, 4= almost always)</t>
  </si>
  <si>
    <t>22. I feel nervous and restless (1= almost nerver, 2= sometimes, 3= often, 4= almost always)</t>
  </si>
  <si>
    <t>23. I feel satisfied with myself (1= almost nerver, 2= sometimes, 3= often, 4= almost always)</t>
  </si>
  <si>
    <t>24. I wish I could be as happy as others seem to be (1= almost nerver, 2= sometimes, 3= often, 4= almost always)</t>
  </si>
  <si>
    <t>25. I feel like a failure (1= almost nerver, 2= sometimes, 3= often, 4= almost always)</t>
  </si>
  <si>
    <t>26. I feel rested (1= almost nerver, 2= sometimes, 3= often, 4= almost always)</t>
  </si>
  <si>
    <t>27. I am "calm, cool, and collected" (1= almost nerver, 2= sometimes, 3= often, 4= almost always)</t>
  </si>
  <si>
    <t>28. I feel that difficulties are pilling up so taht I cannot overcome them (1= almost nerver, 2= sometimes, 3= often, 4= almost always)</t>
  </si>
  <si>
    <t>29. I worry tto much over something that really doesn't matter (1= almost nerver, 2= sometimes, 3= often, 4= almost always)</t>
  </si>
  <si>
    <t>30. I am happy (1= almost nerver, 2= sometimes, 3= often, 4= almost always)</t>
  </si>
  <si>
    <t>31. I have disturbing thoughts (1= almost nerver, 2= sometimes, 3= often, 4= almost always)</t>
  </si>
  <si>
    <t>32. I lack self-confidence (1= almost nerver, 2= sometimes, 3= often, 4= almost always)</t>
  </si>
  <si>
    <t>33. I feel secure (1= almost nerver, 2= sometimes, 3= often, 4= almost always)</t>
  </si>
  <si>
    <t>34. I make decisions easily (1= almost nerver, 2= sometimes, 3= often, 4= almost always)</t>
  </si>
  <si>
    <t>35. I feel inadequate (1= almost nerver, 2= sometimes, 3= often, 4= almost always)</t>
  </si>
  <si>
    <t>36. I am content (1= almost nerver, 2= sometimes, 3= often, 4= almost always)</t>
  </si>
  <si>
    <t>37. Some unimportant thought runs through my mind and bothers me (1= almost nerver, 2= sometimes, 3= often, 4= almost always)</t>
  </si>
  <si>
    <t>38. I take disappointments so keenly that I can't put them out of my mind (1= almost nerver, 2= sometimes, 3= often, 4= almost always)</t>
  </si>
  <si>
    <t>39. I am a steady person (1= almost nerver, 2= sometimes, 3= often, 4= almost always)</t>
  </si>
  <si>
    <t>40. I get in a state of tension or turmoil as I think over my recent concerns (1= almost nerver, 2= sometimes, 3= often, 4= almost always)</t>
  </si>
  <si>
    <t>TOTAL (1-20) State Anxiety</t>
  </si>
  <si>
    <t>TOTAL (21-40) Trait Anxiety</t>
  </si>
  <si>
    <t>STAI</t>
  </si>
  <si>
    <t>A little</t>
  </si>
  <si>
    <t>Not at all</t>
  </si>
  <si>
    <t>Somewhat</t>
  </si>
  <si>
    <t>Very much so</t>
  </si>
  <si>
    <t>*Item Reverse STAI 1</t>
  </si>
  <si>
    <t>1; 2; 5; 8; 10; 11; 15; 16; 19; 20</t>
  </si>
  <si>
    <t>*Item Reverse STAI 2</t>
  </si>
  <si>
    <t>21; 23; 26; 27; 30; 33; 34; 36; 39</t>
  </si>
  <si>
    <t>CCPP_PD_Home_01</t>
  </si>
  <si>
    <t>CCPP_PD_Home_02</t>
  </si>
  <si>
    <t>CCPP_PD_Home_03</t>
  </si>
  <si>
    <t>CCPP_PD_Home_04</t>
  </si>
  <si>
    <t>CCPP_PD_Home_05</t>
  </si>
  <si>
    <t>CCPP_PD_Home_06</t>
  </si>
  <si>
    <t>CCPP_PD_Home_07</t>
  </si>
  <si>
    <t>CCPP_PD_Home_08</t>
  </si>
  <si>
    <t>CCPP_PD_Home_09</t>
  </si>
  <si>
    <t>CCPP_PD_Home_10</t>
  </si>
  <si>
    <t>CCPP_PD_Home_11</t>
  </si>
  <si>
    <t>CCPP_PD_Home_14</t>
  </si>
  <si>
    <t>CCPP_PD_Home_15</t>
  </si>
  <si>
    <t>CCPP_PD_Home_16</t>
  </si>
  <si>
    <t>CCPP_PD_Home_17</t>
  </si>
  <si>
    <t>CCPP_PD_Home_18</t>
  </si>
  <si>
    <t>CCPP_PD_Home_19</t>
  </si>
  <si>
    <t>CCPP_PD_Home_20</t>
  </si>
  <si>
    <t>CCPP_PD_Home_22</t>
  </si>
  <si>
    <t>CCPP_PD_Home_23</t>
  </si>
  <si>
    <t>CCPP_PD_Home_24</t>
  </si>
  <si>
    <t>CCPP_PD_Home_25</t>
  </si>
  <si>
    <t>CCPP_PD_Home_26</t>
  </si>
  <si>
    <t>CCPP_PD_Home_29</t>
  </si>
  <si>
    <t>CCPP_PD_Home_31</t>
  </si>
  <si>
    <t>CCPP_PD_Home_32</t>
  </si>
  <si>
    <t>CCPP_PD_Home_33</t>
  </si>
  <si>
    <t>CCPP_PD_Home_35</t>
  </si>
  <si>
    <t>CCPP_PD_Home_36</t>
  </si>
  <si>
    <t>CCPP_PD_Home_37</t>
  </si>
  <si>
    <t>CCPP_PD_Home_39</t>
  </si>
  <si>
    <t>CCPP_PD_Home_40</t>
  </si>
  <si>
    <t>CCPP_PD_Home_41</t>
  </si>
  <si>
    <t>CCPP_PD_Home_42</t>
  </si>
  <si>
    <t>CCPP_PD_Home_43</t>
  </si>
  <si>
    <t>CCPP_PD_Home_45</t>
  </si>
  <si>
    <t>CCPP_PD_Home_46</t>
  </si>
  <si>
    <t>CCPP_PD_Home_47</t>
  </si>
  <si>
    <t>CCPP_PD_Home_48</t>
  </si>
  <si>
    <t>CCPP_PD_Home_50</t>
  </si>
  <si>
    <t>CCPP_PD_Home_51</t>
  </si>
  <si>
    <t>CCPP_PD_Home_52</t>
  </si>
  <si>
    <t>CCPP_PD_Home_53</t>
  </si>
  <si>
    <t>CCPP_PD_Home_55</t>
  </si>
  <si>
    <t>CCPP_PD_Home_57</t>
  </si>
  <si>
    <t>CCPP_PD_Home_58</t>
  </si>
  <si>
    <t>CCPP_PD_Home_59</t>
  </si>
  <si>
    <t>CCPP_PD_Home_60</t>
  </si>
  <si>
    <t>CCPP_PD_Home_61</t>
  </si>
  <si>
    <t>CCPP_PD_Home_62</t>
  </si>
  <si>
    <t>CCPP_PD_Rehab_01</t>
  </si>
  <si>
    <t>CCPP_PD_Rehab_02</t>
  </si>
  <si>
    <t>CCPP_PD_Rehab_03</t>
  </si>
  <si>
    <t>CCPP_PD_Rehab_04</t>
  </si>
  <si>
    <t>CCPP_PD_Rehab_05</t>
  </si>
  <si>
    <t>CCPP_PD_Rehab_06</t>
  </si>
  <si>
    <t>CCPP_PD_Rehab_07</t>
  </si>
  <si>
    <t>CCPP_PD_Rehab_08</t>
  </si>
  <si>
    <t>CCPP_PD_Rehab_09</t>
  </si>
  <si>
    <t>CCPP_PD_Rehab_10</t>
  </si>
  <si>
    <t>CCPP_PD_Rehab_11</t>
  </si>
  <si>
    <t>CCPP_PD_Rehab_12</t>
  </si>
  <si>
    <t>CCPP_PD_Rehab_13</t>
  </si>
  <si>
    <t>CCPP_PD_Rehab_14</t>
  </si>
  <si>
    <t>CCPP_PD_Rehab_15</t>
  </si>
  <si>
    <t>CCPP_PD_Rehab_17</t>
  </si>
  <si>
    <t>CCPP_PD_Rehab_18</t>
  </si>
  <si>
    <t>CCPP_PD_Rehab_19</t>
  </si>
  <si>
    <t>CCPP_PD_Rehab_20</t>
  </si>
  <si>
    <t>CCPP_PD_Rehab_21</t>
  </si>
  <si>
    <t>CCPP_PD_Rehab_23</t>
  </si>
  <si>
    <t>CCPP_PD_Rehab_24</t>
  </si>
  <si>
    <t>CCPP_PD_Rehab_25</t>
  </si>
  <si>
    <t>CCPP_PD_Rehab_26</t>
  </si>
  <si>
    <t>CCPP_PD_Rehab_27</t>
  </si>
  <si>
    <t>CCPP_PD_Rehab_28</t>
  </si>
  <si>
    <t>CCPP_PD_Rehab_31</t>
  </si>
  <si>
    <t>CCPP_PD_Rehab_33</t>
  </si>
  <si>
    <t>CCPP_PD_Rehab_34</t>
  </si>
  <si>
    <t>CCPP_PD_Rehab_35</t>
  </si>
  <si>
    <t>CCPP_PD_Rehab_36</t>
  </si>
  <si>
    <t>CCPP_PD_Rehab_37</t>
  </si>
  <si>
    <t>CCPP_PD_Rehab_38</t>
  </si>
  <si>
    <t>CCPP_PD_Rehab_39</t>
  </si>
  <si>
    <t>CCPP_PD_Rehab_40</t>
  </si>
  <si>
    <t>CCPP_PD_Rehab_41</t>
  </si>
  <si>
    <t>CCPP_PD_Rehab_42</t>
  </si>
  <si>
    <t>CCPP_PD_Rehab_43</t>
  </si>
  <si>
    <t>CCPP_PD_Rehab_44</t>
  </si>
  <si>
    <t>CCPP_PD_Rehab_45</t>
  </si>
  <si>
    <t>CCPP_PD_Rehab_46</t>
  </si>
  <si>
    <t>CCPP_PD_Rehab_47</t>
  </si>
  <si>
    <t>CCPP_PD_Rehab_48</t>
  </si>
  <si>
    <t>CCPP_PD_Rehab_49</t>
  </si>
  <si>
    <t>CCPP_PD_Rehab_50</t>
  </si>
  <si>
    <t>CCPP_PD_Rehab_51</t>
  </si>
  <si>
    <t>CCPP_PD_Rehab_52</t>
  </si>
  <si>
    <t>CCPP_PD_Rehab_53</t>
  </si>
  <si>
    <t>CCPP_PD_Rehab_54</t>
  </si>
  <si>
    <t>CCPP_PD_Rehab_55</t>
  </si>
  <si>
    <t>CCPP_PD_Rehab_56</t>
  </si>
  <si>
    <t>CCPP_PD_Rehab_57</t>
  </si>
  <si>
    <t>CCPP_PD_Rehab_59</t>
  </si>
  <si>
    <t>CCPP_PD_Rehab_60</t>
  </si>
  <si>
    <t>CCPP_PD_Rehab_61</t>
  </si>
  <si>
    <t>CCPP_PD_Rehab_62</t>
  </si>
  <si>
    <t>CCPP_PD_Rehab_63</t>
  </si>
  <si>
    <t>APM_PD_Home_008</t>
  </si>
  <si>
    <t>APM_PD_Rehab_009</t>
  </si>
  <si>
    <t>APM_PD_Rehab_006</t>
  </si>
  <si>
    <t>APM_PD_Rehab_007</t>
  </si>
  <si>
    <t>APM_PD_Home_011</t>
  </si>
  <si>
    <t>APM_PD_Rehab_013</t>
  </si>
  <si>
    <t>APM_PD_Rehab_015</t>
  </si>
  <si>
    <t>APM_PD_Home_022</t>
  </si>
  <si>
    <t>APM_PD_Home_023</t>
  </si>
  <si>
    <t>APM_PD_Rehab_020</t>
  </si>
  <si>
    <t>APM_PD_Rehab_024</t>
  </si>
  <si>
    <t>APM_PD_Home_002</t>
  </si>
  <si>
    <t>APM_PD_Rehab_003 </t>
  </si>
  <si>
    <t>APM_PD_Home_003</t>
  </si>
  <si>
    <t>APM_PD_Rehab_004</t>
  </si>
  <si>
    <t>APM_PD_Home_006</t>
  </si>
  <si>
    <t>APM_PD_Home_007</t>
  </si>
  <si>
    <t>APM_PD_Rehab_005</t>
  </si>
  <si>
    <t>APM_PD_Home_009</t>
  </si>
  <si>
    <t>APM_PD_Rehab_008</t>
  </si>
  <si>
    <t>APM_PD_Home_012</t>
  </si>
  <si>
    <t>APM_PD_Rehab_010</t>
  </si>
  <si>
    <t>APM_PD_Rehab_011</t>
  </si>
  <si>
    <t>APM_PD_Rehab_014</t>
  </si>
  <si>
    <t>APM_PD_Home_015</t>
  </si>
  <si>
    <t>APM_PD_Home_016</t>
  </si>
  <si>
    <t>APM_PD_Home_017</t>
  </si>
  <si>
    <t>APM_PD_Rehab_016</t>
  </si>
  <si>
    <t>APM_PD_Home_019</t>
  </si>
  <si>
    <t>APM_PD_Rehab_019</t>
  </si>
  <si>
    <t>APM_PD_Home_021</t>
  </si>
  <si>
    <t>APM_PD_Rehab_021</t>
  </si>
  <si>
    <t>APM_PD_Rehab_022</t>
  </si>
  <si>
    <t>APM_PD_Rehab_023</t>
  </si>
  <si>
    <t>APM_PD_Rehab_025</t>
  </si>
  <si>
    <t>APM_PD_Home_025</t>
  </si>
  <si>
    <t>APM_PD_Home_026</t>
  </si>
  <si>
    <t xml:space="preserve">APM_PD_Rehab_026 </t>
  </si>
  <si>
    <t>APM_PD_Rehab_035</t>
  </si>
  <si>
    <t xml:space="preserve">APM_PD_Rehab_030 </t>
  </si>
  <si>
    <t>APM_PD_Rehab_037</t>
  </si>
  <si>
    <t>APM_PD_Rehab_034</t>
  </si>
  <si>
    <t>APM_PD_Rehab_027</t>
  </si>
  <si>
    <t>APM_PD_Rehab_047</t>
  </si>
  <si>
    <t>APM_PD_Rehab_050</t>
  </si>
  <si>
    <t>APM_PD_Rehab_049</t>
  </si>
  <si>
    <t>APM_PD_Rehab_058</t>
  </si>
  <si>
    <t>APM_PD_Rehab_059</t>
  </si>
  <si>
    <t>APM_PD_Rehab_056</t>
  </si>
  <si>
    <t>APM_PD_Rehab_060</t>
  </si>
  <si>
    <t>APM_PD_Rehab_061</t>
  </si>
  <si>
    <t>APM_PD_Rehab_063</t>
  </si>
  <si>
    <t>APM_PD_Rehab_066</t>
  </si>
  <si>
    <t>APM_PD_Rehab_067</t>
  </si>
  <si>
    <t>APM_PD_Rehab_069</t>
  </si>
  <si>
    <t>APM_PD_Rehab_073</t>
  </si>
  <si>
    <t>APM_PD_Rehab_077</t>
  </si>
  <si>
    <t>APM_PD_Rehab_082</t>
  </si>
  <si>
    <t>APM_PD_Home_024</t>
  </si>
  <si>
    <t>APM_PD_Rehab_028</t>
  </si>
  <si>
    <t>APM_PD_Rehab_029</t>
  </si>
  <si>
    <t>APM_PD_Rehab_032</t>
  </si>
  <si>
    <t>APM_PD_Rehab_036</t>
  </si>
  <si>
    <t>APM_PD_Rehab_038</t>
  </si>
  <si>
    <t>APM_PD_Rehab_039</t>
  </si>
  <si>
    <t>APM_PD_Rehab_042</t>
  </si>
  <si>
    <t>APM_PD_Rehab_043</t>
  </si>
  <si>
    <t>APM_PD_Rehab_046</t>
  </si>
  <si>
    <t>APM_PD_Rehab_048</t>
  </si>
  <si>
    <t>APM_PD_Rehab_051</t>
  </si>
  <si>
    <t>APM_PD_Rehab_053</t>
  </si>
  <si>
    <t>APM_PD_Rehab_057</t>
  </si>
  <si>
    <t>APM_PD_Rehab_064</t>
  </si>
  <si>
    <t>APM_PD_Rehab_065</t>
  </si>
  <si>
    <t>APM_PD_Rehab_072</t>
  </si>
  <si>
    <t>APM_PD_Rehab_040</t>
  </si>
  <si>
    <t>APM_PD_Rehab_070</t>
  </si>
  <si>
    <t>APM_PD_Rehab_071</t>
  </si>
  <si>
    <t>APM_PD_Rehab_074</t>
  </si>
  <si>
    <t>APM_PD_Rehab_075</t>
  </si>
  <si>
    <t>APM_PD_Rehab_076</t>
  </si>
  <si>
    <t>APM_PD_Rehab_078</t>
  </si>
  <si>
    <t>APM_PD_Rehab_080</t>
  </si>
  <si>
    <t>APM_PD_Rehab_081</t>
  </si>
  <si>
    <t>APM_PD_Rehab_083</t>
  </si>
  <si>
    <t>CCPP_PD_Home_27</t>
  </si>
  <si>
    <t>missing</t>
  </si>
  <si>
    <t>na</t>
  </si>
  <si>
    <t> </t>
  </si>
  <si>
    <t>no</t>
  </si>
  <si>
    <t>yes</t>
  </si>
  <si>
    <t xml:space="preserve">NA </t>
  </si>
  <si>
    <t>Caregiver</t>
  </si>
  <si>
    <t>patient</t>
  </si>
  <si>
    <t>NA data not investigated</t>
  </si>
  <si>
    <t>none</t>
  </si>
  <si>
    <t>caregiver</t>
  </si>
  <si>
    <t>data not investigated</t>
  </si>
  <si>
    <t>no answare</t>
  </si>
  <si>
    <t>NA not answare</t>
  </si>
  <si>
    <t>PATIENT</t>
  </si>
  <si>
    <t>Paciente</t>
  </si>
  <si>
    <t>NA no answare</t>
  </si>
  <si>
    <t>personal problems</t>
  </si>
  <si>
    <t>NONE</t>
  </si>
  <si>
    <t>dry mouth</t>
  </si>
  <si>
    <t>concerns, pains</t>
  </si>
  <si>
    <t>Cat</t>
  </si>
  <si>
    <t xml:space="preserve">none </t>
  </si>
  <si>
    <t>work-related stress</t>
  </si>
  <si>
    <t>uncomfortable bed</t>
  </si>
  <si>
    <t>noise</t>
  </si>
  <si>
    <t>elicopter (air ambulance)</t>
  </si>
  <si>
    <t>shoulder pain</t>
  </si>
  <si>
    <t xml:space="preserve">heels pain </t>
  </si>
  <si>
    <t>backache</t>
  </si>
  <si>
    <t>patient in te same room</t>
  </si>
  <si>
    <t>noise of my family</t>
  </si>
  <si>
    <t>Nurses make noise during the night</t>
  </si>
  <si>
    <t>cramps</t>
  </si>
  <si>
    <t>surgery</t>
  </si>
  <si>
    <t>repeated bad dreams. I dream of not being able to complete my assignments</t>
  </si>
  <si>
    <t>heavy meal at dinner</t>
  </si>
  <si>
    <t>I have more thing that warry me</t>
  </si>
  <si>
    <t>I struggle to turn over in bed</t>
  </si>
  <si>
    <t>Bad</t>
  </si>
  <si>
    <t>Very bad</t>
  </si>
  <si>
    <t>GOOD</t>
  </si>
  <si>
    <t>Good</t>
  </si>
  <si>
    <t>Very good</t>
  </si>
  <si>
    <t>REGULAR</t>
  </si>
  <si>
    <t>regular</t>
  </si>
  <si>
    <t>VERY GOOD</t>
  </si>
  <si>
    <t>BAD</t>
  </si>
  <si>
    <t>good</t>
  </si>
  <si>
    <t>VERY BAD</t>
  </si>
  <si>
    <t>CCPP_PD_Home_38</t>
  </si>
  <si>
    <t>3a=Yes/No --&gt; Is the patient under pharmacological treatment for PD?</t>
  </si>
  <si>
    <t>3b=On/Off --&gt; Is the patient in ON or OFF during the assessment?</t>
  </si>
  <si>
    <t>3c=Yes/No --&gt; Is the patient under LEVODOPA?</t>
  </si>
  <si>
    <t>3C1=Minutes --&gt; How many minutes ago patient take your last treatment?</t>
  </si>
  <si>
    <t>Patient/caregivers/patient+caregiver --&gt; with whom was the evaluation completed?</t>
  </si>
  <si>
    <t>Pregunta</t>
  </si>
  <si>
    <t>ITEM_CODE</t>
  </si>
  <si>
    <t>HEART</t>
  </si>
  <si>
    <t>VASCULAR</t>
  </si>
  <si>
    <t>HEMATOPOIETIC</t>
  </si>
  <si>
    <t>RESPIRATORY</t>
  </si>
  <si>
    <t>EYES_EARS_NOSE_THROAT</t>
  </si>
  <si>
    <t>UPPER_GI</t>
  </si>
  <si>
    <t>LOWER_GI</t>
  </si>
  <si>
    <t>LIVER</t>
  </si>
  <si>
    <t>RENAL</t>
  </si>
  <si>
    <t>GENITOURINARY</t>
  </si>
  <si>
    <t>MUSCULOSKELETAL</t>
  </si>
  <si>
    <t>NEUROLOGICAL</t>
  </si>
  <si>
    <t>ENDOCRINE</t>
  </si>
  <si>
    <t>PSYCHIATRIC</t>
  </si>
  <si>
    <t>SCORE</t>
  </si>
  <si>
    <t xml:space="preserve">CIRS-G </t>
  </si>
  <si>
    <t xml:space="preserve">FES_ASSESSMENT_FORM </t>
  </si>
  <si>
    <t>FES_SCORE</t>
  </si>
  <si>
    <t>FEEDING</t>
  </si>
  <si>
    <t>GROOMING</t>
  </si>
  <si>
    <t>TOILET_USE</t>
  </si>
  <si>
    <t>BATHING</t>
  </si>
  <si>
    <t>BOWELS</t>
  </si>
  <si>
    <t>BLADDER</t>
  </si>
  <si>
    <t>DRESSING</t>
  </si>
  <si>
    <t>TRANSFER</t>
  </si>
  <si>
    <t>MOBILITY</t>
  </si>
  <si>
    <t>STAIRS</t>
  </si>
  <si>
    <t>BARTHEL</t>
  </si>
  <si>
    <t>BERG_BALANCE_SCALE</t>
  </si>
  <si>
    <t>SITTING_TO_STANDING</t>
  </si>
  <si>
    <t>STANDING_UNSUPPORTED</t>
  </si>
  <si>
    <t>SITTING_BACK_UNSUPPORTED</t>
  </si>
  <si>
    <t>STANDING_TO_SITTING</t>
  </si>
  <si>
    <t>TRANSFERS</t>
  </si>
  <si>
    <t>STANDING_UNSUPPORTED_EYES_CLOSED</t>
  </si>
  <si>
    <t>STANDING_UNSUPPORTED_FEET_TOGETHER</t>
  </si>
  <si>
    <t>REACHING_FORWARD</t>
  </si>
  <si>
    <t>PICK_UP_OBJECT</t>
  </si>
  <si>
    <t>LOOK_BEHIND</t>
  </si>
  <si>
    <t>TURN_360</t>
  </si>
  <si>
    <t>ALTERNATE_FOOT</t>
  </si>
  <si>
    <t>STANDING_ONE_FOOT</t>
  </si>
  <si>
    <t>STANDING_ONE_LEG</t>
  </si>
  <si>
    <t xml:space="preserve">MDS-UPDRS-1 </t>
  </si>
  <si>
    <t>MDS-UPDRS-4</t>
  </si>
  <si>
    <t>MDS-UPDRS-3</t>
  </si>
  <si>
    <t>MDS-UPDRS-2</t>
  </si>
  <si>
    <t>Q1_A</t>
  </si>
  <si>
    <t>Q1_1</t>
  </si>
  <si>
    <t>Q1_2</t>
  </si>
  <si>
    <t>Q1_3</t>
  </si>
  <si>
    <t>Q1_4</t>
  </si>
  <si>
    <t>Q1_5</t>
  </si>
  <si>
    <t>Q1_6</t>
  </si>
  <si>
    <t>Q1_6A</t>
  </si>
  <si>
    <t>Q1_7</t>
  </si>
  <si>
    <t>Q1_8</t>
  </si>
  <si>
    <t>Q1_9</t>
  </si>
  <si>
    <t>Q1_10</t>
  </si>
  <si>
    <t>Q1_11</t>
  </si>
  <si>
    <t>Q1_12</t>
  </si>
  <si>
    <t>Q1_13</t>
  </si>
  <si>
    <t>TOTAL_1</t>
  </si>
  <si>
    <t>Q2_1</t>
  </si>
  <si>
    <t>Q2_2</t>
  </si>
  <si>
    <t>Q2_3</t>
  </si>
  <si>
    <t>Q2_4</t>
  </si>
  <si>
    <t>Q2_5</t>
  </si>
  <si>
    <t>Q2_6</t>
  </si>
  <si>
    <t>Q2_7</t>
  </si>
  <si>
    <t>Q2_8</t>
  </si>
  <si>
    <t>Q2_9</t>
  </si>
  <si>
    <t>Q2_10</t>
  </si>
  <si>
    <t>Q2_11</t>
  </si>
  <si>
    <t>Q2_12</t>
  </si>
  <si>
    <t>Q2_13</t>
  </si>
  <si>
    <t>TOTAL_2</t>
  </si>
  <si>
    <t>Q3A</t>
  </si>
  <si>
    <t>Q3B</t>
  </si>
  <si>
    <t>Q3_C</t>
  </si>
  <si>
    <t>Q3_C1</t>
  </si>
  <si>
    <t>Q3_1</t>
  </si>
  <si>
    <t>Q3_2</t>
  </si>
  <si>
    <t>Q3_3A</t>
  </si>
  <si>
    <t>Q3_3B</t>
  </si>
  <si>
    <t>Q3_3C</t>
  </si>
  <si>
    <t>Q3_3D</t>
  </si>
  <si>
    <t>Q3_3E</t>
  </si>
  <si>
    <t>Q3_4A</t>
  </si>
  <si>
    <t>Q3_4B</t>
  </si>
  <si>
    <t>Q3_5A</t>
  </si>
  <si>
    <t>Q3_5B</t>
  </si>
  <si>
    <t>Q3_6A</t>
  </si>
  <si>
    <t>Q3_6B</t>
  </si>
  <si>
    <t>Q3_7A</t>
  </si>
  <si>
    <t>Q3_7B</t>
  </si>
  <si>
    <t>Q3_8A</t>
  </si>
  <si>
    <t>Q3_8B</t>
  </si>
  <si>
    <t>Q3_9</t>
  </si>
  <si>
    <t>Q3_10</t>
  </si>
  <si>
    <t>Q3_11</t>
  </si>
  <si>
    <t>Q3_12</t>
  </si>
  <si>
    <t>Q3_13</t>
  </si>
  <si>
    <t>Q3_14</t>
  </si>
  <si>
    <t>Q3_15A</t>
  </si>
  <si>
    <t>Q3_15B</t>
  </si>
  <si>
    <t>Q3_16A</t>
  </si>
  <si>
    <t>Q3_16B</t>
  </si>
  <si>
    <t>Q3_17A</t>
  </si>
  <si>
    <t>Q3_17B</t>
  </si>
  <si>
    <t>Q3_17C</t>
  </si>
  <si>
    <t>Q3_17D</t>
  </si>
  <si>
    <t>Q3_17E</t>
  </si>
  <si>
    <t>Q3_18</t>
  </si>
  <si>
    <t>DYSC_PRESENT</t>
  </si>
  <si>
    <t>A. Were dyskinesias (chorea or dystonia) present during examination?</t>
  </si>
  <si>
    <t>DYSC_INTERFERE</t>
  </si>
  <si>
    <t>B. If yes, did these movements interfere with your ratings?</t>
  </si>
  <si>
    <t>HOEHN_YAHR</t>
  </si>
  <si>
    <t>TOTAL_3</t>
  </si>
  <si>
    <t>Q4_1</t>
  </si>
  <si>
    <t>Q4_2</t>
  </si>
  <si>
    <t>Q4_3</t>
  </si>
  <si>
    <t>Q4_4</t>
  </si>
  <si>
    <t>Q4_5</t>
  </si>
  <si>
    <t>Q4_6</t>
  </si>
  <si>
    <t>TOTAL_4</t>
  </si>
  <si>
    <t>Estas preguntas están en nuestro cuestionario pero no en el suyo</t>
  </si>
  <si>
    <t>EQ-5D-5DL</t>
  </si>
  <si>
    <t>SELFCARE</t>
  </si>
  <si>
    <t>ADL</t>
  </si>
  <si>
    <t>PAIN</t>
  </si>
  <si>
    <t>DEPRESS</t>
  </si>
  <si>
    <t>SELF_HEALTH_COND</t>
  </si>
  <si>
    <t>PCI_PSQIS_FORM</t>
  </si>
  <si>
    <t>BEDTIME</t>
  </si>
  <si>
    <t>FALL_ASLEEP_TIME</t>
  </si>
  <si>
    <t>GETUP_TIME</t>
  </si>
  <si>
    <t>SLEEP_TIME_NIGHT</t>
  </si>
  <si>
    <t>INABILITY_SLEEP</t>
  </si>
  <si>
    <t>WAKING_UP</t>
  </si>
  <si>
    <t>GO_BATHROOM</t>
  </si>
  <si>
    <t>BREATHING</t>
  </si>
  <si>
    <t>COUGH_SNORE</t>
  </si>
  <si>
    <t>COLD</t>
  </si>
  <si>
    <t>HOT</t>
  </si>
  <si>
    <t>BAD_DREAMS</t>
  </si>
  <si>
    <t>OTHER_REASONS</t>
  </si>
  <si>
    <t>OTHER_REASONS_SPECIFY</t>
  </si>
  <si>
    <t>Specify other reason(s):</t>
  </si>
  <si>
    <t>MEDICINES_SLEEP</t>
  </si>
  <si>
    <t>TROUBLE_STAYING_AWAKE</t>
  </si>
  <si>
    <t>THINGS_DONE</t>
  </si>
  <si>
    <t>SUBJ_SLEEP_QUALITY</t>
  </si>
  <si>
    <t>BED_PARTNER</t>
  </si>
  <si>
    <t>10. Bed partner or room mate:</t>
  </si>
  <si>
    <t>ROOMMATE_TITLE</t>
  </si>
  <si>
    <t>Room-mate questions: &lt;/br&gt; If you have a room mate or bed partner, ask him/her how often in the past month you have had:</t>
  </si>
  <si>
    <t>ROOMMATE_SNORING</t>
  </si>
  <si>
    <t>a. Loud snoring</t>
  </si>
  <si>
    <t>ROOMMATE_PAUSES</t>
  </si>
  <si>
    <t>b. Long pauses between breaths while asleep</t>
  </si>
  <si>
    <t>ROOMMATE_TWITCH</t>
  </si>
  <si>
    <t>c. Legs twitching or jerking while you sleep</t>
  </si>
  <si>
    <t>ROOMMATE_DESORIENTATION</t>
  </si>
  <si>
    <t>d. Episodes of disorientation or confusion during sleep</t>
  </si>
  <si>
    <t>ROOMMATE_OTHER</t>
  </si>
  <si>
    <t>e. Other restlessness while you sleep:</t>
  </si>
  <si>
    <t>ROOMMATE_OTHER_SPECIFY</t>
  </si>
  <si>
    <t>Other restlessness:</t>
  </si>
  <si>
    <t>PSQI_SCORE</t>
  </si>
  <si>
    <t>STRAI_FORM</t>
  </si>
  <si>
    <t>Patient/Caregiver</t>
  </si>
  <si>
    <t>CLEANING</t>
  </si>
  <si>
    <t>DRESSED</t>
  </si>
  <si>
    <t>MEALS</t>
  </si>
  <si>
    <t>BATH</t>
  </si>
  <si>
    <t>SHOPPING</t>
  </si>
  <si>
    <t>CHAIR</t>
  </si>
  <si>
    <t>NEIGHBOURHOOD</t>
  </si>
  <si>
    <t>REACHING</t>
  </si>
  <si>
    <t>TELEPHONE</t>
  </si>
  <si>
    <t>SLIPPERY</t>
  </si>
  <si>
    <t>FRIEND</t>
  </si>
  <si>
    <t>CROWDS</t>
  </si>
  <si>
    <t>UNEVEN</t>
  </si>
  <si>
    <t>SLOPE</t>
  </si>
  <si>
    <t>SOCIAL</t>
  </si>
  <si>
    <t>NOW_CALM</t>
  </si>
  <si>
    <t>NOW_SECURE</t>
  </si>
  <si>
    <t>NOW_TENSE</t>
  </si>
  <si>
    <t>NOW_STRAINED</t>
  </si>
  <si>
    <t>NOW_EASE</t>
  </si>
  <si>
    <t>NOW_UPSET</t>
  </si>
  <si>
    <t>NOW_MISFORTUNES</t>
  </si>
  <si>
    <t>NOW_SATISFIED</t>
  </si>
  <si>
    <t>NOW_FRIGHTENED</t>
  </si>
  <si>
    <t>NOW_UNCOMFORTABLE</t>
  </si>
  <si>
    <t>NOW_SELFCONFIDENT</t>
  </si>
  <si>
    <t>NOW_NERVOUS</t>
  </si>
  <si>
    <t>NOW_JITTERY</t>
  </si>
  <si>
    <t>NOW_INDECISIVE</t>
  </si>
  <si>
    <t>NOW_RELAXED</t>
  </si>
  <si>
    <t>NOW_CONTENT</t>
  </si>
  <si>
    <t>NOW_WORRIED</t>
  </si>
  <si>
    <t>NOW_CONFUSED</t>
  </si>
  <si>
    <t>NOW_STEADY</t>
  </si>
  <si>
    <t>NOW_PLEASANT</t>
  </si>
  <si>
    <t>GEN_PLEASANT</t>
  </si>
  <si>
    <t>GEN_NERVOUS</t>
  </si>
  <si>
    <t>GEN_SATISFIED</t>
  </si>
  <si>
    <t>GEN_WISH_HAPPY</t>
  </si>
  <si>
    <t>GEN_FAILURE</t>
  </si>
  <si>
    <t>GEN_RESTED</t>
  </si>
  <si>
    <t>GEN_CALM</t>
  </si>
  <si>
    <t>GEN_DIFICULTIES</t>
  </si>
  <si>
    <t>GEN_WORRIED</t>
  </si>
  <si>
    <t>GEN_HAPPY</t>
  </si>
  <si>
    <t>GEN_DISTURBING_THOUGHTS</t>
  </si>
  <si>
    <t>GEN_LACK_CONFIDENCE</t>
  </si>
  <si>
    <t>GEN_SECURE</t>
  </si>
  <si>
    <t>GEN_DECIDED</t>
  </si>
  <si>
    <t>GEN_INADEQUATE</t>
  </si>
  <si>
    <t>GEN_CONTENT</t>
  </si>
  <si>
    <t>GEN_UNIMPORTANT_THOUGHTS</t>
  </si>
  <si>
    <t>GEN_DISAPPOINTMENT</t>
  </si>
  <si>
    <t>GEN_STEADY</t>
  </si>
  <si>
    <t>GEN_TENSE</t>
  </si>
  <si>
    <t>NOW_TOTAL</t>
  </si>
  <si>
    <t>GEN_TOTAL</t>
  </si>
  <si>
    <t>#BATHING</t>
  </si>
  <si>
    <t>#TOILET_USE</t>
  </si>
  <si>
    <t>#GROOMING</t>
  </si>
  <si>
    <t xml:space="preserve"> </t>
  </si>
  <si>
    <t>#BEDTIME</t>
  </si>
  <si>
    <t>#FALL_ASLEEP_TIME</t>
  </si>
  <si>
    <t>#GETUP_TIME</t>
  </si>
  <si>
    <t>#OTHER_REASONS</t>
  </si>
  <si>
    <t>#OTHER_REASONS_SPECIFY</t>
  </si>
  <si>
    <t>#SCORE</t>
  </si>
  <si>
    <t>#NOW_TOTAL</t>
  </si>
  <si>
    <t>#GEN_TOTAL</t>
  </si>
  <si>
    <t>#Q1_A</t>
  </si>
  <si>
    <t>#Q1_6A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</si>
</sst>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202122"/>
      <name val="Arial"/>
      <family val="2"/>
    </font>
    <font>
      <b/>
      <sz val="11"/>
      <color rgb="FF7030A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14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11" xfId="0" applyBorder="1"/>
    <xf numFmtId="0" fontId="0" fillId="7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6" fillId="0" borderId="0" xfId="0" applyFont="1" applyAlignment="1">
      <alignment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horizontal="left"/>
    </xf>
    <xf numFmtId="0" fontId="1" fillId="8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5" xfId="0" applyFont="1" applyBorder="1"/>
    <xf numFmtId="0" fontId="4" fillId="0" borderId="15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8" fillId="6" borderId="15" xfId="0" applyFont="1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16" xfId="0" applyBorder="1" applyAlignment="1">
      <alignment horizontal="center"/>
    </xf>
    <xf numFmtId="0" fontId="9" fillId="6" borderId="0" xfId="0" applyFont="1" applyFill="1" applyAlignment="1">
      <alignment horizontal="center"/>
    </xf>
    <xf numFmtId="0" fontId="0" fillId="6" borderId="17" xfId="0" applyFill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8" fillId="0" borderId="16" xfId="0" applyFont="1" applyBorder="1" applyAlignment="1">
      <alignment horizontal="center"/>
    </xf>
    <xf numFmtId="0" fontId="11" fillId="0" borderId="7" xfId="0" applyFont="1" applyBorder="1" applyAlignment="1">
      <alignment horizontal="center" wrapText="1"/>
    </xf>
    <xf numFmtId="0" fontId="4" fillId="0" borderId="15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7" xfId="0" applyFont="1" applyBorder="1" applyAlignment="1">
      <alignment horizontal="center" wrapText="1"/>
    </xf>
    <xf numFmtId="0" fontId="4" fillId="0" borderId="18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11" fillId="0" borderId="7" xfId="0" applyFont="1" applyBorder="1" applyAlignment="1">
      <alignment horizontal="center"/>
    </xf>
    <xf numFmtId="0" fontId="4" fillId="9" borderId="15" xfId="0" applyFont="1" applyFill="1" applyBorder="1" applyAlignment="1">
      <alignment horizontal="center"/>
    </xf>
    <xf numFmtId="0" fontId="4" fillId="9" borderId="18" xfId="0" applyFont="1" applyFill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9" borderId="12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 wrapText="1"/>
    </xf>
    <xf numFmtId="0" fontId="4" fillId="9" borderId="6" xfId="0" applyFont="1" applyFill="1" applyBorder="1" applyAlignment="1">
      <alignment horizontal="center" wrapText="1"/>
    </xf>
    <xf numFmtId="0" fontId="11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 wrapText="1"/>
    </xf>
    <xf numFmtId="0" fontId="12" fillId="0" borderId="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2" fillId="0" borderId="18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4" xfId="0" applyFont="1" applyBorder="1" applyAlignment="1">
      <alignment horizontal="center" wrapText="1"/>
    </xf>
    <xf numFmtId="0" fontId="4" fillId="0" borderId="15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19" xfId="0" applyFont="1" applyBorder="1" applyAlignment="1">
      <alignment horizontal="center" wrapText="1"/>
    </xf>
    <xf numFmtId="0" fontId="4" fillId="0" borderId="2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4" fillId="9" borderId="19" xfId="0" applyFont="1" applyFill="1" applyBorder="1" applyAlignment="1">
      <alignment horizontal="center"/>
    </xf>
    <xf numFmtId="0" fontId="4" fillId="0" borderId="21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4" fillId="9" borderId="23" xfId="0" applyFont="1" applyFill="1" applyBorder="1" applyAlignment="1">
      <alignment horizontal="center"/>
    </xf>
    <xf numFmtId="0" fontId="4" fillId="9" borderId="24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 wrapText="1"/>
    </xf>
    <xf numFmtId="0" fontId="0" fillId="10" borderId="15" xfId="0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6" borderId="15" xfId="0" applyNumberFormat="1" applyFill="1" applyBorder="1" applyAlignment="1">
      <alignment horizontal="center"/>
    </xf>
    <xf numFmtId="0" fontId="9" fillId="6" borderId="15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14" fillId="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8" fillId="0" borderId="15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4" fillId="0" borderId="14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11" fillId="0" borderId="12" xfId="0" applyFont="1" applyBorder="1" applyAlignment="1">
      <alignment horizontal="center" wrapText="1"/>
    </xf>
    <xf numFmtId="0" fontId="4" fillId="0" borderId="26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9" borderId="19" xfId="0" applyFont="1" applyFill="1" applyBorder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4" fillId="9" borderId="19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9" borderId="23" xfId="0" applyFont="1" applyFill="1" applyBorder="1" applyAlignment="1">
      <alignment horizontal="center" vertical="center"/>
    </xf>
    <xf numFmtId="0" fontId="4" fillId="9" borderId="2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0" fillId="0" borderId="27" xfId="0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0" fillId="6" borderId="15" xfId="0" applyFont="1" applyFill="1" applyBorder="1" applyAlignment="1">
      <alignment horizontal="center" vertical="center"/>
    </xf>
    <xf numFmtId="20" fontId="10" fillId="0" borderId="15" xfId="0" applyNumberFormat="1" applyFont="1" applyBorder="1" applyAlignment="1">
      <alignment horizontal="center" vertical="center"/>
    </xf>
    <xf numFmtId="20" fontId="0" fillId="0" borderId="15" xfId="0" applyNumberFormat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20" fontId="0" fillId="0" borderId="16" xfId="0" applyNumberForma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6" fillId="9" borderId="19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4" fillId="9" borderId="2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center" vertical="center"/>
    </xf>
    <xf numFmtId="0" fontId="17" fillId="9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10" fillId="0" borderId="15" xfId="0" applyNumberFormat="1" applyFont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20" fontId="8" fillId="0" borderId="15" xfId="0" applyNumberFormat="1" applyFont="1" applyBorder="1" applyAlignment="1">
      <alignment horizontal="center" vertical="center"/>
    </xf>
    <xf numFmtId="20" fontId="16" fillId="0" borderId="0" xfId="0" applyNumberFormat="1" applyFont="1" applyAlignment="1">
      <alignment horizontal="center" vertical="center"/>
    </xf>
    <xf numFmtId="20" fontId="16" fillId="9" borderId="12" xfId="0" applyNumberFormat="1" applyFont="1" applyFill="1" applyBorder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4" fillId="9" borderId="15" xfId="0" applyFont="1" applyFill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20" fontId="4" fillId="0" borderId="19" xfId="0" applyNumberFormat="1" applyFont="1" applyBorder="1" applyAlignment="1">
      <alignment horizontal="center" vertical="center"/>
    </xf>
    <xf numFmtId="20" fontId="16" fillId="9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20" fontId="4" fillId="0" borderId="7" xfId="0" applyNumberFormat="1" applyFont="1" applyBorder="1" applyAlignment="1">
      <alignment horizontal="center" vertical="center"/>
    </xf>
    <xf numFmtId="20" fontId="16" fillId="9" borderId="15" xfId="0" applyNumberFormat="1" applyFont="1" applyFill="1" applyBorder="1" applyAlignment="1">
      <alignment horizontal="center" vertical="center"/>
    </xf>
    <xf numFmtId="20" fontId="4" fillId="0" borderId="12" xfId="0" applyNumberFormat="1" applyFont="1" applyBorder="1" applyAlignment="1">
      <alignment horizontal="center" vertical="center"/>
    </xf>
    <xf numFmtId="20" fontId="4" fillId="0" borderId="15" xfId="0" applyNumberFormat="1" applyFont="1" applyBorder="1" applyAlignment="1">
      <alignment horizontal="center" vertical="center"/>
    </xf>
    <xf numFmtId="0" fontId="16" fillId="6" borderId="15" xfId="0" applyFont="1" applyFill="1" applyBorder="1" applyAlignment="1">
      <alignment horizontal="center" vertical="center"/>
    </xf>
    <xf numFmtId="20" fontId="16" fillId="9" borderId="19" xfId="0" applyNumberFormat="1" applyFont="1" applyFill="1" applyBorder="1" applyAlignment="1">
      <alignment horizontal="center" vertical="center"/>
    </xf>
    <xf numFmtId="20" fontId="4" fillId="0" borderId="6" xfId="0" applyNumberFormat="1" applyFont="1" applyBorder="1" applyAlignment="1">
      <alignment horizontal="center" vertical="center"/>
    </xf>
    <xf numFmtId="20" fontId="16" fillId="9" borderId="14" xfId="0" applyNumberFormat="1" applyFont="1" applyFill="1" applyBorder="1" applyAlignment="1">
      <alignment horizontal="center" vertical="center"/>
    </xf>
    <xf numFmtId="20" fontId="4" fillId="0" borderId="13" xfId="0" applyNumberFormat="1" applyFont="1" applyBorder="1" applyAlignment="1">
      <alignment horizontal="center" vertical="center"/>
    </xf>
    <xf numFmtId="0" fontId="16" fillId="6" borderId="1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0" fontId="15" fillId="0" borderId="15" xfId="0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6" borderId="6" xfId="0" applyFont="1" applyFill="1" applyBorder="1" applyAlignment="1">
      <alignment horizontal="center" vertical="center"/>
    </xf>
    <xf numFmtId="20" fontId="4" fillId="9" borderId="15" xfId="0" applyNumberFormat="1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20" fontId="12" fillId="0" borderId="1" xfId="0" applyNumberFormat="1" applyFont="1" applyBorder="1" applyAlignment="1">
      <alignment horizontal="center" vertical="center"/>
    </xf>
    <xf numFmtId="20" fontId="12" fillId="0" borderId="6" xfId="0" applyNumberFormat="1" applyFont="1" applyBorder="1" applyAlignment="1">
      <alignment horizontal="center" vertical="center"/>
    </xf>
    <xf numFmtId="0" fontId="12" fillId="6" borderId="6" xfId="0" applyFont="1" applyFill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20" fontId="4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20" fontId="4" fillId="0" borderId="1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6" borderId="9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20" fontId="4" fillId="0" borderId="17" xfId="0" applyNumberFormat="1" applyFont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20" fontId="4" fillId="0" borderId="26" xfId="0" applyNumberFormat="1" applyFont="1" applyBorder="1" applyAlignment="1">
      <alignment horizontal="center" vertical="center"/>
    </xf>
    <xf numFmtId="0" fontId="4" fillId="9" borderId="32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20" fontId="4" fillId="0" borderId="27" xfId="0" applyNumberFormat="1" applyFont="1" applyBorder="1" applyAlignment="1">
      <alignment horizontal="center" vertical="center"/>
    </xf>
    <xf numFmtId="20" fontId="4" fillId="9" borderId="6" xfId="0" applyNumberFormat="1" applyFont="1" applyFill="1" applyBorder="1" applyAlignment="1">
      <alignment horizontal="center" vertical="center"/>
    </xf>
    <xf numFmtId="164" fontId="0" fillId="0" borderId="2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4" fillId="0" borderId="15" xfId="0" applyNumberFormat="1" applyFont="1" applyBorder="1" applyAlignment="1">
      <alignment horizontal="center"/>
    </xf>
    <xf numFmtId="164" fontId="16" fillId="9" borderId="1" xfId="0" applyNumberFormat="1" applyFont="1" applyFill="1" applyBorder="1" applyAlignment="1">
      <alignment horizontal="center"/>
    </xf>
    <xf numFmtId="0" fontId="16" fillId="9" borderId="6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164" fontId="4" fillId="9" borderId="19" xfId="0" applyNumberFormat="1" applyFont="1" applyFill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4" fontId="4" fillId="0" borderId="14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 wrapText="1"/>
    </xf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164" fontId="4" fillId="9" borderId="1" xfId="0" applyNumberFormat="1" applyFont="1" applyFill="1" applyBorder="1" applyAlignment="1">
      <alignment horizontal="center"/>
    </xf>
    <xf numFmtId="0" fontId="4" fillId="9" borderId="34" xfId="0" applyFont="1" applyFill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0" fillId="6" borderId="0" xfId="0" applyFill="1"/>
    <xf numFmtId="0" fontId="4" fillId="0" borderId="12" xfId="0" applyFont="1" applyBorder="1"/>
    <xf numFmtId="0" fontId="4" fillId="0" borderId="0" xfId="0" applyFont="1"/>
    <xf numFmtId="0" fontId="0" fillId="0" borderId="15" xfId="0" applyBorder="1"/>
    <xf numFmtId="0" fontId="0" fillId="0" borderId="16" xfId="0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0" fillId="6" borderId="15" xfId="0" applyFill="1" applyBorder="1"/>
    <xf numFmtId="0" fontId="19" fillId="6" borderId="15" xfId="0" applyFont="1" applyFill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20" fillId="11" borderId="35" xfId="0" applyFont="1" applyFill="1" applyBorder="1"/>
    <xf numFmtId="0" fontId="20" fillId="11" borderId="36" xfId="0" applyFont="1" applyFill="1" applyBorder="1"/>
    <xf numFmtId="0" fontId="0" fillId="0" borderId="0" xfId="0" applyAlignment="1">
      <alignment wrapText="1"/>
    </xf>
    <xf numFmtId="0" fontId="20" fillId="11" borderId="37" xfId="0" applyFont="1" applyFill="1" applyBorder="1"/>
    <xf numFmtId="0" fontId="20" fillId="11" borderId="38" xfId="0" applyFont="1" applyFill="1" applyBorder="1"/>
    <xf numFmtId="0" fontId="0" fillId="10" borderId="0" xfId="0" applyFill="1"/>
    <xf numFmtId="0" fontId="1" fillId="0" borderId="0" xfId="0" applyFont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0" fillId="10" borderId="15" xfId="0" applyFill="1" applyBorder="1" applyAlignment="1">
      <alignment horizontal="center"/>
    </xf>
    <xf numFmtId="0" fontId="10" fillId="10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8" fillId="0" borderId="15" xfId="0" applyFont="1" applyBorder="1" applyAlignment="1">
      <alignment horizontal="left"/>
    </xf>
    <xf numFmtId="0" fontId="18" fillId="0" borderId="15" xfId="0" applyFont="1" applyBorder="1" applyAlignment="1">
      <alignment horizontal="left"/>
    </xf>
    <xf numFmtId="0" fontId="18" fillId="6" borderId="15" xfId="0" applyFont="1" applyFill="1" applyBorder="1" applyAlignment="1">
      <alignment horizontal="left"/>
    </xf>
    <xf numFmtId="0" fontId="18" fillId="0" borderId="0" xfId="0" applyFont="1" applyAlignment="1">
      <alignment horizontal="left"/>
    </xf>
    <xf numFmtId="0" fontId="18" fillId="6" borderId="0" xfId="0" applyFont="1" applyFill="1" applyAlignment="1">
      <alignment horizontal="left"/>
    </xf>
    <xf numFmtId="0" fontId="9" fillId="0" borderId="0" xfId="0" applyFont="1" applyAlignment="1">
      <alignment horizontal="left"/>
    </xf>
    <xf numFmtId="0" fontId="9" fillId="6" borderId="0" xfId="0" applyFont="1" applyFill="1" applyAlignment="1">
      <alignment horizontal="left"/>
    </xf>
    <xf numFmtId="0" fontId="11" fillId="0" borderId="7" xfId="0" applyFont="1" applyBorder="1" applyAlignment="1">
      <alignment horizontal="left" wrapText="1"/>
    </xf>
    <xf numFmtId="0" fontId="4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wrapText="1"/>
    </xf>
    <xf numFmtId="0" fontId="4" fillId="0" borderId="3" xfId="0" applyFont="1" applyBorder="1" applyAlignment="1">
      <alignment horizontal="left" wrapText="1"/>
    </xf>
    <xf numFmtId="0" fontId="4" fillId="0" borderId="18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4" fillId="0" borderId="18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4" fillId="0" borderId="4" xfId="0" applyFont="1" applyBorder="1" applyAlignment="1">
      <alignment horizontal="left" wrapText="1"/>
    </xf>
    <xf numFmtId="0" fontId="4" fillId="0" borderId="21" xfId="0" applyFont="1" applyBorder="1" applyAlignment="1">
      <alignment horizontal="left"/>
    </xf>
    <xf numFmtId="0" fontId="4" fillId="0" borderId="21" xfId="0" applyFont="1" applyBorder="1" applyAlignment="1">
      <alignment horizontal="left" wrapText="1"/>
    </xf>
    <xf numFmtId="0" fontId="4" fillId="0" borderId="22" xfId="0" applyFont="1" applyBorder="1" applyAlignment="1">
      <alignment horizontal="left" wrapText="1"/>
    </xf>
    <xf numFmtId="0" fontId="4" fillId="0" borderId="4" xfId="0" applyFont="1" applyBorder="1" applyAlignment="1">
      <alignment horizontal="left"/>
    </xf>
    <xf numFmtId="0" fontId="4" fillId="0" borderId="25" xfId="0" applyFont="1" applyBorder="1" applyAlignment="1">
      <alignment horizontal="left" wrapText="1"/>
    </xf>
    <xf numFmtId="0" fontId="21" fillId="0" borderId="0" xfId="0" applyFont="1" applyAlignment="1">
      <alignment wrapText="1"/>
    </xf>
    <xf numFmtId="0" fontId="0" fillId="12" borderId="0" xfId="0" applyFill="1"/>
    <xf numFmtId="0" fontId="21" fillId="0" borderId="0" xfId="0" applyFont="1"/>
    <xf numFmtId="0" fontId="0" fillId="13" borderId="15" xfId="0" applyFill="1" applyBorder="1" applyAlignment="1">
      <alignment horizontal="center" vertical="center"/>
    </xf>
    <xf numFmtId="0" fontId="0" fillId="13" borderId="27" xfId="0" applyFill="1" applyBorder="1" applyAlignment="1">
      <alignment horizontal="center" vertical="center"/>
    </xf>
    <xf numFmtId="0" fontId="4" fillId="13" borderId="12" xfId="0" applyFont="1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8" fillId="12" borderId="15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4" fillId="12" borderId="12" xfId="0" applyFont="1" applyFill="1" applyBorder="1" applyAlignment="1">
      <alignment horizontal="center" vertical="center"/>
    </xf>
    <xf numFmtId="0" fontId="4" fillId="12" borderId="13" xfId="0" applyFont="1" applyFill="1" applyBorder="1" applyAlignment="1">
      <alignment horizontal="center" vertical="center"/>
    </xf>
    <xf numFmtId="0" fontId="4" fillId="12" borderId="15" xfId="0" applyFont="1" applyFill="1" applyBorder="1" applyAlignment="1">
      <alignment horizontal="center" vertical="center"/>
    </xf>
    <xf numFmtId="0" fontId="11" fillId="12" borderId="6" xfId="0" applyFont="1" applyFill="1" applyBorder="1" applyAlignment="1">
      <alignment horizontal="center" vertical="center"/>
    </xf>
    <xf numFmtId="0" fontId="4" fillId="12" borderId="24" xfId="0" applyFont="1" applyFill="1" applyBorder="1" applyAlignment="1">
      <alignment horizontal="center" vertical="center"/>
    </xf>
    <xf numFmtId="0" fontId="11" fillId="12" borderId="12" xfId="0" applyFont="1" applyFill="1" applyBorder="1" applyAlignment="1">
      <alignment horizontal="center" vertical="center"/>
    </xf>
    <xf numFmtId="0" fontId="11" fillId="14" borderId="12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0" fontId="11" fillId="14" borderId="13" xfId="0" applyFont="1" applyFill="1" applyBorder="1" applyAlignment="1">
      <alignment horizontal="center" vertical="center"/>
    </xf>
    <xf numFmtId="0" fontId="12" fillId="12" borderId="6" xfId="0" applyFont="1" applyFill="1" applyBorder="1" applyAlignment="1">
      <alignment horizontal="center" vertical="center"/>
    </xf>
    <xf numFmtId="0" fontId="11" fillId="14" borderId="15" xfId="0" applyFont="1" applyFill="1" applyBorder="1" applyAlignment="1">
      <alignment horizontal="center" vertical="center"/>
    </xf>
    <xf numFmtId="0" fontId="11" fillId="12" borderId="13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16" fillId="14" borderId="6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/>
    </xf>
    <xf numFmtId="0" fontId="4" fillId="14" borderId="12" xfId="0" applyFont="1" applyFill="1" applyBorder="1" applyAlignment="1">
      <alignment horizontal="center" vertical="center"/>
    </xf>
    <xf numFmtId="0" fontId="4" fillId="14" borderId="24" xfId="0" applyFont="1" applyFill="1" applyBorder="1" applyAlignment="1">
      <alignment horizontal="center" vertical="center"/>
    </xf>
    <xf numFmtId="0" fontId="15" fillId="14" borderId="6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20" fontId="0" fillId="6" borderId="0" xfId="0" applyNumberFormat="1" applyFill="1" applyAlignment="1">
      <alignment horizontal="center" vertical="center"/>
    </xf>
    <xf numFmtId="20" fontId="0" fillId="12" borderId="15" xfId="0" applyNumberForma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0" fillId="12" borderId="15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color auto="1"/>
      </font>
      <alignment horizontal="general" vertical="bottom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color auto="1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E1914D-EAA4-4244-8E64-CE58B07CC712}" name="CIRS" displayName="CIRS" ref="A2:B17" totalsRowShown="0">
  <autoFilter ref="A2:B17" xr:uid="{0AE1914D-EAA4-4244-8E64-CE58B07CC712}"/>
  <tableColumns count="2">
    <tableColumn id="1" xr3:uid="{FD863285-BE8F-714E-9742-0E30201FB2AF}" name="Pregunta"/>
    <tableColumn id="2" xr3:uid="{28B1E1DE-EEE1-7945-8B60-47B536749C1E}" name="ITEM_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5CFC47-6F82-FA44-867D-98BE388F4375}" name="FES" displayName="FES" ref="D2:E19" totalsRowShown="0">
  <autoFilter ref="D2:E19" xr:uid="{565CFC47-6F82-FA44-867D-98BE388F4375}"/>
  <tableColumns count="2">
    <tableColumn id="1" xr3:uid="{DFB45C24-B156-AD42-8EBB-039F6F32AA7A}" name="Pregunta" dataDxfId="21"/>
    <tableColumn id="2" xr3:uid="{07FA11A6-1450-1D40-8DF8-80B5133D6F56}" name="ITEM_C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C29AE5-2F4A-E44E-A0E8-2196C5F91B69}" name="BARTHEL" displayName="BARTHEL" ref="A30:B41" totalsRowShown="0" headerRowDxfId="20" headerRowBorderDxfId="19" tableBorderDxfId="18">
  <autoFilter ref="A30:B41" xr:uid="{A8C29AE5-2F4A-E44E-A0E8-2196C5F91B69}"/>
  <tableColumns count="2">
    <tableColumn id="1" xr3:uid="{80FEE498-904B-CD4D-A8A8-F2DE02A18BCE}" name="Pregunta"/>
    <tableColumn id="2" xr3:uid="{56D27785-19EC-4046-84C5-54321B001779}" name="ITEM_COD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01DFC4-8B69-E942-8081-D7A695414B19}" name="BERG" displayName="BERG" ref="D30:E45" totalsRowShown="0" headerRowDxfId="17" headerRowBorderDxfId="16">
  <autoFilter ref="D30:E45" xr:uid="{7E01DFC4-8B69-E942-8081-D7A695414B19}"/>
  <tableColumns count="2">
    <tableColumn id="1" xr3:uid="{C2FFA2C4-140E-474E-8FDA-400D275C893A}" name="Pregunta"/>
    <tableColumn id="2" xr3:uid="{F9299850-01BD-324C-8405-623762DEDF9A}" name="ITEM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8C5017-7F69-2F4E-B1B3-2478DCCBCA19}" name="MDS_1" displayName="MDS_1" ref="G2:H18" totalsRowShown="0" headerRowDxfId="15" headerRowBorderDxfId="14">
  <autoFilter ref="G2:H18" xr:uid="{568C5017-7F69-2F4E-B1B3-2478DCCBCA19}"/>
  <tableColumns count="2">
    <tableColumn id="1" xr3:uid="{35F54B4F-0146-984E-A663-EA84561DBCDB}" name="Pregunta"/>
    <tableColumn id="2" xr3:uid="{163B6817-03BD-E940-B3B6-B87584CD1FBA}" name="ITEM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FDD72C2-8744-CC48-8228-7351D2D8CE7D}" name="MDS_2" displayName="MDS_2" ref="J2:K16" totalsRowShown="0" headerRowDxfId="13" headerRowBorderDxfId="12">
  <autoFilter ref="J2:K16" xr:uid="{0FDD72C2-8744-CC48-8228-7351D2D8CE7D}"/>
  <tableColumns count="2">
    <tableColumn id="1" xr3:uid="{AAE42761-E04E-3544-8FAD-76108CD9F690}" name="Pregunta"/>
    <tableColumn id="2" xr3:uid="{EF22E078-0138-204F-8356-2067A0F7DCF8}" name="ITEM_COD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430058-FEDB-0F4A-9F45-23CBA5DCF20C}" name="MDS_3" displayName="MDS_3" ref="M2:N41" totalsRowShown="0" headerRowDxfId="11" headerRowBorderDxfId="10">
  <autoFilter ref="M2:N41" xr:uid="{1E430058-FEDB-0F4A-9F45-23CBA5DCF20C}"/>
  <tableColumns count="2">
    <tableColumn id="1" xr3:uid="{4BB26E28-9B43-934C-BA2C-BCCD45CC78F1}" name="Pregunta"/>
    <tableColumn id="2" xr3:uid="{348120B7-E2D7-AB4F-A4FF-FD34E5F91718}" name="ITEM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1087C3B-DEA4-B14A-A348-F2CEF197EA97}" name="MDS_4" displayName="MDS_4" ref="P2:Q9" totalsRowShown="0" headerRowDxfId="9" headerRowBorderDxfId="8">
  <autoFilter ref="P2:Q9" xr:uid="{F1087C3B-DEA4-B14A-A348-F2CEF197EA97}"/>
  <tableColumns count="2">
    <tableColumn id="1" xr3:uid="{98597C41-8A16-BD41-96AD-9DCE83DAF86D}" name="Pregunta"/>
    <tableColumn id="2" xr3:uid="{867E088F-FF66-A94D-AC81-6CC305FBCC43}" name="ITEM_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35EC677-E7A4-DE4E-BBB6-3960934C039C}" name="EQ" displayName="EQ" ref="G30:H36" totalsRowShown="0" headerRowDxfId="7" headerRowBorderDxfId="6">
  <autoFilter ref="G30:H36" xr:uid="{735EC677-E7A4-DE4E-BBB6-3960934C039C}"/>
  <tableColumns count="2">
    <tableColumn id="1" xr3:uid="{AA0DA508-A0DF-9A4F-8829-3A32E9B2F1D4}" name="Pregunta"/>
    <tableColumn id="2" xr3:uid="{6D031670-3D04-B64E-B811-1DFB591ADC8C}" name="ITEM_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F9A760-48D6-8F4B-80E3-332B969264F0}" name="PITTS" displayName="PITTS" ref="S2:T24" totalsRowShown="0" headerRowDxfId="5" headerRowBorderDxfId="4">
  <autoFilter ref="S2:T24" xr:uid="{FBF9A760-48D6-8F4B-80E3-332B969264F0}"/>
  <tableColumns count="2">
    <tableColumn id="1" xr3:uid="{074FBDFF-BA10-C945-965A-E95D91E9323E}" name="Pregunta"/>
    <tableColumn id="2" xr3:uid="{EE625882-81A0-B544-AB49-CBE3AC5DF887}" name="ITEM_COD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7EBF196-3BCA-5443-A2C0-D48349988EB2}" name="STRAI" displayName="STRAI" ref="V2:W44" totalsRowShown="0" headerRowDxfId="3" headerRowBorderDxfId="2">
  <autoFilter ref="V2:W44" xr:uid="{17EBF196-3BCA-5443-A2C0-D48349988EB2}"/>
  <tableColumns count="2">
    <tableColumn id="1" xr3:uid="{3B672F40-E9FE-AB4B-9917-E15564A57DA0}" name="Pregunta" dataDxfId="1"/>
    <tableColumn id="2" xr3:uid="{EAFD46EF-67A0-274E-BFF2-6FFE3601F46D}" name="ITEM_COD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5"/>
  <sheetViews>
    <sheetView workbookViewId="0">
      <pane ySplit="1" topLeftCell="A2" activePane="bottomLeft" state="frozen"/>
      <selection pane="bottomLeft" activeCell="A21" sqref="A21:XFD21"/>
    </sheetView>
  </sheetViews>
  <sheetFormatPr baseColWidth="10" defaultColWidth="8.83203125" defaultRowHeight="15" x14ac:dyDescent="0.2"/>
  <cols>
    <col min="1" max="1" width="19.1640625" style="8" bestFit="1" customWidth="1"/>
    <col min="2" max="2" width="15.5" style="8" customWidth="1"/>
    <col min="3" max="3" width="13.33203125" style="8" bestFit="1" customWidth="1"/>
    <col min="4" max="4" width="14.6640625" style="8" bestFit="1" customWidth="1"/>
    <col min="5" max="5" width="15.6640625" style="8" bestFit="1" customWidth="1"/>
    <col min="6" max="6" width="21.6640625" style="8" customWidth="1"/>
    <col min="7" max="7" width="12.1640625" style="8" bestFit="1" customWidth="1"/>
    <col min="8" max="8" width="9.83203125" style="8" bestFit="1" customWidth="1"/>
    <col min="9" max="9" width="15.5" style="8" bestFit="1" customWidth="1"/>
    <col min="10" max="10" width="11.1640625" style="8" bestFit="1" customWidth="1"/>
    <col min="11" max="11" width="14.83203125" style="8" bestFit="1" customWidth="1"/>
    <col min="12" max="12" width="18.83203125" style="8" customWidth="1"/>
    <col min="13" max="13" width="16.5" style="8" bestFit="1" customWidth="1"/>
    <col min="14" max="14" width="15" style="8" bestFit="1" customWidth="1"/>
    <col min="15" max="15" width="14.6640625" style="8" bestFit="1" customWidth="1"/>
    <col min="16" max="16" width="14.33203125" style="8" bestFit="1" customWidth="1"/>
    <col min="17" max="17" width="38.6640625" customWidth="1"/>
  </cols>
  <sheetData>
    <row r="1" spans="1:16" s="12" customFormat="1" ht="48" x14ac:dyDescent="0.2">
      <c r="A1" s="324" t="s">
        <v>497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2" t="s">
        <v>26</v>
      </c>
    </row>
    <row r="2" spans="1:16" ht="16" x14ac:dyDescent="0.2">
      <c r="A2" s="324" t="s">
        <v>497</v>
      </c>
      <c r="B2" s="339" t="str">
        <f>_xlfn.XLOOKUP(B1,CIRS[Pregunta],CIRS[ITEM_CODE],"XXXXXX")</f>
        <v>HEART</v>
      </c>
      <c r="C2" s="339" t="str">
        <f>_xlfn.XLOOKUP(C1,CIRS[Pregunta],CIRS[ITEM_CODE],"XXXXXX")</f>
        <v>VASCULAR</v>
      </c>
      <c r="D2" s="339" t="str">
        <f>_xlfn.XLOOKUP(D1,CIRS[Pregunta],CIRS[ITEM_CODE],"XXXXXX")</f>
        <v>HEMATOPOIETIC</v>
      </c>
      <c r="E2" s="339" t="str">
        <f>_xlfn.XLOOKUP(E1,CIRS[Pregunta],CIRS[ITEM_CODE],"XXXXXX")</f>
        <v>RESPIRATORY</v>
      </c>
      <c r="F2" s="339" t="str">
        <f>_xlfn.XLOOKUP(F1,CIRS[Pregunta],CIRS[ITEM_CODE],"XXXXXX")</f>
        <v>EYES_EARS_NOSE_THROAT</v>
      </c>
      <c r="G2" s="339" t="str">
        <f>_xlfn.XLOOKUP(G1,CIRS[Pregunta],CIRS[ITEM_CODE],"XXXXXX")</f>
        <v>UPPER_GI</v>
      </c>
      <c r="H2" s="339" t="str">
        <f>_xlfn.XLOOKUP(H1,CIRS[Pregunta],CIRS[ITEM_CODE],"XXXXXX")</f>
        <v>LOWER_GI</v>
      </c>
      <c r="I2" s="339" t="str">
        <f>_xlfn.XLOOKUP(I1,CIRS[Pregunta],CIRS[ITEM_CODE],"XXXXXX")</f>
        <v>LIVER</v>
      </c>
      <c r="J2" s="339" t="str">
        <f>_xlfn.XLOOKUP(J1,CIRS[Pregunta],CIRS[ITEM_CODE],"XXXXXX")</f>
        <v>RENAL</v>
      </c>
      <c r="K2" s="339" t="str">
        <f>_xlfn.XLOOKUP(K1,CIRS[Pregunta],CIRS[ITEM_CODE],"XXXXXX")</f>
        <v>GENITOURINARY</v>
      </c>
      <c r="L2" s="339" t="str">
        <f>_xlfn.XLOOKUP(L1,CIRS[Pregunta],CIRS[ITEM_CODE],"XXXXXX")</f>
        <v>MUSCULOSKELETAL</v>
      </c>
      <c r="M2" s="339" t="str">
        <f>_xlfn.XLOOKUP(M1,CIRS[Pregunta],CIRS[ITEM_CODE],"XXXXXX")</f>
        <v>NEUROLOGICAL</v>
      </c>
      <c r="N2" s="339" t="str">
        <f>_xlfn.XLOOKUP(N1,CIRS[Pregunta],CIRS[ITEM_CODE],"XXXXXX")</f>
        <v>ENDOCRINE</v>
      </c>
      <c r="O2" s="339" t="str">
        <f>_xlfn.XLOOKUP(O1,CIRS[Pregunta],CIRS[ITEM_CODE],"XXXXXX")</f>
        <v>PSYCHIATRIC</v>
      </c>
      <c r="P2" s="339" t="s">
        <v>788</v>
      </c>
    </row>
    <row r="3" spans="1:16" s="6" customFormat="1" ht="18.75" customHeight="1" x14ac:dyDescent="0.2">
      <c r="A3" s="32" t="s">
        <v>297</v>
      </c>
      <c r="B3" s="33">
        <v>1</v>
      </c>
      <c r="C3" s="33">
        <v>0</v>
      </c>
      <c r="D3" s="33">
        <v>0</v>
      </c>
      <c r="E3" s="33">
        <v>0</v>
      </c>
      <c r="F3" s="33">
        <v>0</v>
      </c>
      <c r="G3" s="33">
        <v>0</v>
      </c>
      <c r="H3" s="33">
        <v>0</v>
      </c>
      <c r="I3" s="33">
        <v>0</v>
      </c>
      <c r="J3" s="33">
        <v>0</v>
      </c>
      <c r="K3" s="33">
        <v>0</v>
      </c>
      <c r="L3" s="33">
        <v>0</v>
      </c>
      <c r="M3" s="33">
        <v>0</v>
      </c>
      <c r="N3" s="33">
        <v>0</v>
      </c>
      <c r="O3" s="33">
        <v>0</v>
      </c>
      <c r="P3" s="11">
        <f t="shared" ref="P3:P66" si="0">SUM(B3:O3)</f>
        <v>1</v>
      </c>
    </row>
    <row r="4" spans="1:16" x14ac:dyDescent="0.2">
      <c r="A4" s="32" t="s">
        <v>298</v>
      </c>
      <c r="B4" s="33">
        <v>0</v>
      </c>
      <c r="C4" s="33">
        <v>0</v>
      </c>
      <c r="D4" s="33">
        <v>0</v>
      </c>
      <c r="E4" s="33">
        <v>0</v>
      </c>
      <c r="F4" s="33">
        <v>0</v>
      </c>
      <c r="G4" s="33">
        <v>0</v>
      </c>
      <c r="H4" s="33">
        <v>1</v>
      </c>
      <c r="I4" s="33">
        <v>0</v>
      </c>
      <c r="J4" s="33">
        <v>0</v>
      </c>
      <c r="K4" s="33">
        <v>0</v>
      </c>
      <c r="L4" s="33">
        <v>0</v>
      </c>
      <c r="M4" s="33">
        <v>0</v>
      </c>
      <c r="N4" s="33">
        <v>0</v>
      </c>
      <c r="O4" s="33">
        <v>0</v>
      </c>
      <c r="P4" s="11">
        <f t="shared" si="0"/>
        <v>1</v>
      </c>
    </row>
    <row r="5" spans="1:16" x14ac:dyDescent="0.2">
      <c r="A5" s="32" t="s">
        <v>299</v>
      </c>
      <c r="B5" s="33">
        <v>1</v>
      </c>
      <c r="C5" s="33">
        <v>0</v>
      </c>
      <c r="D5" s="33">
        <v>0</v>
      </c>
      <c r="E5" s="33">
        <v>0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0</v>
      </c>
      <c r="L5" s="33">
        <v>0</v>
      </c>
      <c r="M5" s="33">
        <v>0</v>
      </c>
      <c r="N5" s="33">
        <v>0</v>
      </c>
      <c r="O5" s="33">
        <v>0</v>
      </c>
      <c r="P5" s="11">
        <f t="shared" si="0"/>
        <v>1</v>
      </c>
    </row>
    <row r="6" spans="1:16" x14ac:dyDescent="0.2">
      <c r="A6" s="32" t="s">
        <v>300</v>
      </c>
      <c r="B6" s="33">
        <v>0</v>
      </c>
      <c r="C6" s="33">
        <v>1</v>
      </c>
      <c r="D6" s="33">
        <v>0</v>
      </c>
      <c r="E6" s="33">
        <v>0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1</v>
      </c>
      <c r="L6" s="33">
        <v>0</v>
      </c>
      <c r="M6" s="33">
        <v>0</v>
      </c>
      <c r="N6" s="33">
        <v>1</v>
      </c>
      <c r="O6" s="33">
        <v>0</v>
      </c>
      <c r="P6" s="11">
        <f t="shared" si="0"/>
        <v>3</v>
      </c>
    </row>
    <row r="7" spans="1:16" x14ac:dyDescent="0.2">
      <c r="A7" s="32" t="s">
        <v>301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1</v>
      </c>
      <c r="L7" s="33">
        <v>0</v>
      </c>
      <c r="M7" s="33">
        <v>0</v>
      </c>
      <c r="N7" s="33">
        <v>0</v>
      </c>
      <c r="O7" s="33">
        <v>0</v>
      </c>
      <c r="P7" s="11">
        <f t="shared" si="0"/>
        <v>1</v>
      </c>
    </row>
    <row r="8" spans="1:16" x14ac:dyDescent="0.2">
      <c r="A8" s="32" t="s">
        <v>302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1</v>
      </c>
      <c r="M8" s="33">
        <v>0</v>
      </c>
      <c r="N8" s="33">
        <v>0</v>
      </c>
      <c r="O8" s="33">
        <v>0</v>
      </c>
      <c r="P8" s="11">
        <f t="shared" si="0"/>
        <v>1</v>
      </c>
    </row>
    <row r="9" spans="1:16" x14ac:dyDescent="0.2">
      <c r="A9" s="32" t="s">
        <v>303</v>
      </c>
      <c r="B9" s="33">
        <v>0</v>
      </c>
      <c r="C9" s="33">
        <v>0</v>
      </c>
      <c r="D9" s="33">
        <v>0</v>
      </c>
      <c r="E9" s="33">
        <v>0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0</v>
      </c>
      <c r="M9" s="33">
        <v>0</v>
      </c>
      <c r="N9" s="33">
        <v>0</v>
      </c>
      <c r="O9" s="33">
        <v>0</v>
      </c>
      <c r="P9" s="11">
        <f t="shared" si="0"/>
        <v>0</v>
      </c>
    </row>
    <row r="10" spans="1:16" x14ac:dyDescent="0.2">
      <c r="A10" s="32" t="s">
        <v>304</v>
      </c>
      <c r="B10" s="33">
        <v>0</v>
      </c>
      <c r="C10" s="33">
        <v>1</v>
      </c>
      <c r="D10" s="33">
        <v>0</v>
      </c>
      <c r="E10" s="33">
        <v>2</v>
      </c>
      <c r="F10" s="33">
        <v>0</v>
      </c>
      <c r="G10" s="33">
        <v>0</v>
      </c>
      <c r="H10" s="33">
        <v>1</v>
      </c>
      <c r="I10" s="33">
        <v>0</v>
      </c>
      <c r="J10" s="33">
        <v>0</v>
      </c>
      <c r="K10" s="33">
        <v>1</v>
      </c>
      <c r="L10" s="33">
        <v>0</v>
      </c>
      <c r="M10" s="33">
        <v>0</v>
      </c>
      <c r="N10" s="33">
        <v>1</v>
      </c>
      <c r="O10" s="33">
        <v>2</v>
      </c>
      <c r="P10" s="11">
        <f t="shared" si="0"/>
        <v>8</v>
      </c>
    </row>
    <row r="11" spans="1:16" x14ac:dyDescent="0.2">
      <c r="A11" s="32" t="s">
        <v>305</v>
      </c>
      <c r="B11" s="33">
        <v>1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1</v>
      </c>
      <c r="M11" s="33">
        <v>0</v>
      </c>
      <c r="N11" s="33">
        <v>0</v>
      </c>
      <c r="O11" s="33">
        <v>0</v>
      </c>
      <c r="P11" s="11">
        <f t="shared" si="0"/>
        <v>2</v>
      </c>
    </row>
    <row r="12" spans="1:16" x14ac:dyDescent="0.2">
      <c r="A12" s="32" t="s">
        <v>306</v>
      </c>
      <c r="B12" s="33">
        <v>0</v>
      </c>
      <c r="C12" s="33">
        <v>1</v>
      </c>
      <c r="D12" s="33">
        <v>0</v>
      </c>
      <c r="E12" s="33">
        <v>0</v>
      </c>
      <c r="F12" s="33">
        <v>0</v>
      </c>
      <c r="G12" s="33">
        <v>0</v>
      </c>
      <c r="H12" s="33">
        <v>0</v>
      </c>
      <c r="I12" s="33">
        <v>0</v>
      </c>
      <c r="J12" s="33">
        <v>0</v>
      </c>
      <c r="K12" s="33">
        <v>0</v>
      </c>
      <c r="L12" s="33">
        <v>0</v>
      </c>
      <c r="M12" s="33">
        <v>0</v>
      </c>
      <c r="N12" s="33">
        <v>1</v>
      </c>
      <c r="O12" s="33">
        <v>0</v>
      </c>
      <c r="P12" s="11">
        <f t="shared" si="0"/>
        <v>2</v>
      </c>
    </row>
    <row r="13" spans="1:16" x14ac:dyDescent="0.2">
      <c r="A13" s="32" t="s">
        <v>307</v>
      </c>
      <c r="B13" s="33">
        <v>0</v>
      </c>
      <c r="C13" s="33">
        <v>1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1</v>
      </c>
      <c r="L13" s="33">
        <v>0</v>
      </c>
      <c r="M13" s="33">
        <v>0</v>
      </c>
      <c r="N13" s="33">
        <v>1</v>
      </c>
      <c r="O13" s="33">
        <v>0</v>
      </c>
      <c r="P13" s="11">
        <f t="shared" si="0"/>
        <v>3</v>
      </c>
    </row>
    <row r="14" spans="1:16" x14ac:dyDescent="0.2">
      <c r="A14" s="32" t="s">
        <v>308</v>
      </c>
      <c r="B14" s="33">
        <v>0</v>
      </c>
      <c r="C14" s="33">
        <v>0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0</v>
      </c>
      <c r="M14" s="33">
        <v>0</v>
      </c>
      <c r="N14" s="33">
        <v>1</v>
      </c>
      <c r="O14" s="33">
        <v>2</v>
      </c>
      <c r="P14" s="11">
        <f t="shared" si="0"/>
        <v>3</v>
      </c>
    </row>
    <row r="15" spans="1:16" x14ac:dyDescent="0.2">
      <c r="A15" s="32" t="s">
        <v>309</v>
      </c>
      <c r="B15" s="33">
        <v>0</v>
      </c>
      <c r="C15" s="33">
        <v>1</v>
      </c>
      <c r="D15" s="33">
        <v>0</v>
      </c>
      <c r="E15" s="33">
        <v>0</v>
      </c>
      <c r="F15" s="33">
        <v>0</v>
      </c>
      <c r="G15" s="33">
        <v>0</v>
      </c>
      <c r="H15" s="33">
        <v>0</v>
      </c>
      <c r="I15" s="33">
        <v>0</v>
      </c>
      <c r="J15" s="33">
        <v>0</v>
      </c>
      <c r="K15" s="33">
        <v>2</v>
      </c>
      <c r="L15" s="33">
        <v>0</v>
      </c>
      <c r="M15" s="33">
        <v>0</v>
      </c>
      <c r="N15" s="33">
        <v>0</v>
      </c>
      <c r="O15" s="33">
        <v>1</v>
      </c>
      <c r="P15" s="11">
        <f t="shared" si="0"/>
        <v>4</v>
      </c>
    </row>
    <row r="16" spans="1:16" x14ac:dyDescent="0.2">
      <c r="A16" s="32" t="s">
        <v>310</v>
      </c>
      <c r="B16" s="33">
        <v>0</v>
      </c>
      <c r="C16" s="33">
        <v>1</v>
      </c>
      <c r="D16" s="33">
        <v>0</v>
      </c>
      <c r="E16" s="33">
        <v>0</v>
      </c>
      <c r="F16" s="33">
        <v>0</v>
      </c>
      <c r="G16" s="33">
        <v>1</v>
      </c>
      <c r="H16" s="33">
        <v>0</v>
      </c>
      <c r="I16" s="33">
        <v>0</v>
      </c>
      <c r="J16" s="33">
        <v>0</v>
      </c>
      <c r="K16" s="33">
        <v>1</v>
      </c>
      <c r="L16" s="33">
        <v>0</v>
      </c>
      <c r="M16" s="33">
        <v>0</v>
      </c>
      <c r="N16" s="33">
        <v>0</v>
      </c>
      <c r="O16" s="33">
        <v>0</v>
      </c>
      <c r="P16" s="11">
        <f t="shared" si="0"/>
        <v>3</v>
      </c>
    </row>
    <row r="17" spans="1:16" x14ac:dyDescent="0.2">
      <c r="A17" s="32" t="s">
        <v>311</v>
      </c>
      <c r="B17" s="33">
        <v>0</v>
      </c>
      <c r="C17" s="33">
        <v>1</v>
      </c>
      <c r="D17" s="33">
        <v>0</v>
      </c>
      <c r="E17" s="33">
        <v>0</v>
      </c>
      <c r="F17" s="33">
        <v>0</v>
      </c>
      <c r="G17" s="33">
        <v>0</v>
      </c>
      <c r="H17" s="33">
        <v>0</v>
      </c>
      <c r="I17" s="33">
        <v>0</v>
      </c>
      <c r="J17" s="33">
        <v>0</v>
      </c>
      <c r="K17" s="33">
        <v>1</v>
      </c>
      <c r="L17" s="33">
        <v>0</v>
      </c>
      <c r="M17" s="33">
        <v>0</v>
      </c>
      <c r="N17" s="33">
        <v>0</v>
      </c>
      <c r="O17" s="33">
        <v>1</v>
      </c>
      <c r="P17" s="11">
        <f t="shared" si="0"/>
        <v>3</v>
      </c>
    </row>
    <row r="18" spans="1:16" x14ac:dyDescent="0.2">
      <c r="A18" s="32" t="s">
        <v>312</v>
      </c>
      <c r="B18" s="33">
        <v>0</v>
      </c>
      <c r="C18" s="33">
        <v>0</v>
      </c>
      <c r="D18" s="33">
        <v>0</v>
      </c>
      <c r="E18" s="33">
        <v>2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1</v>
      </c>
      <c r="M18" s="33">
        <v>0</v>
      </c>
      <c r="N18" s="33">
        <v>0</v>
      </c>
      <c r="O18" s="33">
        <v>0</v>
      </c>
      <c r="P18" s="11">
        <f t="shared" si="0"/>
        <v>3</v>
      </c>
    </row>
    <row r="19" spans="1:16" x14ac:dyDescent="0.2">
      <c r="A19" s="32" t="s">
        <v>313</v>
      </c>
      <c r="B19" s="33">
        <v>0</v>
      </c>
      <c r="C19" s="33">
        <v>0</v>
      </c>
      <c r="D19" s="33">
        <v>0</v>
      </c>
      <c r="E19" s="33">
        <v>0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2</v>
      </c>
      <c r="M19" s="33">
        <v>0</v>
      </c>
      <c r="N19" s="33">
        <v>1</v>
      </c>
      <c r="O19" s="33">
        <v>0</v>
      </c>
      <c r="P19" s="11">
        <f t="shared" si="0"/>
        <v>3</v>
      </c>
    </row>
    <row r="20" spans="1:16" x14ac:dyDescent="0.2">
      <c r="A20" s="32" t="s">
        <v>314</v>
      </c>
      <c r="B20" s="33">
        <v>0</v>
      </c>
      <c r="C20" s="33">
        <v>0</v>
      </c>
      <c r="D20" s="33">
        <v>0</v>
      </c>
      <c r="E20" s="33">
        <v>0</v>
      </c>
      <c r="F20" s="33">
        <v>0</v>
      </c>
      <c r="G20" s="33">
        <v>1</v>
      </c>
      <c r="H20" s="33">
        <v>1</v>
      </c>
      <c r="I20" s="33">
        <v>0</v>
      </c>
      <c r="J20" s="33">
        <v>0</v>
      </c>
      <c r="K20" s="33">
        <v>1</v>
      </c>
      <c r="L20" s="33">
        <v>0</v>
      </c>
      <c r="M20" s="33">
        <v>0</v>
      </c>
      <c r="N20" s="33">
        <v>0</v>
      </c>
      <c r="O20" s="33">
        <v>1</v>
      </c>
      <c r="P20" s="11">
        <f t="shared" si="0"/>
        <v>4</v>
      </c>
    </row>
    <row r="21" spans="1:16" x14ac:dyDescent="0.2">
      <c r="A21" s="32" t="s">
        <v>315</v>
      </c>
      <c r="B21" s="33">
        <v>0</v>
      </c>
      <c r="C21" s="33">
        <v>1</v>
      </c>
      <c r="D21" s="33">
        <v>0</v>
      </c>
      <c r="E21" s="33">
        <v>0</v>
      </c>
      <c r="F21" s="33">
        <v>1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11">
        <f t="shared" si="0"/>
        <v>2</v>
      </c>
    </row>
    <row r="22" spans="1:16" x14ac:dyDescent="0.2">
      <c r="A22" s="32" t="s">
        <v>316</v>
      </c>
      <c r="B22" s="33">
        <v>2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2</v>
      </c>
      <c r="I22" s="33">
        <v>0</v>
      </c>
      <c r="J22" s="33">
        <v>0</v>
      </c>
      <c r="K22" s="33">
        <v>1</v>
      </c>
      <c r="L22" s="33">
        <v>2</v>
      </c>
      <c r="M22" s="33">
        <v>0</v>
      </c>
      <c r="N22" s="33">
        <v>1</v>
      </c>
      <c r="O22" s="33">
        <v>0</v>
      </c>
      <c r="P22" s="11">
        <f t="shared" si="0"/>
        <v>8</v>
      </c>
    </row>
    <row r="23" spans="1:16" x14ac:dyDescent="0.2">
      <c r="A23" s="32" t="s">
        <v>317</v>
      </c>
      <c r="B23" s="33">
        <v>4</v>
      </c>
      <c r="C23" s="33">
        <v>3</v>
      </c>
      <c r="D23" s="33">
        <v>1</v>
      </c>
      <c r="E23" s="33">
        <v>1</v>
      </c>
      <c r="F23" s="33">
        <v>1</v>
      </c>
      <c r="G23" s="33">
        <v>1</v>
      </c>
      <c r="H23" s="33">
        <v>2</v>
      </c>
      <c r="I23" s="33">
        <v>1</v>
      </c>
      <c r="J23" s="33">
        <v>1</v>
      </c>
      <c r="K23" s="33">
        <v>2</v>
      </c>
      <c r="L23" s="33">
        <v>3</v>
      </c>
      <c r="M23" s="33">
        <v>4</v>
      </c>
      <c r="N23" s="33">
        <v>1</v>
      </c>
      <c r="O23" s="33">
        <v>1</v>
      </c>
      <c r="P23" s="11">
        <f t="shared" si="0"/>
        <v>26</v>
      </c>
    </row>
    <row r="24" spans="1:16" x14ac:dyDescent="0.2">
      <c r="A24" s="32" t="s">
        <v>318</v>
      </c>
      <c r="B24" s="33">
        <v>1</v>
      </c>
      <c r="C24" s="33">
        <v>2</v>
      </c>
      <c r="D24" s="33">
        <v>1</v>
      </c>
      <c r="E24" s="33">
        <v>1</v>
      </c>
      <c r="F24" s="33">
        <v>1</v>
      </c>
      <c r="G24" s="33">
        <v>4</v>
      </c>
      <c r="H24" s="33">
        <v>2</v>
      </c>
      <c r="I24" s="33">
        <v>1</v>
      </c>
      <c r="J24" s="33">
        <v>1</v>
      </c>
      <c r="K24" s="33">
        <v>1</v>
      </c>
      <c r="L24" s="33">
        <v>3</v>
      </c>
      <c r="M24" s="33">
        <v>3</v>
      </c>
      <c r="N24" s="33">
        <v>1</v>
      </c>
      <c r="O24" s="33">
        <v>1</v>
      </c>
      <c r="P24" s="11">
        <f t="shared" si="0"/>
        <v>23</v>
      </c>
    </row>
    <row r="25" spans="1:16" x14ac:dyDescent="0.2">
      <c r="A25" s="32" t="s">
        <v>319</v>
      </c>
      <c r="B25" s="33">
        <v>1</v>
      </c>
      <c r="C25" s="33">
        <v>1</v>
      </c>
      <c r="D25" s="33">
        <v>1</v>
      </c>
      <c r="E25" s="33">
        <v>1</v>
      </c>
      <c r="F25" s="33">
        <v>1</v>
      </c>
      <c r="G25" s="33">
        <v>1</v>
      </c>
      <c r="H25" s="33">
        <v>1</v>
      </c>
      <c r="I25" s="33">
        <v>1</v>
      </c>
      <c r="J25" s="33">
        <v>1</v>
      </c>
      <c r="K25" s="33">
        <v>1</v>
      </c>
      <c r="L25" s="33">
        <v>3</v>
      </c>
      <c r="M25" s="33">
        <v>4</v>
      </c>
      <c r="N25" s="33">
        <v>1</v>
      </c>
      <c r="O25" s="33">
        <v>1</v>
      </c>
      <c r="P25" s="11">
        <f t="shared" si="0"/>
        <v>19</v>
      </c>
    </row>
    <row r="26" spans="1:16" x14ac:dyDescent="0.2">
      <c r="A26" s="32" t="s">
        <v>489</v>
      </c>
      <c r="B26" s="33">
        <v>1</v>
      </c>
      <c r="C26" s="33">
        <v>1</v>
      </c>
      <c r="D26" s="33">
        <v>1</v>
      </c>
      <c r="E26" s="33">
        <v>1</v>
      </c>
      <c r="F26" s="33">
        <v>1</v>
      </c>
      <c r="G26" s="33">
        <v>1</v>
      </c>
      <c r="H26" s="33">
        <v>2</v>
      </c>
      <c r="I26" s="33">
        <v>1</v>
      </c>
      <c r="J26" s="33">
        <v>1</v>
      </c>
      <c r="K26" s="33">
        <v>1</v>
      </c>
      <c r="L26" s="33">
        <v>3</v>
      </c>
      <c r="M26" s="33">
        <v>3</v>
      </c>
      <c r="N26" s="33">
        <v>2</v>
      </c>
      <c r="O26" s="33">
        <v>3</v>
      </c>
      <c r="P26" s="11">
        <f t="shared" si="0"/>
        <v>22</v>
      </c>
    </row>
    <row r="27" spans="1:16" x14ac:dyDescent="0.2">
      <c r="A27" s="32" t="s">
        <v>320</v>
      </c>
      <c r="B27" s="33">
        <v>1</v>
      </c>
      <c r="C27" s="33">
        <v>1</v>
      </c>
      <c r="D27" s="33">
        <v>1</v>
      </c>
      <c r="E27" s="33">
        <v>1</v>
      </c>
      <c r="F27" s="33">
        <v>3</v>
      </c>
      <c r="G27" s="33">
        <v>1</v>
      </c>
      <c r="H27" s="33">
        <v>1</v>
      </c>
      <c r="I27" s="33">
        <v>1</v>
      </c>
      <c r="J27" s="33">
        <v>4</v>
      </c>
      <c r="K27" s="33">
        <v>1</v>
      </c>
      <c r="L27" s="33">
        <v>2</v>
      </c>
      <c r="M27" s="33">
        <v>4</v>
      </c>
      <c r="N27" s="33">
        <v>1</v>
      </c>
      <c r="O27" s="33">
        <v>1</v>
      </c>
      <c r="P27" s="11">
        <f t="shared" si="0"/>
        <v>23</v>
      </c>
    </row>
    <row r="28" spans="1:16" x14ac:dyDescent="0.2">
      <c r="A28" s="32" t="s">
        <v>321</v>
      </c>
      <c r="B28" s="33">
        <v>2</v>
      </c>
      <c r="C28" s="33">
        <v>0</v>
      </c>
      <c r="D28" s="33">
        <v>0</v>
      </c>
      <c r="E28" s="33">
        <v>0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33">
        <v>1</v>
      </c>
      <c r="M28" s="33">
        <v>0</v>
      </c>
      <c r="N28" s="33">
        <v>2</v>
      </c>
      <c r="O28" s="33">
        <v>0</v>
      </c>
      <c r="P28" s="11">
        <f t="shared" si="0"/>
        <v>5</v>
      </c>
    </row>
    <row r="29" spans="1:16" x14ac:dyDescent="0.2">
      <c r="A29" s="32" t="s">
        <v>322</v>
      </c>
      <c r="B29" s="33">
        <v>2</v>
      </c>
      <c r="C29" s="33">
        <v>0</v>
      </c>
      <c r="D29" s="33">
        <v>0</v>
      </c>
      <c r="E29" s="33">
        <v>0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1</v>
      </c>
      <c r="L29" s="33">
        <v>1</v>
      </c>
      <c r="M29" s="33">
        <v>0</v>
      </c>
      <c r="N29" s="33">
        <v>0</v>
      </c>
      <c r="O29" s="33">
        <v>0</v>
      </c>
      <c r="P29" s="11">
        <f t="shared" si="0"/>
        <v>4</v>
      </c>
    </row>
    <row r="30" spans="1:16" x14ac:dyDescent="0.2">
      <c r="A30" s="32" t="s">
        <v>323</v>
      </c>
      <c r="B30" s="33">
        <v>2</v>
      </c>
      <c r="C30" s="33">
        <v>1</v>
      </c>
      <c r="D30" s="33">
        <v>0</v>
      </c>
      <c r="E30" s="33">
        <v>0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33">
        <v>2</v>
      </c>
      <c r="M30" s="33">
        <v>1</v>
      </c>
      <c r="N30" s="33">
        <v>0</v>
      </c>
      <c r="O30" s="33">
        <v>2</v>
      </c>
      <c r="P30" s="11">
        <f t="shared" si="0"/>
        <v>8</v>
      </c>
    </row>
    <row r="31" spans="1:16" x14ac:dyDescent="0.2">
      <c r="A31" s="32" t="s">
        <v>324</v>
      </c>
      <c r="B31" s="33">
        <v>0</v>
      </c>
      <c r="C31" s="33">
        <v>1</v>
      </c>
      <c r="D31" s="33">
        <v>0</v>
      </c>
      <c r="E31" s="33">
        <v>0</v>
      </c>
      <c r="F31" s="33">
        <v>0</v>
      </c>
      <c r="G31" s="33">
        <v>0</v>
      </c>
      <c r="H31" s="33">
        <v>1</v>
      </c>
      <c r="I31" s="33">
        <v>0</v>
      </c>
      <c r="J31" s="33">
        <v>0</v>
      </c>
      <c r="K31" s="33">
        <v>1</v>
      </c>
      <c r="L31" s="33">
        <v>0</v>
      </c>
      <c r="M31" s="33">
        <v>0</v>
      </c>
      <c r="N31" s="33">
        <v>1</v>
      </c>
      <c r="O31" s="33">
        <v>0</v>
      </c>
      <c r="P31" s="11">
        <f t="shared" si="0"/>
        <v>4</v>
      </c>
    </row>
    <row r="32" spans="1:16" x14ac:dyDescent="0.2">
      <c r="A32" s="32" t="s">
        <v>325</v>
      </c>
      <c r="B32" s="33">
        <v>0</v>
      </c>
      <c r="C32" s="33">
        <v>1</v>
      </c>
      <c r="D32" s="33">
        <v>0</v>
      </c>
      <c r="E32" s="33">
        <v>0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2</v>
      </c>
      <c r="L32" s="33">
        <v>0</v>
      </c>
      <c r="M32" s="33">
        <v>0</v>
      </c>
      <c r="N32" s="33">
        <v>0</v>
      </c>
      <c r="O32" s="33">
        <v>1</v>
      </c>
      <c r="P32" s="11">
        <f t="shared" si="0"/>
        <v>4</v>
      </c>
    </row>
    <row r="33" spans="1:16" x14ac:dyDescent="0.2">
      <c r="A33" s="34" t="s">
        <v>326</v>
      </c>
      <c r="B33" s="33">
        <v>1</v>
      </c>
      <c r="C33" s="33">
        <v>0</v>
      </c>
      <c r="D33" s="33">
        <v>0</v>
      </c>
      <c r="E33" s="33">
        <v>0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1</v>
      </c>
      <c r="L33" s="33">
        <v>0</v>
      </c>
      <c r="M33" s="33">
        <v>1</v>
      </c>
      <c r="N33" s="33">
        <v>0</v>
      </c>
      <c r="O33" s="33">
        <v>1</v>
      </c>
      <c r="P33" s="11">
        <f t="shared" si="0"/>
        <v>4</v>
      </c>
    </row>
    <row r="34" spans="1:16" x14ac:dyDescent="0.2">
      <c r="A34" s="32" t="s">
        <v>327</v>
      </c>
      <c r="B34" s="33">
        <v>0</v>
      </c>
      <c r="C34" s="33">
        <v>0</v>
      </c>
      <c r="D34" s="33">
        <v>0</v>
      </c>
      <c r="E34" s="33">
        <v>0</v>
      </c>
      <c r="F34" s="33">
        <v>0</v>
      </c>
      <c r="G34" s="33">
        <v>0</v>
      </c>
      <c r="H34" s="33">
        <v>0</v>
      </c>
      <c r="I34" s="33">
        <v>0</v>
      </c>
      <c r="J34" s="33">
        <v>0</v>
      </c>
      <c r="K34" s="33">
        <v>0</v>
      </c>
      <c r="L34" s="33">
        <v>0</v>
      </c>
      <c r="M34" s="33">
        <v>0</v>
      </c>
      <c r="N34" s="33">
        <v>0</v>
      </c>
      <c r="O34" s="33">
        <v>0</v>
      </c>
      <c r="P34" s="11">
        <f t="shared" si="0"/>
        <v>0</v>
      </c>
    </row>
    <row r="35" spans="1:16" x14ac:dyDescent="0.2">
      <c r="A35" s="32" t="s">
        <v>328</v>
      </c>
      <c r="B35" s="33">
        <v>2</v>
      </c>
      <c r="C35" s="33">
        <v>1</v>
      </c>
      <c r="D35" s="33">
        <v>0</v>
      </c>
      <c r="E35" s="33">
        <v>0</v>
      </c>
      <c r="F35" s="33">
        <v>3</v>
      </c>
      <c r="G35" s="33">
        <v>0</v>
      </c>
      <c r="H35" s="33">
        <v>0</v>
      </c>
      <c r="I35" s="33">
        <v>0</v>
      </c>
      <c r="J35" s="33">
        <v>0</v>
      </c>
      <c r="K35" s="33">
        <v>0</v>
      </c>
      <c r="L35" s="33">
        <v>0</v>
      </c>
      <c r="M35" s="33">
        <v>0</v>
      </c>
      <c r="N35" s="33">
        <v>0</v>
      </c>
      <c r="O35" s="33">
        <v>1</v>
      </c>
      <c r="P35" s="11">
        <f t="shared" si="0"/>
        <v>7</v>
      </c>
    </row>
    <row r="36" spans="1:16" x14ac:dyDescent="0.2">
      <c r="A36" s="32" t="s">
        <v>329</v>
      </c>
      <c r="B36" s="33">
        <v>0</v>
      </c>
      <c r="C36" s="33">
        <v>1</v>
      </c>
      <c r="D36" s="33">
        <v>0</v>
      </c>
      <c r="E36" s="33">
        <v>0</v>
      </c>
      <c r="F36" s="33">
        <v>1</v>
      </c>
      <c r="G36" s="33">
        <v>0</v>
      </c>
      <c r="H36" s="33">
        <v>2</v>
      </c>
      <c r="I36" s="33">
        <v>0</v>
      </c>
      <c r="J36" s="33">
        <v>0</v>
      </c>
      <c r="K36" s="33">
        <v>0</v>
      </c>
      <c r="L36" s="33">
        <v>1</v>
      </c>
      <c r="M36" s="33">
        <v>2</v>
      </c>
      <c r="N36" s="33">
        <v>1</v>
      </c>
      <c r="O36" s="33">
        <v>1</v>
      </c>
      <c r="P36" s="11">
        <f t="shared" si="0"/>
        <v>9</v>
      </c>
    </row>
    <row r="37" spans="1:16" x14ac:dyDescent="0.2">
      <c r="A37" s="32" t="s">
        <v>330</v>
      </c>
      <c r="B37" s="33">
        <v>1</v>
      </c>
      <c r="C37" s="33">
        <v>1</v>
      </c>
      <c r="D37" s="33">
        <v>1</v>
      </c>
      <c r="E37" s="33">
        <v>1</v>
      </c>
      <c r="F37" s="33">
        <v>3</v>
      </c>
      <c r="G37" s="33">
        <v>1</v>
      </c>
      <c r="H37" s="33">
        <v>1</v>
      </c>
      <c r="I37" s="33">
        <v>1</v>
      </c>
      <c r="J37" s="33">
        <v>4</v>
      </c>
      <c r="K37" s="33">
        <v>1</v>
      </c>
      <c r="L37" s="33">
        <v>2</v>
      </c>
      <c r="M37" s="33">
        <v>4</v>
      </c>
      <c r="N37" s="33">
        <v>1</v>
      </c>
      <c r="O37" s="33">
        <v>1</v>
      </c>
      <c r="P37" s="11">
        <f t="shared" si="0"/>
        <v>23</v>
      </c>
    </row>
    <row r="38" spans="1:16" x14ac:dyDescent="0.2">
      <c r="A38" s="32" t="s">
        <v>331</v>
      </c>
      <c r="B38" s="35">
        <v>1</v>
      </c>
      <c r="C38" s="35">
        <v>3</v>
      </c>
      <c r="D38" s="35">
        <v>2</v>
      </c>
      <c r="E38" s="35">
        <v>1</v>
      </c>
      <c r="F38" s="35">
        <v>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3</v>
      </c>
      <c r="M38" s="35">
        <v>3</v>
      </c>
      <c r="N38" s="35">
        <v>2</v>
      </c>
      <c r="O38" s="35">
        <v>2</v>
      </c>
      <c r="P38" s="11">
        <f t="shared" si="0"/>
        <v>23</v>
      </c>
    </row>
    <row r="39" spans="1:16" x14ac:dyDescent="0.2">
      <c r="A39" s="32" t="s">
        <v>332</v>
      </c>
      <c r="B39" s="35">
        <v>0</v>
      </c>
      <c r="C39" s="35">
        <v>1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1</v>
      </c>
      <c r="K39" s="35">
        <v>0</v>
      </c>
      <c r="L39" s="35">
        <v>2</v>
      </c>
      <c r="M39" s="35">
        <v>0</v>
      </c>
      <c r="N39" s="35">
        <v>2</v>
      </c>
      <c r="O39" s="35">
        <v>0</v>
      </c>
      <c r="P39" s="11">
        <f t="shared" si="0"/>
        <v>6</v>
      </c>
    </row>
    <row r="40" spans="1:16" x14ac:dyDescent="0.2">
      <c r="A40" s="32" t="s">
        <v>333</v>
      </c>
      <c r="B40" s="35">
        <v>1</v>
      </c>
      <c r="C40" s="35">
        <v>1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1</v>
      </c>
      <c r="L40" s="35">
        <v>0</v>
      </c>
      <c r="M40" s="35">
        <v>2</v>
      </c>
      <c r="N40" s="35">
        <v>1</v>
      </c>
      <c r="O40" s="35">
        <v>1</v>
      </c>
      <c r="P40" s="11">
        <f t="shared" si="0"/>
        <v>7</v>
      </c>
    </row>
    <row r="41" spans="1:16" x14ac:dyDescent="0.2">
      <c r="A41" s="32" t="s">
        <v>334</v>
      </c>
      <c r="B41" s="35">
        <v>1</v>
      </c>
      <c r="C41" s="35">
        <v>1</v>
      </c>
      <c r="D41" s="35">
        <v>1</v>
      </c>
      <c r="E41" s="35">
        <v>1</v>
      </c>
      <c r="F41" s="35">
        <v>1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2</v>
      </c>
      <c r="M41" s="35">
        <v>1</v>
      </c>
      <c r="N41" s="35">
        <v>1</v>
      </c>
      <c r="O41" s="35">
        <v>1</v>
      </c>
      <c r="P41" s="11">
        <f t="shared" si="0"/>
        <v>15</v>
      </c>
    </row>
    <row r="42" spans="1:16" x14ac:dyDescent="0.2">
      <c r="A42" s="32" t="s">
        <v>335</v>
      </c>
      <c r="B42" s="33">
        <v>1</v>
      </c>
      <c r="C42" s="33">
        <v>1</v>
      </c>
      <c r="D42" s="33">
        <v>1</v>
      </c>
      <c r="E42" s="33">
        <v>1</v>
      </c>
      <c r="F42" s="33">
        <v>1</v>
      </c>
      <c r="G42" s="33">
        <v>1</v>
      </c>
      <c r="H42" s="33">
        <v>1</v>
      </c>
      <c r="I42" s="33">
        <v>1</v>
      </c>
      <c r="J42" s="33">
        <v>1</v>
      </c>
      <c r="K42" s="33">
        <v>1</v>
      </c>
      <c r="L42" s="33">
        <v>2</v>
      </c>
      <c r="M42" s="33">
        <v>3</v>
      </c>
      <c r="N42" s="33">
        <v>1</v>
      </c>
      <c r="O42" s="33">
        <v>1</v>
      </c>
      <c r="P42" s="11">
        <f t="shared" si="0"/>
        <v>17</v>
      </c>
    </row>
    <row r="43" spans="1:16" x14ac:dyDescent="0.2">
      <c r="A43" s="36" t="s">
        <v>336</v>
      </c>
      <c r="B43" s="37">
        <v>1</v>
      </c>
      <c r="C43" s="37">
        <v>1</v>
      </c>
      <c r="D43" s="37">
        <v>1</v>
      </c>
      <c r="E43" s="37">
        <v>1</v>
      </c>
      <c r="F43" s="37">
        <v>2</v>
      </c>
      <c r="G43" s="37">
        <v>2</v>
      </c>
      <c r="H43" s="37">
        <v>1</v>
      </c>
      <c r="I43" s="37">
        <v>1</v>
      </c>
      <c r="J43" s="37">
        <v>1</v>
      </c>
      <c r="K43" s="37">
        <v>1</v>
      </c>
      <c r="L43" s="37">
        <v>1</v>
      </c>
      <c r="M43" s="37">
        <v>3</v>
      </c>
      <c r="N43" s="37">
        <v>1</v>
      </c>
      <c r="O43" s="37">
        <v>1</v>
      </c>
      <c r="P43" s="11">
        <f t="shared" si="0"/>
        <v>18</v>
      </c>
    </row>
    <row r="44" spans="1:16" x14ac:dyDescent="0.2">
      <c r="A44" s="36" t="s">
        <v>337</v>
      </c>
      <c r="B44" s="33">
        <v>1</v>
      </c>
      <c r="C44" s="33">
        <v>1</v>
      </c>
      <c r="D44" s="33">
        <v>2</v>
      </c>
      <c r="E44" s="33">
        <v>3</v>
      </c>
      <c r="F44" s="33">
        <v>1</v>
      </c>
      <c r="G44" s="33">
        <v>2</v>
      </c>
      <c r="H44" s="33">
        <v>2</v>
      </c>
      <c r="I44" s="33">
        <v>1</v>
      </c>
      <c r="J44" s="33">
        <v>1</v>
      </c>
      <c r="K44" s="33">
        <v>3</v>
      </c>
      <c r="L44" s="33">
        <v>2</v>
      </c>
      <c r="M44" s="33">
        <v>3</v>
      </c>
      <c r="N44" s="33">
        <v>1</v>
      </c>
      <c r="O44" s="33">
        <v>1</v>
      </c>
      <c r="P44" s="11">
        <f t="shared" si="0"/>
        <v>24</v>
      </c>
    </row>
    <row r="45" spans="1:16" x14ac:dyDescent="0.2">
      <c r="A45" s="38" t="s">
        <v>338</v>
      </c>
      <c r="B45" s="35">
        <v>1</v>
      </c>
      <c r="C45" s="35">
        <v>0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11">
        <f t="shared" si="0"/>
        <v>1</v>
      </c>
    </row>
    <row r="46" spans="1:16" x14ac:dyDescent="0.2">
      <c r="A46" s="32" t="s">
        <v>339</v>
      </c>
      <c r="B46" s="39">
        <v>2</v>
      </c>
      <c r="C46" s="39">
        <v>1</v>
      </c>
      <c r="D46" s="39">
        <v>0</v>
      </c>
      <c r="E46" s="39">
        <v>0</v>
      </c>
      <c r="F46" s="39">
        <v>0</v>
      </c>
      <c r="G46" s="39">
        <v>0</v>
      </c>
      <c r="H46" s="39">
        <v>0</v>
      </c>
      <c r="I46" s="39">
        <v>0</v>
      </c>
      <c r="J46" s="39">
        <v>1</v>
      </c>
      <c r="K46" s="39">
        <v>1</v>
      </c>
      <c r="L46" s="39">
        <v>2</v>
      </c>
      <c r="M46" s="39">
        <v>0</v>
      </c>
      <c r="N46" s="39">
        <v>2</v>
      </c>
      <c r="O46" s="39">
        <v>1</v>
      </c>
      <c r="P46" s="11">
        <f t="shared" si="0"/>
        <v>10</v>
      </c>
    </row>
    <row r="47" spans="1:16" x14ac:dyDescent="0.2">
      <c r="A47" s="36" t="s">
        <v>340</v>
      </c>
      <c r="B47" s="33">
        <v>2</v>
      </c>
      <c r="C47" s="33">
        <v>3</v>
      </c>
      <c r="D47" s="33">
        <v>1</v>
      </c>
      <c r="E47" s="33">
        <v>1</v>
      </c>
      <c r="F47" s="33">
        <v>1</v>
      </c>
      <c r="G47" s="33">
        <v>1</v>
      </c>
      <c r="H47" s="33">
        <v>1</v>
      </c>
      <c r="I47" s="33">
        <v>1</v>
      </c>
      <c r="J47" s="33">
        <v>1</v>
      </c>
      <c r="K47" s="33">
        <v>1</v>
      </c>
      <c r="L47" s="33">
        <v>3</v>
      </c>
      <c r="M47" s="33">
        <v>3</v>
      </c>
      <c r="N47" s="33">
        <v>2</v>
      </c>
      <c r="O47" s="33">
        <v>1</v>
      </c>
      <c r="P47" s="11">
        <f t="shared" si="0"/>
        <v>22</v>
      </c>
    </row>
    <row r="48" spans="1:16" x14ac:dyDescent="0.2">
      <c r="A48" s="36" t="s">
        <v>341</v>
      </c>
      <c r="B48" s="33">
        <v>2</v>
      </c>
      <c r="C48" s="33">
        <v>2</v>
      </c>
      <c r="D48" s="33">
        <v>1</v>
      </c>
      <c r="E48" s="33">
        <v>1</v>
      </c>
      <c r="F48" s="33">
        <v>1</v>
      </c>
      <c r="G48" s="33">
        <v>1</v>
      </c>
      <c r="H48" s="33">
        <v>1</v>
      </c>
      <c r="I48" s="33">
        <v>1</v>
      </c>
      <c r="J48" s="33">
        <v>1</v>
      </c>
      <c r="K48" s="33">
        <v>2</v>
      </c>
      <c r="L48" s="33">
        <v>2</v>
      </c>
      <c r="M48" s="33">
        <v>3</v>
      </c>
      <c r="N48" s="33">
        <v>2</v>
      </c>
      <c r="O48" s="33">
        <v>1</v>
      </c>
      <c r="P48" s="11">
        <f t="shared" si="0"/>
        <v>21</v>
      </c>
    </row>
    <row r="49" spans="1:16" x14ac:dyDescent="0.2">
      <c r="A49" s="36" t="s">
        <v>342</v>
      </c>
      <c r="B49" s="33">
        <v>1</v>
      </c>
      <c r="C49" s="33">
        <v>1</v>
      </c>
      <c r="D49" s="33">
        <v>1</v>
      </c>
      <c r="E49" s="33">
        <v>1</v>
      </c>
      <c r="F49" s="33">
        <v>1</v>
      </c>
      <c r="G49" s="33">
        <v>1</v>
      </c>
      <c r="H49" s="33">
        <v>1</v>
      </c>
      <c r="I49" s="33">
        <v>1</v>
      </c>
      <c r="J49" s="33">
        <v>3</v>
      </c>
      <c r="K49" s="33">
        <v>1</v>
      </c>
      <c r="L49" s="33">
        <v>2</v>
      </c>
      <c r="M49" s="33">
        <v>3</v>
      </c>
      <c r="N49" s="33">
        <v>1</v>
      </c>
      <c r="O49" s="33">
        <v>1</v>
      </c>
      <c r="P49" s="11">
        <f t="shared" si="0"/>
        <v>19</v>
      </c>
    </row>
    <row r="50" spans="1:16" x14ac:dyDescent="0.2">
      <c r="A50" s="36" t="s">
        <v>343</v>
      </c>
      <c r="B50" s="33">
        <v>1</v>
      </c>
      <c r="C50" s="33">
        <v>0</v>
      </c>
      <c r="D50" s="33">
        <v>0</v>
      </c>
      <c r="E50" s="33">
        <v>0</v>
      </c>
      <c r="F50" s="33">
        <v>0</v>
      </c>
      <c r="G50" s="33">
        <v>0</v>
      </c>
      <c r="H50" s="33">
        <v>1</v>
      </c>
      <c r="I50" s="33">
        <v>0</v>
      </c>
      <c r="J50" s="33">
        <v>0</v>
      </c>
      <c r="K50" s="33">
        <v>0</v>
      </c>
      <c r="L50" s="33">
        <v>0</v>
      </c>
      <c r="M50" s="33">
        <v>0</v>
      </c>
      <c r="N50" s="33">
        <v>0</v>
      </c>
      <c r="O50" s="33">
        <v>0</v>
      </c>
      <c r="P50" s="11">
        <f t="shared" si="0"/>
        <v>2</v>
      </c>
    </row>
    <row r="51" spans="1:16" x14ac:dyDescent="0.2">
      <c r="A51" s="36" t="s">
        <v>344</v>
      </c>
      <c r="B51" s="33">
        <v>3</v>
      </c>
      <c r="C51" s="33">
        <v>1</v>
      </c>
      <c r="D51" s="33">
        <v>1</v>
      </c>
      <c r="E51" s="33">
        <v>1</v>
      </c>
      <c r="F51" s="33">
        <v>3</v>
      </c>
      <c r="G51" s="33">
        <v>1</v>
      </c>
      <c r="H51" s="33">
        <v>4</v>
      </c>
      <c r="I51" s="33">
        <v>1</v>
      </c>
      <c r="J51" s="33">
        <v>1</v>
      </c>
      <c r="K51" s="33">
        <v>1</v>
      </c>
      <c r="L51" s="33">
        <v>1</v>
      </c>
      <c r="M51" s="33">
        <v>3</v>
      </c>
      <c r="N51" s="33">
        <v>3</v>
      </c>
      <c r="O51" s="33">
        <v>1</v>
      </c>
      <c r="P51" s="11">
        <f t="shared" si="0"/>
        <v>25</v>
      </c>
    </row>
    <row r="52" spans="1:16" x14ac:dyDescent="0.2">
      <c r="A52" s="38" t="s">
        <v>345</v>
      </c>
      <c r="B52" s="40">
        <v>0</v>
      </c>
      <c r="C52" s="40">
        <v>0</v>
      </c>
      <c r="D52" s="40">
        <v>0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  <c r="O52" s="40">
        <v>0</v>
      </c>
      <c r="P52" s="11">
        <f t="shared" si="0"/>
        <v>0</v>
      </c>
    </row>
    <row r="53" spans="1:16" x14ac:dyDescent="0.2">
      <c r="A53" s="38" t="s">
        <v>346</v>
      </c>
      <c r="B53" s="41">
        <v>0</v>
      </c>
      <c r="C53" s="37">
        <v>1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1</v>
      </c>
      <c r="M53" s="37">
        <v>0</v>
      </c>
      <c r="N53" s="37">
        <v>0</v>
      </c>
      <c r="O53" s="37">
        <v>0</v>
      </c>
      <c r="P53" s="11">
        <f t="shared" si="0"/>
        <v>2</v>
      </c>
    </row>
    <row r="54" spans="1:16" x14ac:dyDescent="0.2">
      <c r="A54" s="34" t="s">
        <v>347</v>
      </c>
      <c r="B54" s="35">
        <v>0</v>
      </c>
      <c r="C54" s="35">
        <v>1</v>
      </c>
      <c r="D54" s="35">
        <v>0</v>
      </c>
      <c r="E54" s="35">
        <v>1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11">
        <f t="shared" si="0"/>
        <v>2</v>
      </c>
    </row>
    <row r="55" spans="1:16" x14ac:dyDescent="0.2">
      <c r="A55" s="32" t="s">
        <v>348</v>
      </c>
      <c r="B55" s="33">
        <v>0</v>
      </c>
      <c r="C55" s="33">
        <v>0</v>
      </c>
      <c r="D55" s="33">
        <v>1</v>
      </c>
      <c r="E55" s="33">
        <v>0</v>
      </c>
      <c r="F55" s="33">
        <v>0</v>
      </c>
      <c r="G55" s="33">
        <v>0</v>
      </c>
      <c r="H55" s="33">
        <v>0</v>
      </c>
      <c r="I55" s="33">
        <v>0</v>
      </c>
      <c r="J55" s="33">
        <v>0</v>
      </c>
      <c r="K55" s="33">
        <v>1</v>
      </c>
      <c r="L55" s="33">
        <v>2</v>
      </c>
      <c r="M55" s="33">
        <v>0</v>
      </c>
      <c r="N55" s="33">
        <v>0</v>
      </c>
      <c r="O55" s="33">
        <v>1</v>
      </c>
      <c r="P55" s="11">
        <f t="shared" si="0"/>
        <v>5</v>
      </c>
    </row>
    <row r="56" spans="1:16" x14ac:dyDescent="0.2">
      <c r="A56" s="32" t="s">
        <v>349</v>
      </c>
      <c r="B56" s="33">
        <v>1</v>
      </c>
      <c r="C56" s="33">
        <v>0</v>
      </c>
      <c r="D56" s="33">
        <v>0</v>
      </c>
      <c r="E56" s="33">
        <v>0</v>
      </c>
      <c r="F56" s="33">
        <v>0</v>
      </c>
      <c r="G56" s="33">
        <v>0</v>
      </c>
      <c r="H56" s="33">
        <v>0</v>
      </c>
      <c r="I56" s="33">
        <v>0</v>
      </c>
      <c r="J56" s="33">
        <v>0</v>
      </c>
      <c r="K56" s="33">
        <v>0</v>
      </c>
      <c r="L56" s="33">
        <v>1</v>
      </c>
      <c r="M56" s="33">
        <v>0</v>
      </c>
      <c r="N56" s="33">
        <v>1</v>
      </c>
      <c r="O56" s="33">
        <v>0</v>
      </c>
      <c r="P56" s="11">
        <f t="shared" si="0"/>
        <v>3</v>
      </c>
    </row>
    <row r="57" spans="1:16" x14ac:dyDescent="0.2">
      <c r="A57" s="32" t="s">
        <v>350</v>
      </c>
      <c r="B57" s="33">
        <v>0</v>
      </c>
      <c r="C57" s="33">
        <v>1</v>
      </c>
      <c r="D57" s="33">
        <v>0</v>
      </c>
      <c r="E57" s="33">
        <v>0</v>
      </c>
      <c r="F57" s="33">
        <v>0</v>
      </c>
      <c r="G57" s="33">
        <v>1</v>
      </c>
      <c r="H57" s="33">
        <v>0</v>
      </c>
      <c r="I57" s="33">
        <v>0</v>
      </c>
      <c r="J57" s="33">
        <v>0</v>
      </c>
      <c r="K57" s="33">
        <v>0</v>
      </c>
      <c r="L57" s="33">
        <v>1</v>
      </c>
      <c r="M57" s="33">
        <v>0</v>
      </c>
      <c r="N57" s="33">
        <v>0</v>
      </c>
      <c r="O57" s="33">
        <v>1</v>
      </c>
      <c r="P57" s="11">
        <f t="shared" si="0"/>
        <v>4</v>
      </c>
    </row>
    <row r="58" spans="1:16" x14ac:dyDescent="0.2">
      <c r="A58" s="32" t="s">
        <v>351</v>
      </c>
      <c r="B58" s="33">
        <v>0</v>
      </c>
      <c r="C58" s="33">
        <v>2</v>
      </c>
      <c r="D58" s="33">
        <v>0</v>
      </c>
      <c r="E58" s="33">
        <v>0</v>
      </c>
      <c r="F58" s="33">
        <v>1</v>
      </c>
      <c r="G58" s="33">
        <v>0</v>
      </c>
      <c r="H58" s="33">
        <v>2</v>
      </c>
      <c r="I58" s="33">
        <v>0</v>
      </c>
      <c r="J58" s="33">
        <v>0</v>
      </c>
      <c r="K58" s="33">
        <v>2</v>
      </c>
      <c r="L58" s="33">
        <v>0</v>
      </c>
      <c r="M58" s="33">
        <v>0</v>
      </c>
      <c r="N58" s="33">
        <v>0</v>
      </c>
      <c r="O58" s="33">
        <v>0</v>
      </c>
      <c r="P58" s="11">
        <f t="shared" si="0"/>
        <v>7</v>
      </c>
    </row>
    <row r="59" spans="1:16" x14ac:dyDescent="0.2">
      <c r="A59" s="32" t="s">
        <v>352</v>
      </c>
      <c r="B59" s="33">
        <v>0</v>
      </c>
      <c r="C59" s="33">
        <v>0</v>
      </c>
      <c r="D59" s="33">
        <v>0</v>
      </c>
      <c r="E59" s="33">
        <v>0</v>
      </c>
      <c r="F59" s="33">
        <v>0</v>
      </c>
      <c r="G59" s="33">
        <v>0</v>
      </c>
      <c r="H59" s="33">
        <v>0</v>
      </c>
      <c r="I59" s="33">
        <v>0</v>
      </c>
      <c r="J59" s="33">
        <v>0</v>
      </c>
      <c r="K59" s="33">
        <v>2</v>
      </c>
      <c r="L59" s="33">
        <v>2</v>
      </c>
      <c r="M59" s="33">
        <v>0</v>
      </c>
      <c r="N59" s="33">
        <v>0</v>
      </c>
      <c r="O59" s="33">
        <v>0</v>
      </c>
      <c r="P59" s="11">
        <f t="shared" si="0"/>
        <v>4</v>
      </c>
    </row>
    <row r="60" spans="1:16" x14ac:dyDescent="0.2">
      <c r="A60" s="32" t="s">
        <v>353</v>
      </c>
      <c r="B60" s="33">
        <v>0</v>
      </c>
      <c r="C60" s="33">
        <v>2</v>
      </c>
      <c r="D60" s="33">
        <v>1</v>
      </c>
      <c r="E60" s="33">
        <v>0</v>
      </c>
      <c r="F60" s="33">
        <v>0</v>
      </c>
      <c r="G60" s="33">
        <v>0</v>
      </c>
      <c r="H60" s="33">
        <v>0</v>
      </c>
      <c r="I60" s="33">
        <v>0</v>
      </c>
      <c r="J60" s="33">
        <v>0</v>
      </c>
      <c r="K60" s="33">
        <v>1</v>
      </c>
      <c r="L60" s="33">
        <v>2</v>
      </c>
      <c r="M60" s="33">
        <v>0</v>
      </c>
      <c r="N60" s="33">
        <v>0</v>
      </c>
      <c r="O60" s="33">
        <v>0</v>
      </c>
      <c r="P60" s="11">
        <f t="shared" si="0"/>
        <v>6</v>
      </c>
    </row>
    <row r="61" spans="1:16" x14ac:dyDescent="0.2">
      <c r="A61" s="32" t="s">
        <v>354</v>
      </c>
      <c r="B61" s="33">
        <v>0</v>
      </c>
      <c r="C61" s="33">
        <v>0</v>
      </c>
      <c r="D61" s="33">
        <v>2</v>
      </c>
      <c r="E61" s="33">
        <v>0</v>
      </c>
      <c r="F61" s="33">
        <v>0</v>
      </c>
      <c r="G61" s="33">
        <v>0</v>
      </c>
      <c r="H61" s="33">
        <v>0</v>
      </c>
      <c r="I61" s="33">
        <v>0</v>
      </c>
      <c r="J61" s="33">
        <v>0</v>
      </c>
      <c r="K61" s="33">
        <v>0</v>
      </c>
      <c r="L61" s="33">
        <v>2</v>
      </c>
      <c r="M61" s="33">
        <v>0</v>
      </c>
      <c r="N61" s="33">
        <v>0</v>
      </c>
      <c r="O61" s="33">
        <v>0</v>
      </c>
      <c r="P61" s="11">
        <f t="shared" si="0"/>
        <v>4</v>
      </c>
    </row>
    <row r="62" spans="1:16" x14ac:dyDescent="0.2">
      <c r="A62" s="32" t="s">
        <v>355</v>
      </c>
      <c r="B62" s="33">
        <v>0</v>
      </c>
      <c r="C62" s="33">
        <v>0</v>
      </c>
      <c r="D62" s="33">
        <v>0</v>
      </c>
      <c r="E62" s="33">
        <v>1</v>
      </c>
      <c r="F62" s="33">
        <v>0</v>
      </c>
      <c r="G62" s="33">
        <v>0</v>
      </c>
      <c r="H62" s="33">
        <v>0</v>
      </c>
      <c r="I62" s="33">
        <v>0</v>
      </c>
      <c r="J62" s="33">
        <v>0</v>
      </c>
      <c r="K62" s="33">
        <v>1</v>
      </c>
      <c r="L62" s="33">
        <v>0</v>
      </c>
      <c r="M62" s="33">
        <v>0</v>
      </c>
      <c r="N62" s="33">
        <v>0</v>
      </c>
      <c r="O62" s="33">
        <v>0</v>
      </c>
      <c r="P62" s="11">
        <f t="shared" si="0"/>
        <v>2</v>
      </c>
    </row>
    <row r="63" spans="1:16" x14ac:dyDescent="0.2">
      <c r="A63" s="32" t="s">
        <v>356</v>
      </c>
      <c r="B63" s="33">
        <v>0</v>
      </c>
      <c r="C63" s="33">
        <v>0</v>
      </c>
      <c r="D63" s="33">
        <v>1</v>
      </c>
      <c r="E63" s="33">
        <v>0</v>
      </c>
      <c r="F63" s="33">
        <v>0</v>
      </c>
      <c r="G63" s="33">
        <v>0</v>
      </c>
      <c r="H63" s="33">
        <v>1</v>
      </c>
      <c r="I63" s="33">
        <v>0</v>
      </c>
      <c r="J63" s="33">
        <v>0</v>
      </c>
      <c r="K63" s="33">
        <v>0</v>
      </c>
      <c r="L63" s="33">
        <v>0</v>
      </c>
      <c r="M63" s="33">
        <v>0</v>
      </c>
      <c r="N63" s="33">
        <v>0</v>
      </c>
      <c r="O63" s="33">
        <v>0</v>
      </c>
      <c r="P63" s="11">
        <f t="shared" si="0"/>
        <v>2</v>
      </c>
    </row>
    <row r="64" spans="1:16" x14ac:dyDescent="0.2">
      <c r="A64" s="32" t="s">
        <v>357</v>
      </c>
      <c r="B64" s="33">
        <v>0</v>
      </c>
      <c r="C64" s="33">
        <v>2</v>
      </c>
      <c r="D64" s="33">
        <v>0</v>
      </c>
      <c r="E64" s="33">
        <v>0</v>
      </c>
      <c r="F64" s="33">
        <v>0</v>
      </c>
      <c r="G64" s="33">
        <v>0</v>
      </c>
      <c r="H64" s="33">
        <v>0</v>
      </c>
      <c r="I64" s="33">
        <v>0</v>
      </c>
      <c r="J64" s="33">
        <v>1</v>
      </c>
      <c r="K64" s="33">
        <v>1</v>
      </c>
      <c r="L64" s="33">
        <v>0</v>
      </c>
      <c r="M64" s="33">
        <v>0</v>
      </c>
      <c r="N64" s="33">
        <v>0</v>
      </c>
      <c r="O64" s="33">
        <v>0</v>
      </c>
      <c r="P64" s="11">
        <f t="shared" si="0"/>
        <v>4</v>
      </c>
    </row>
    <row r="65" spans="1:16" x14ac:dyDescent="0.2">
      <c r="A65" s="32" t="s">
        <v>358</v>
      </c>
      <c r="B65" s="33">
        <v>0</v>
      </c>
      <c r="C65" s="33">
        <v>0</v>
      </c>
      <c r="D65" s="33">
        <v>0</v>
      </c>
      <c r="E65" s="33">
        <v>0</v>
      </c>
      <c r="F65" s="33">
        <v>1</v>
      </c>
      <c r="G65" s="33">
        <v>0</v>
      </c>
      <c r="H65" s="33">
        <v>1</v>
      </c>
      <c r="I65" s="33">
        <v>0</v>
      </c>
      <c r="J65" s="33">
        <v>0</v>
      </c>
      <c r="K65" s="33">
        <v>0</v>
      </c>
      <c r="L65" s="33">
        <v>0</v>
      </c>
      <c r="M65" s="33">
        <v>0</v>
      </c>
      <c r="N65" s="33">
        <v>1</v>
      </c>
      <c r="O65" s="33">
        <v>0</v>
      </c>
      <c r="P65" s="11">
        <f t="shared" si="0"/>
        <v>3</v>
      </c>
    </row>
    <row r="66" spans="1:16" x14ac:dyDescent="0.2">
      <c r="A66" s="32" t="s">
        <v>359</v>
      </c>
      <c r="B66" s="33">
        <v>0</v>
      </c>
      <c r="C66" s="33">
        <v>0</v>
      </c>
      <c r="D66" s="33">
        <v>0</v>
      </c>
      <c r="E66" s="33">
        <v>0</v>
      </c>
      <c r="F66" s="33">
        <v>0</v>
      </c>
      <c r="G66" s="33">
        <v>0</v>
      </c>
      <c r="H66" s="33">
        <v>1</v>
      </c>
      <c r="I66" s="33">
        <v>0</v>
      </c>
      <c r="J66" s="33">
        <v>0</v>
      </c>
      <c r="K66" s="33">
        <v>0</v>
      </c>
      <c r="L66" s="33">
        <v>1</v>
      </c>
      <c r="M66" s="33">
        <v>0</v>
      </c>
      <c r="N66" s="33">
        <v>0</v>
      </c>
      <c r="O66" s="33">
        <v>0</v>
      </c>
      <c r="P66" s="11">
        <f t="shared" si="0"/>
        <v>2</v>
      </c>
    </row>
    <row r="67" spans="1:16" x14ac:dyDescent="0.2">
      <c r="A67" s="32" t="s">
        <v>360</v>
      </c>
      <c r="B67" s="33">
        <v>2</v>
      </c>
      <c r="C67" s="33">
        <v>1</v>
      </c>
      <c r="D67" s="33">
        <v>1</v>
      </c>
      <c r="E67" s="33">
        <v>0</v>
      </c>
      <c r="F67" s="33">
        <v>0</v>
      </c>
      <c r="G67" s="33">
        <v>0</v>
      </c>
      <c r="H67" s="33">
        <v>0</v>
      </c>
      <c r="I67" s="33">
        <v>0</v>
      </c>
      <c r="J67" s="33">
        <v>0</v>
      </c>
      <c r="K67" s="33">
        <v>0</v>
      </c>
      <c r="L67" s="33">
        <v>0</v>
      </c>
      <c r="M67" s="33">
        <v>0</v>
      </c>
      <c r="N67" s="33">
        <v>0</v>
      </c>
      <c r="O67" s="33">
        <v>0</v>
      </c>
      <c r="P67" s="11">
        <f t="shared" ref="P67:P130" si="1">SUM(B67:O67)</f>
        <v>4</v>
      </c>
    </row>
    <row r="68" spans="1:16" x14ac:dyDescent="0.2">
      <c r="A68" s="32" t="s">
        <v>361</v>
      </c>
      <c r="B68" s="33">
        <v>2</v>
      </c>
      <c r="C68" s="33">
        <v>1</v>
      </c>
      <c r="D68" s="33">
        <v>0</v>
      </c>
      <c r="E68" s="33">
        <v>0</v>
      </c>
      <c r="F68" s="33">
        <v>0</v>
      </c>
      <c r="G68" s="33">
        <v>0</v>
      </c>
      <c r="H68" s="33">
        <v>0</v>
      </c>
      <c r="I68" s="33">
        <v>0</v>
      </c>
      <c r="J68" s="33">
        <v>0</v>
      </c>
      <c r="K68" s="33">
        <v>1</v>
      </c>
      <c r="L68" s="33">
        <v>0</v>
      </c>
      <c r="M68" s="33">
        <v>0</v>
      </c>
      <c r="N68" s="33">
        <v>0</v>
      </c>
      <c r="O68" s="33">
        <v>0</v>
      </c>
      <c r="P68" s="11">
        <f t="shared" si="1"/>
        <v>4</v>
      </c>
    </row>
    <row r="69" spans="1:16" x14ac:dyDescent="0.2">
      <c r="A69" s="32" t="s">
        <v>362</v>
      </c>
      <c r="B69" s="33">
        <v>0</v>
      </c>
      <c r="C69" s="33">
        <v>0</v>
      </c>
      <c r="D69" s="33">
        <v>0</v>
      </c>
      <c r="E69" s="33">
        <v>2</v>
      </c>
      <c r="F69" s="33">
        <v>0</v>
      </c>
      <c r="G69" s="33">
        <v>0</v>
      </c>
      <c r="H69" s="33">
        <v>2</v>
      </c>
      <c r="I69" s="33">
        <v>0</v>
      </c>
      <c r="J69" s="33">
        <v>0</v>
      </c>
      <c r="K69" s="33">
        <v>0</v>
      </c>
      <c r="L69" s="33">
        <v>0</v>
      </c>
      <c r="M69" s="33">
        <v>0</v>
      </c>
      <c r="N69" s="33">
        <v>0</v>
      </c>
      <c r="O69" s="33">
        <v>0</v>
      </c>
      <c r="P69" s="11">
        <f t="shared" si="1"/>
        <v>4</v>
      </c>
    </row>
    <row r="70" spans="1:16" x14ac:dyDescent="0.2">
      <c r="A70" s="32" t="s">
        <v>363</v>
      </c>
      <c r="B70" s="33">
        <v>0</v>
      </c>
      <c r="C70" s="33">
        <v>0</v>
      </c>
      <c r="D70" s="33">
        <v>0</v>
      </c>
      <c r="E70" s="33">
        <v>0</v>
      </c>
      <c r="F70" s="33">
        <v>0</v>
      </c>
      <c r="G70" s="33">
        <v>0</v>
      </c>
      <c r="H70" s="33">
        <v>0</v>
      </c>
      <c r="I70" s="33">
        <v>0</v>
      </c>
      <c r="J70" s="33">
        <v>0</v>
      </c>
      <c r="K70" s="33">
        <v>0</v>
      </c>
      <c r="L70" s="33">
        <v>2</v>
      </c>
      <c r="M70" s="33">
        <v>0</v>
      </c>
      <c r="N70" s="33">
        <v>0</v>
      </c>
      <c r="O70" s="33">
        <v>0</v>
      </c>
      <c r="P70" s="11">
        <f t="shared" si="1"/>
        <v>2</v>
      </c>
    </row>
    <row r="71" spans="1:16" x14ac:dyDescent="0.2">
      <c r="A71" s="32" t="s">
        <v>364</v>
      </c>
      <c r="B71" s="33">
        <v>0</v>
      </c>
      <c r="C71" s="33">
        <v>0</v>
      </c>
      <c r="D71" s="33">
        <v>0</v>
      </c>
      <c r="E71" s="33">
        <v>0</v>
      </c>
      <c r="F71" s="33">
        <v>0</v>
      </c>
      <c r="G71" s="33">
        <v>0</v>
      </c>
      <c r="H71" s="33">
        <v>0</v>
      </c>
      <c r="I71" s="33">
        <v>0</v>
      </c>
      <c r="J71" s="33">
        <v>0</v>
      </c>
      <c r="K71" s="33">
        <v>0</v>
      </c>
      <c r="L71" s="33">
        <v>0</v>
      </c>
      <c r="M71" s="33">
        <v>0</v>
      </c>
      <c r="N71" s="33">
        <v>0</v>
      </c>
      <c r="O71" s="33">
        <v>1</v>
      </c>
      <c r="P71" s="11">
        <f t="shared" si="1"/>
        <v>1</v>
      </c>
    </row>
    <row r="72" spans="1:16" x14ac:dyDescent="0.2">
      <c r="A72" s="32" t="s">
        <v>365</v>
      </c>
      <c r="B72" s="33">
        <v>0</v>
      </c>
      <c r="C72" s="33">
        <v>2</v>
      </c>
      <c r="D72" s="33">
        <v>0</v>
      </c>
      <c r="E72" s="33">
        <v>0</v>
      </c>
      <c r="F72" s="33">
        <v>0</v>
      </c>
      <c r="G72" s="33">
        <v>0</v>
      </c>
      <c r="H72" s="33">
        <v>0</v>
      </c>
      <c r="I72" s="33">
        <v>1</v>
      </c>
      <c r="J72" s="33">
        <v>0</v>
      </c>
      <c r="K72" s="33">
        <v>1</v>
      </c>
      <c r="L72" s="33">
        <v>0</v>
      </c>
      <c r="M72" s="33">
        <v>0</v>
      </c>
      <c r="N72" s="33">
        <v>0</v>
      </c>
      <c r="O72" s="33">
        <v>0</v>
      </c>
      <c r="P72" s="11">
        <f t="shared" si="1"/>
        <v>4</v>
      </c>
    </row>
    <row r="73" spans="1:16" x14ac:dyDescent="0.2">
      <c r="A73" s="32" t="s">
        <v>366</v>
      </c>
      <c r="B73" s="33">
        <v>0</v>
      </c>
      <c r="C73" s="33">
        <v>0</v>
      </c>
      <c r="D73" s="33">
        <v>0</v>
      </c>
      <c r="E73" s="33">
        <v>0</v>
      </c>
      <c r="F73" s="33">
        <v>0</v>
      </c>
      <c r="G73" s="33">
        <v>0</v>
      </c>
      <c r="H73" s="33">
        <v>0</v>
      </c>
      <c r="I73" s="33">
        <v>0</v>
      </c>
      <c r="J73" s="33">
        <v>0</v>
      </c>
      <c r="K73" s="33">
        <v>1</v>
      </c>
      <c r="L73" s="33">
        <v>0</v>
      </c>
      <c r="M73" s="33">
        <v>0</v>
      </c>
      <c r="N73" s="33">
        <v>0</v>
      </c>
      <c r="O73" s="33">
        <v>1</v>
      </c>
      <c r="P73" s="11">
        <f t="shared" si="1"/>
        <v>2</v>
      </c>
    </row>
    <row r="74" spans="1:16" x14ac:dyDescent="0.2">
      <c r="A74" s="32" t="s">
        <v>367</v>
      </c>
      <c r="B74" s="33">
        <v>0</v>
      </c>
      <c r="C74" s="33">
        <v>0</v>
      </c>
      <c r="D74" s="33">
        <v>2</v>
      </c>
      <c r="E74" s="33">
        <v>0</v>
      </c>
      <c r="F74" s="33">
        <v>0</v>
      </c>
      <c r="G74" s="33">
        <v>0</v>
      </c>
      <c r="H74" s="33">
        <v>0</v>
      </c>
      <c r="I74" s="33">
        <v>0</v>
      </c>
      <c r="J74" s="33">
        <v>0</v>
      </c>
      <c r="K74" s="33">
        <v>0</v>
      </c>
      <c r="L74" s="33">
        <v>0</v>
      </c>
      <c r="M74" s="33">
        <v>0</v>
      </c>
      <c r="N74" s="33">
        <v>2</v>
      </c>
      <c r="O74" s="33">
        <v>3</v>
      </c>
      <c r="P74" s="11">
        <f t="shared" si="1"/>
        <v>7</v>
      </c>
    </row>
    <row r="75" spans="1:16" x14ac:dyDescent="0.2">
      <c r="A75" s="32" t="s">
        <v>368</v>
      </c>
      <c r="B75" s="33">
        <v>1</v>
      </c>
      <c r="C75" s="33">
        <v>1</v>
      </c>
      <c r="D75" s="33">
        <v>0</v>
      </c>
      <c r="E75" s="33">
        <v>0</v>
      </c>
      <c r="F75" s="33">
        <v>0</v>
      </c>
      <c r="G75" s="33">
        <v>0</v>
      </c>
      <c r="H75" s="33">
        <v>0</v>
      </c>
      <c r="I75" s="33">
        <v>0</v>
      </c>
      <c r="J75" s="33">
        <v>0</v>
      </c>
      <c r="K75" s="33">
        <v>0</v>
      </c>
      <c r="L75" s="33">
        <v>0</v>
      </c>
      <c r="M75" s="33">
        <v>0</v>
      </c>
      <c r="N75" s="33">
        <v>0</v>
      </c>
      <c r="O75" s="33">
        <v>0</v>
      </c>
      <c r="P75" s="11">
        <f t="shared" si="1"/>
        <v>2</v>
      </c>
    </row>
    <row r="76" spans="1:16" x14ac:dyDescent="0.2">
      <c r="A76" s="32" t="s">
        <v>369</v>
      </c>
      <c r="B76" s="33">
        <v>0</v>
      </c>
      <c r="C76" s="33">
        <v>0</v>
      </c>
      <c r="D76" s="33">
        <v>0</v>
      </c>
      <c r="E76" s="33">
        <v>0</v>
      </c>
      <c r="F76" s="33">
        <v>0</v>
      </c>
      <c r="G76" s="33">
        <v>0</v>
      </c>
      <c r="H76" s="33">
        <v>0</v>
      </c>
      <c r="I76" s="33">
        <v>0</v>
      </c>
      <c r="J76" s="33">
        <v>0</v>
      </c>
      <c r="K76" s="33">
        <v>0</v>
      </c>
      <c r="L76" s="33">
        <v>0</v>
      </c>
      <c r="M76" s="33">
        <v>0</v>
      </c>
      <c r="N76" s="33">
        <v>0</v>
      </c>
      <c r="O76" s="33">
        <v>0</v>
      </c>
      <c r="P76" s="11">
        <f t="shared" si="1"/>
        <v>0</v>
      </c>
    </row>
    <row r="77" spans="1:16" x14ac:dyDescent="0.2">
      <c r="A77" s="32" t="s">
        <v>370</v>
      </c>
      <c r="B77" s="33">
        <v>0</v>
      </c>
      <c r="C77" s="33">
        <v>0</v>
      </c>
      <c r="D77" s="33">
        <v>0</v>
      </c>
      <c r="E77" s="33">
        <v>0</v>
      </c>
      <c r="F77" s="33">
        <v>0</v>
      </c>
      <c r="G77" s="33">
        <v>0</v>
      </c>
      <c r="H77" s="33">
        <v>0</v>
      </c>
      <c r="I77" s="33">
        <v>0</v>
      </c>
      <c r="J77" s="33">
        <v>0</v>
      </c>
      <c r="K77" s="33">
        <v>0</v>
      </c>
      <c r="L77" s="33">
        <v>0</v>
      </c>
      <c r="M77" s="33">
        <v>0</v>
      </c>
      <c r="N77" s="33">
        <v>0</v>
      </c>
      <c r="O77" s="33">
        <v>0</v>
      </c>
      <c r="P77" s="11">
        <f t="shared" si="1"/>
        <v>0</v>
      </c>
    </row>
    <row r="78" spans="1:16" x14ac:dyDescent="0.2">
      <c r="A78" s="32" t="s">
        <v>371</v>
      </c>
      <c r="B78" s="33">
        <v>0</v>
      </c>
      <c r="C78" s="33">
        <v>0</v>
      </c>
      <c r="D78" s="33">
        <v>1</v>
      </c>
      <c r="E78" s="33">
        <v>1</v>
      </c>
      <c r="F78" s="33">
        <v>0</v>
      </c>
      <c r="G78" s="33">
        <v>0</v>
      </c>
      <c r="H78" s="33">
        <v>0</v>
      </c>
      <c r="I78" s="33">
        <v>0</v>
      </c>
      <c r="J78" s="33">
        <v>0</v>
      </c>
      <c r="K78" s="33">
        <v>0</v>
      </c>
      <c r="L78" s="33">
        <v>2</v>
      </c>
      <c r="M78" s="33">
        <v>0</v>
      </c>
      <c r="N78" s="33">
        <v>0</v>
      </c>
      <c r="O78" s="33">
        <v>3</v>
      </c>
      <c r="P78" s="11">
        <f t="shared" si="1"/>
        <v>7</v>
      </c>
    </row>
    <row r="79" spans="1:16" x14ac:dyDescent="0.2">
      <c r="A79" s="32" t="s">
        <v>372</v>
      </c>
      <c r="B79" s="33">
        <v>0</v>
      </c>
      <c r="C79" s="33">
        <v>0</v>
      </c>
      <c r="D79" s="33">
        <v>0</v>
      </c>
      <c r="E79" s="33">
        <v>0</v>
      </c>
      <c r="F79" s="33">
        <v>0</v>
      </c>
      <c r="G79" s="33">
        <v>0</v>
      </c>
      <c r="H79" s="33">
        <v>0</v>
      </c>
      <c r="I79" s="33">
        <v>0</v>
      </c>
      <c r="J79" s="33">
        <v>0</v>
      </c>
      <c r="K79" s="33">
        <v>0</v>
      </c>
      <c r="L79" s="33">
        <v>1</v>
      </c>
      <c r="M79" s="33">
        <v>0</v>
      </c>
      <c r="N79" s="33">
        <v>0</v>
      </c>
      <c r="O79" s="33">
        <v>0</v>
      </c>
      <c r="P79" s="11">
        <f t="shared" si="1"/>
        <v>1</v>
      </c>
    </row>
    <row r="80" spans="1:16" x14ac:dyDescent="0.2">
      <c r="A80" s="32" t="s">
        <v>373</v>
      </c>
      <c r="B80" s="33">
        <v>0</v>
      </c>
      <c r="C80" s="33">
        <v>2</v>
      </c>
      <c r="D80" s="33">
        <v>0</v>
      </c>
      <c r="E80" s="33">
        <v>0</v>
      </c>
      <c r="F80" s="33">
        <v>0</v>
      </c>
      <c r="G80" s="33">
        <v>0</v>
      </c>
      <c r="H80" s="33">
        <v>0</v>
      </c>
      <c r="I80" s="33">
        <v>0</v>
      </c>
      <c r="J80" s="33">
        <v>0</v>
      </c>
      <c r="K80" s="33">
        <v>0</v>
      </c>
      <c r="L80" s="33">
        <v>0</v>
      </c>
      <c r="M80" s="33">
        <v>0</v>
      </c>
      <c r="N80" s="33">
        <v>0</v>
      </c>
      <c r="O80" s="33">
        <v>1</v>
      </c>
      <c r="P80" s="11">
        <f t="shared" si="1"/>
        <v>3</v>
      </c>
    </row>
    <row r="81" spans="1:16" x14ac:dyDescent="0.2">
      <c r="A81" s="32" t="s">
        <v>374</v>
      </c>
      <c r="B81" s="33">
        <v>0</v>
      </c>
      <c r="C81" s="33">
        <v>0</v>
      </c>
      <c r="D81" s="33">
        <v>0</v>
      </c>
      <c r="E81" s="33">
        <v>0</v>
      </c>
      <c r="F81" s="33">
        <v>0</v>
      </c>
      <c r="G81" s="33">
        <v>0</v>
      </c>
      <c r="H81" s="33">
        <v>0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3">
        <v>0</v>
      </c>
      <c r="O81" s="33">
        <v>0</v>
      </c>
      <c r="P81" s="11">
        <f t="shared" si="1"/>
        <v>0</v>
      </c>
    </row>
    <row r="82" spans="1:16" x14ac:dyDescent="0.2">
      <c r="A82" s="32" t="s">
        <v>375</v>
      </c>
      <c r="B82" s="33">
        <v>0</v>
      </c>
      <c r="C82" s="33">
        <v>0</v>
      </c>
      <c r="D82" s="33">
        <v>3</v>
      </c>
      <c r="E82" s="33">
        <v>0</v>
      </c>
      <c r="F82" s="33">
        <v>0</v>
      </c>
      <c r="G82" s="33">
        <v>0</v>
      </c>
      <c r="H82" s="33">
        <v>0</v>
      </c>
      <c r="I82" s="33">
        <v>0</v>
      </c>
      <c r="J82" s="33">
        <v>0</v>
      </c>
      <c r="K82" s="33">
        <v>0</v>
      </c>
      <c r="L82" s="33">
        <v>0</v>
      </c>
      <c r="M82" s="33">
        <v>0</v>
      </c>
      <c r="N82" s="33">
        <v>0</v>
      </c>
      <c r="O82" s="33">
        <v>3</v>
      </c>
      <c r="P82" s="11">
        <f t="shared" si="1"/>
        <v>6</v>
      </c>
    </row>
    <row r="83" spans="1:16" x14ac:dyDescent="0.2">
      <c r="A83" s="32" t="s">
        <v>376</v>
      </c>
      <c r="B83" s="33">
        <v>1</v>
      </c>
      <c r="C83" s="33">
        <v>2</v>
      </c>
      <c r="D83" s="33">
        <v>0</v>
      </c>
      <c r="E83" s="33">
        <v>0</v>
      </c>
      <c r="F83" s="33">
        <v>0</v>
      </c>
      <c r="G83" s="33">
        <v>0</v>
      </c>
      <c r="H83" s="33">
        <v>0</v>
      </c>
      <c r="I83" s="33">
        <v>0</v>
      </c>
      <c r="J83" s="33">
        <v>0</v>
      </c>
      <c r="K83" s="33">
        <v>0</v>
      </c>
      <c r="L83" s="33">
        <v>2</v>
      </c>
      <c r="M83" s="33">
        <v>0</v>
      </c>
      <c r="N83" s="33">
        <v>2</v>
      </c>
      <c r="O83" s="33">
        <v>0</v>
      </c>
      <c r="P83" s="11">
        <f t="shared" si="1"/>
        <v>7</v>
      </c>
    </row>
    <row r="84" spans="1:16" x14ac:dyDescent="0.2">
      <c r="A84" s="32" t="s">
        <v>377</v>
      </c>
      <c r="B84" s="33">
        <v>0</v>
      </c>
      <c r="C84" s="33">
        <v>0</v>
      </c>
      <c r="D84" s="33">
        <v>0</v>
      </c>
      <c r="E84" s="33">
        <v>0</v>
      </c>
      <c r="F84" s="33">
        <v>0</v>
      </c>
      <c r="G84" s="33">
        <v>0</v>
      </c>
      <c r="H84" s="33">
        <v>0</v>
      </c>
      <c r="I84" s="33">
        <v>0</v>
      </c>
      <c r="J84" s="33">
        <v>0</v>
      </c>
      <c r="K84" s="33">
        <v>0</v>
      </c>
      <c r="L84" s="33">
        <v>0</v>
      </c>
      <c r="M84" s="33">
        <v>0</v>
      </c>
      <c r="N84" s="33">
        <v>0</v>
      </c>
      <c r="O84" s="33">
        <v>0</v>
      </c>
      <c r="P84" s="11">
        <f t="shared" si="1"/>
        <v>0</v>
      </c>
    </row>
    <row r="85" spans="1:16" x14ac:dyDescent="0.2">
      <c r="A85" s="32" t="s">
        <v>378</v>
      </c>
      <c r="B85" s="33">
        <v>1</v>
      </c>
      <c r="C85" s="33">
        <v>0</v>
      </c>
      <c r="D85" s="33">
        <v>0</v>
      </c>
      <c r="E85" s="33">
        <v>0</v>
      </c>
      <c r="F85" s="33">
        <v>0</v>
      </c>
      <c r="G85" s="33">
        <v>0</v>
      </c>
      <c r="H85" s="33">
        <v>0</v>
      </c>
      <c r="I85" s="33">
        <v>0</v>
      </c>
      <c r="J85" s="33">
        <v>0</v>
      </c>
      <c r="K85" s="33">
        <v>2</v>
      </c>
      <c r="L85" s="33">
        <v>2</v>
      </c>
      <c r="M85" s="33">
        <v>0</v>
      </c>
      <c r="N85" s="33">
        <v>0</v>
      </c>
      <c r="O85" s="33">
        <v>0</v>
      </c>
      <c r="P85" s="11">
        <f t="shared" si="1"/>
        <v>5</v>
      </c>
    </row>
    <row r="86" spans="1:16" x14ac:dyDescent="0.2">
      <c r="A86" s="32" t="s">
        <v>379</v>
      </c>
      <c r="B86" s="33">
        <v>0</v>
      </c>
      <c r="C86" s="33">
        <v>0</v>
      </c>
      <c r="D86" s="33">
        <v>0</v>
      </c>
      <c r="E86" s="33">
        <v>0</v>
      </c>
      <c r="F86" s="33">
        <v>0</v>
      </c>
      <c r="G86" s="33">
        <v>0</v>
      </c>
      <c r="H86" s="33">
        <v>0</v>
      </c>
      <c r="I86" s="33">
        <v>0</v>
      </c>
      <c r="J86" s="33">
        <v>1</v>
      </c>
      <c r="K86" s="33">
        <v>0</v>
      </c>
      <c r="L86" s="33">
        <v>0</v>
      </c>
      <c r="M86" s="33">
        <v>0</v>
      </c>
      <c r="N86" s="33">
        <v>0</v>
      </c>
      <c r="O86" s="33">
        <v>0</v>
      </c>
      <c r="P86" s="11">
        <f t="shared" si="1"/>
        <v>1</v>
      </c>
    </row>
    <row r="87" spans="1:16" x14ac:dyDescent="0.2">
      <c r="A87" s="32" t="s">
        <v>380</v>
      </c>
      <c r="B87" s="33">
        <v>0</v>
      </c>
      <c r="C87" s="33">
        <v>0</v>
      </c>
      <c r="D87" s="33">
        <v>1</v>
      </c>
      <c r="E87" s="33">
        <v>1</v>
      </c>
      <c r="F87" s="33">
        <v>0</v>
      </c>
      <c r="G87" s="33">
        <v>0</v>
      </c>
      <c r="H87" s="33">
        <v>0</v>
      </c>
      <c r="I87" s="33">
        <v>0</v>
      </c>
      <c r="J87" s="33">
        <v>0</v>
      </c>
      <c r="K87" s="33">
        <v>0</v>
      </c>
      <c r="L87" s="33">
        <v>0</v>
      </c>
      <c r="M87" s="33">
        <v>0</v>
      </c>
      <c r="N87" s="33">
        <v>2</v>
      </c>
      <c r="O87" s="33">
        <v>0</v>
      </c>
      <c r="P87" s="11">
        <f t="shared" si="1"/>
        <v>4</v>
      </c>
    </row>
    <row r="88" spans="1:16" x14ac:dyDescent="0.2">
      <c r="A88" s="32" t="s">
        <v>381</v>
      </c>
      <c r="B88" s="33">
        <v>0</v>
      </c>
      <c r="C88" s="33">
        <v>0</v>
      </c>
      <c r="D88" s="33">
        <v>0</v>
      </c>
      <c r="E88" s="33">
        <v>1</v>
      </c>
      <c r="F88" s="33">
        <v>0</v>
      </c>
      <c r="G88" s="33">
        <v>0</v>
      </c>
      <c r="H88" s="33">
        <v>0</v>
      </c>
      <c r="I88" s="33">
        <v>0</v>
      </c>
      <c r="J88" s="33">
        <v>0</v>
      </c>
      <c r="K88" s="33">
        <v>2</v>
      </c>
      <c r="L88" s="33">
        <v>2</v>
      </c>
      <c r="M88" s="33">
        <v>0</v>
      </c>
      <c r="N88" s="33">
        <v>0</v>
      </c>
      <c r="O88" s="33">
        <v>1</v>
      </c>
      <c r="P88" s="11">
        <f t="shared" si="1"/>
        <v>6</v>
      </c>
    </row>
    <row r="89" spans="1:16" x14ac:dyDescent="0.2">
      <c r="A89" s="32" t="s">
        <v>382</v>
      </c>
      <c r="B89" s="32">
        <v>0</v>
      </c>
      <c r="C89" s="33">
        <v>0</v>
      </c>
      <c r="D89" s="33">
        <v>0</v>
      </c>
      <c r="E89" s="33">
        <v>0</v>
      </c>
      <c r="F89" s="33">
        <v>0</v>
      </c>
      <c r="G89" s="33">
        <v>0</v>
      </c>
      <c r="H89" s="33">
        <v>0</v>
      </c>
      <c r="I89" s="33">
        <v>1</v>
      </c>
      <c r="J89" s="33">
        <v>1</v>
      </c>
      <c r="K89" s="33">
        <v>0</v>
      </c>
      <c r="L89" s="33">
        <v>0</v>
      </c>
      <c r="M89" s="33">
        <v>0</v>
      </c>
      <c r="N89" s="33">
        <v>0</v>
      </c>
      <c r="O89" s="33">
        <v>0</v>
      </c>
      <c r="P89" s="11">
        <f t="shared" si="1"/>
        <v>2</v>
      </c>
    </row>
    <row r="90" spans="1:16" x14ac:dyDescent="0.2">
      <c r="A90" s="32" t="s">
        <v>383</v>
      </c>
      <c r="B90" s="32">
        <v>0</v>
      </c>
      <c r="C90" s="33">
        <v>0</v>
      </c>
      <c r="D90" s="33">
        <v>0</v>
      </c>
      <c r="E90" s="33">
        <v>0</v>
      </c>
      <c r="F90" s="33">
        <v>0</v>
      </c>
      <c r="G90" s="33">
        <v>0</v>
      </c>
      <c r="H90" s="33">
        <v>0</v>
      </c>
      <c r="I90" s="33">
        <v>0</v>
      </c>
      <c r="J90" s="33">
        <v>0</v>
      </c>
      <c r="K90" s="33">
        <v>1</v>
      </c>
      <c r="L90" s="33">
        <v>1</v>
      </c>
      <c r="M90" s="33">
        <v>0</v>
      </c>
      <c r="N90" s="33">
        <v>1</v>
      </c>
      <c r="O90" s="33">
        <v>0</v>
      </c>
      <c r="P90" s="11">
        <f t="shared" si="1"/>
        <v>3</v>
      </c>
    </row>
    <row r="91" spans="1:16" x14ac:dyDescent="0.2">
      <c r="A91" s="32" t="s">
        <v>384</v>
      </c>
      <c r="B91" s="32">
        <v>0</v>
      </c>
      <c r="C91" s="33">
        <v>2</v>
      </c>
      <c r="D91" s="33">
        <v>2</v>
      </c>
      <c r="E91" s="33">
        <v>0</v>
      </c>
      <c r="F91" s="33">
        <v>0</v>
      </c>
      <c r="G91" s="33">
        <v>0</v>
      </c>
      <c r="H91" s="33">
        <v>0</v>
      </c>
      <c r="I91" s="33">
        <v>0</v>
      </c>
      <c r="J91" s="33">
        <v>0</v>
      </c>
      <c r="K91" s="33">
        <v>0</v>
      </c>
      <c r="L91" s="33">
        <v>0</v>
      </c>
      <c r="M91" s="33">
        <v>0</v>
      </c>
      <c r="N91" s="33">
        <v>0</v>
      </c>
      <c r="O91" s="33">
        <v>2</v>
      </c>
      <c r="P91" s="11">
        <f t="shared" si="1"/>
        <v>6</v>
      </c>
    </row>
    <row r="92" spans="1:16" x14ac:dyDescent="0.2">
      <c r="A92" s="32" t="s">
        <v>385</v>
      </c>
      <c r="B92" s="32">
        <v>0</v>
      </c>
      <c r="C92" s="33">
        <v>2</v>
      </c>
      <c r="D92" s="33">
        <v>0</v>
      </c>
      <c r="E92" s="33">
        <v>1</v>
      </c>
      <c r="F92" s="33">
        <v>0</v>
      </c>
      <c r="G92" s="33">
        <v>0</v>
      </c>
      <c r="H92" s="33">
        <v>0</v>
      </c>
      <c r="I92" s="33">
        <v>0</v>
      </c>
      <c r="J92" s="33">
        <v>0</v>
      </c>
      <c r="K92" s="33">
        <v>2</v>
      </c>
      <c r="L92" s="33">
        <v>0</v>
      </c>
      <c r="M92" s="33">
        <v>0</v>
      </c>
      <c r="N92" s="33">
        <v>0</v>
      </c>
      <c r="O92" s="33">
        <v>0</v>
      </c>
      <c r="P92" s="11">
        <f t="shared" si="1"/>
        <v>5</v>
      </c>
    </row>
    <row r="93" spans="1:16" x14ac:dyDescent="0.2">
      <c r="A93" s="32" t="s">
        <v>386</v>
      </c>
      <c r="B93" s="33">
        <v>0</v>
      </c>
      <c r="C93" s="42">
        <v>0</v>
      </c>
      <c r="D93" s="33">
        <v>0</v>
      </c>
      <c r="E93" s="33">
        <v>0</v>
      </c>
      <c r="F93" s="33">
        <v>0</v>
      </c>
      <c r="G93" s="33">
        <v>0</v>
      </c>
      <c r="H93" s="33">
        <v>0</v>
      </c>
      <c r="I93" s="33">
        <v>0</v>
      </c>
      <c r="J93" s="33">
        <v>0</v>
      </c>
      <c r="K93" s="33">
        <v>0</v>
      </c>
      <c r="L93" s="33">
        <v>0</v>
      </c>
      <c r="M93" s="33">
        <v>0</v>
      </c>
      <c r="N93" s="33">
        <v>0</v>
      </c>
      <c r="O93" s="33">
        <v>0</v>
      </c>
      <c r="P93" s="11">
        <f t="shared" si="1"/>
        <v>0</v>
      </c>
    </row>
    <row r="94" spans="1:16" x14ac:dyDescent="0.2">
      <c r="A94" s="32" t="s">
        <v>387</v>
      </c>
      <c r="B94" s="33">
        <v>0</v>
      </c>
      <c r="C94" s="33">
        <v>0</v>
      </c>
      <c r="D94" s="33">
        <v>0</v>
      </c>
      <c r="E94" s="33">
        <v>1</v>
      </c>
      <c r="F94" s="33">
        <v>0</v>
      </c>
      <c r="G94" s="33">
        <v>0</v>
      </c>
      <c r="H94" s="33">
        <v>0</v>
      </c>
      <c r="I94" s="33">
        <v>0</v>
      </c>
      <c r="J94" s="33">
        <v>0</v>
      </c>
      <c r="K94" s="33">
        <v>2</v>
      </c>
      <c r="L94" s="33">
        <v>2</v>
      </c>
      <c r="M94" s="33">
        <v>0</v>
      </c>
      <c r="N94" s="33">
        <v>0</v>
      </c>
      <c r="O94" s="33">
        <v>0</v>
      </c>
      <c r="P94" s="11">
        <f t="shared" si="1"/>
        <v>5</v>
      </c>
    </row>
    <row r="95" spans="1:16" x14ac:dyDescent="0.2">
      <c r="A95" s="32" t="s">
        <v>388</v>
      </c>
      <c r="B95" s="33">
        <v>0</v>
      </c>
      <c r="C95" s="33">
        <v>0</v>
      </c>
      <c r="D95" s="33">
        <v>0</v>
      </c>
      <c r="E95" s="33">
        <v>1</v>
      </c>
      <c r="F95" s="33">
        <v>0</v>
      </c>
      <c r="G95" s="33">
        <v>0</v>
      </c>
      <c r="H95" s="33">
        <v>0</v>
      </c>
      <c r="I95" s="33">
        <v>0</v>
      </c>
      <c r="J95" s="33">
        <v>0</v>
      </c>
      <c r="K95" s="33">
        <v>2</v>
      </c>
      <c r="L95" s="33">
        <v>2</v>
      </c>
      <c r="M95" s="33">
        <v>0</v>
      </c>
      <c r="N95" s="33">
        <v>0</v>
      </c>
      <c r="O95" s="33">
        <v>1</v>
      </c>
      <c r="P95" s="11">
        <f t="shared" si="1"/>
        <v>6</v>
      </c>
    </row>
    <row r="96" spans="1:16" x14ac:dyDescent="0.2">
      <c r="A96" s="32" t="s">
        <v>389</v>
      </c>
      <c r="B96" s="32">
        <v>0</v>
      </c>
      <c r="C96" s="33">
        <v>0</v>
      </c>
      <c r="D96" s="33">
        <v>2</v>
      </c>
      <c r="E96" s="33">
        <v>0</v>
      </c>
      <c r="F96" s="33">
        <v>0</v>
      </c>
      <c r="G96" s="33">
        <v>0</v>
      </c>
      <c r="H96" s="33">
        <v>1</v>
      </c>
      <c r="I96" s="33">
        <v>0</v>
      </c>
      <c r="J96" s="33">
        <v>0</v>
      </c>
      <c r="K96" s="33">
        <v>1</v>
      </c>
      <c r="L96" s="33">
        <v>1</v>
      </c>
      <c r="M96" s="33">
        <v>0</v>
      </c>
      <c r="N96" s="33">
        <v>0</v>
      </c>
      <c r="O96" s="33">
        <v>2</v>
      </c>
      <c r="P96" s="11">
        <f t="shared" si="1"/>
        <v>7</v>
      </c>
    </row>
    <row r="97" spans="1:16" x14ac:dyDescent="0.2">
      <c r="A97" s="32" t="s">
        <v>390</v>
      </c>
      <c r="B97" s="32">
        <v>0</v>
      </c>
      <c r="C97" s="33">
        <v>0</v>
      </c>
      <c r="D97" s="33">
        <v>0</v>
      </c>
      <c r="E97" s="33">
        <v>0</v>
      </c>
      <c r="F97" s="33">
        <v>0</v>
      </c>
      <c r="G97" s="33">
        <v>2</v>
      </c>
      <c r="H97" s="33">
        <v>0</v>
      </c>
      <c r="I97" s="33">
        <v>0</v>
      </c>
      <c r="J97" s="33">
        <v>0</v>
      </c>
      <c r="K97" s="33">
        <v>2</v>
      </c>
      <c r="L97" s="33">
        <v>2</v>
      </c>
      <c r="M97" s="33">
        <v>0</v>
      </c>
      <c r="N97" s="33">
        <v>0</v>
      </c>
      <c r="O97" s="33">
        <v>1</v>
      </c>
      <c r="P97" s="11">
        <f t="shared" si="1"/>
        <v>7</v>
      </c>
    </row>
    <row r="98" spans="1:16" x14ac:dyDescent="0.2">
      <c r="A98" s="32" t="s">
        <v>391</v>
      </c>
      <c r="B98" s="32">
        <v>0</v>
      </c>
      <c r="C98" s="32">
        <v>0</v>
      </c>
      <c r="D98" s="33">
        <v>2</v>
      </c>
      <c r="E98" s="33">
        <v>0</v>
      </c>
      <c r="F98" s="33">
        <v>1</v>
      </c>
      <c r="G98" s="33">
        <v>1</v>
      </c>
      <c r="H98" s="33">
        <v>0</v>
      </c>
      <c r="I98" s="33">
        <v>0</v>
      </c>
      <c r="J98" s="33">
        <v>0</v>
      </c>
      <c r="K98" s="33">
        <v>3</v>
      </c>
      <c r="L98" s="33">
        <v>0</v>
      </c>
      <c r="M98" s="33">
        <v>1</v>
      </c>
      <c r="N98" s="33">
        <v>0</v>
      </c>
      <c r="O98" s="33">
        <v>2</v>
      </c>
      <c r="P98" s="11">
        <f t="shared" si="1"/>
        <v>10</v>
      </c>
    </row>
    <row r="99" spans="1:16" x14ac:dyDescent="0.2">
      <c r="A99" s="32" t="s">
        <v>392</v>
      </c>
      <c r="B99" s="32">
        <v>0</v>
      </c>
      <c r="C99" s="33">
        <v>0</v>
      </c>
      <c r="D99" s="33">
        <v>0</v>
      </c>
      <c r="E99" s="33">
        <v>0</v>
      </c>
      <c r="F99" s="33">
        <v>0</v>
      </c>
      <c r="G99" s="33">
        <v>0</v>
      </c>
      <c r="H99" s="33">
        <v>0</v>
      </c>
      <c r="I99" s="33">
        <v>0</v>
      </c>
      <c r="J99" s="33">
        <v>0</v>
      </c>
      <c r="K99" s="33">
        <v>1</v>
      </c>
      <c r="L99" s="33">
        <v>1</v>
      </c>
      <c r="M99" s="33">
        <v>0</v>
      </c>
      <c r="N99" s="33">
        <v>0</v>
      </c>
      <c r="O99" s="33">
        <v>0</v>
      </c>
      <c r="P99" s="11">
        <f t="shared" si="1"/>
        <v>2</v>
      </c>
    </row>
    <row r="100" spans="1:16" x14ac:dyDescent="0.2">
      <c r="A100" s="32" t="s">
        <v>393</v>
      </c>
      <c r="B100" s="32">
        <v>0</v>
      </c>
      <c r="C100" s="33">
        <v>0</v>
      </c>
      <c r="D100" s="33">
        <v>0</v>
      </c>
      <c r="E100" s="33">
        <v>0</v>
      </c>
      <c r="F100" s="33">
        <v>0</v>
      </c>
      <c r="G100" s="33">
        <v>0</v>
      </c>
      <c r="H100" s="33">
        <v>0</v>
      </c>
      <c r="I100" s="33">
        <v>0</v>
      </c>
      <c r="J100" s="33">
        <v>0</v>
      </c>
      <c r="K100" s="33">
        <v>0</v>
      </c>
      <c r="L100" s="33">
        <v>2</v>
      </c>
      <c r="M100" s="33">
        <v>0</v>
      </c>
      <c r="N100" s="33">
        <v>0</v>
      </c>
      <c r="O100" s="33">
        <v>2</v>
      </c>
      <c r="P100" s="11">
        <f t="shared" si="1"/>
        <v>4</v>
      </c>
    </row>
    <row r="101" spans="1:16" x14ac:dyDescent="0.2">
      <c r="A101" s="32" t="s">
        <v>394</v>
      </c>
      <c r="B101" s="32">
        <v>0</v>
      </c>
      <c r="C101" s="33">
        <v>0</v>
      </c>
      <c r="D101" s="33">
        <v>0</v>
      </c>
      <c r="E101" s="33">
        <v>0</v>
      </c>
      <c r="F101" s="33">
        <v>0</v>
      </c>
      <c r="G101" s="33">
        <v>0</v>
      </c>
      <c r="H101" s="33">
        <v>0</v>
      </c>
      <c r="I101" s="33">
        <v>0</v>
      </c>
      <c r="J101" s="33">
        <v>0</v>
      </c>
      <c r="K101" s="33">
        <v>0</v>
      </c>
      <c r="L101" s="33">
        <v>0</v>
      </c>
      <c r="M101" s="33">
        <v>0</v>
      </c>
      <c r="N101" s="33">
        <v>0</v>
      </c>
      <c r="O101" s="33">
        <v>0</v>
      </c>
      <c r="P101" s="11">
        <f t="shared" si="1"/>
        <v>0</v>
      </c>
    </row>
    <row r="102" spans="1:16" x14ac:dyDescent="0.2">
      <c r="A102" s="32" t="s">
        <v>395</v>
      </c>
      <c r="B102" s="32">
        <v>0</v>
      </c>
      <c r="C102" s="33">
        <v>0</v>
      </c>
      <c r="D102" s="33">
        <v>0</v>
      </c>
      <c r="E102" s="33">
        <v>0</v>
      </c>
      <c r="F102" s="33">
        <v>0</v>
      </c>
      <c r="G102" s="33">
        <v>0</v>
      </c>
      <c r="H102" s="33">
        <v>0</v>
      </c>
      <c r="I102" s="33">
        <v>0</v>
      </c>
      <c r="J102" s="33">
        <v>0</v>
      </c>
      <c r="K102" s="33">
        <v>0</v>
      </c>
      <c r="L102" s="33">
        <v>1</v>
      </c>
      <c r="M102" s="33">
        <v>0</v>
      </c>
      <c r="N102" s="33">
        <v>0</v>
      </c>
      <c r="O102" s="33">
        <v>0</v>
      </c>
      <c r="P102" s="11">
        <f t="shared" si="1"/>
        <v>1</v>
      </c>
    </row>
    <row r="103" spans="1:16" x14ac:dyDescent="0.2">
      <c r="A103" s="32" t="s">
        <v>396</v>
      </c>
      <c r="B103" s="32">
        <v>0</v>
      </c>
      <c r="C103" s="33">
        <v>0</v>
      </c>
      <c r="D103" s="33">
        <v>0</v>
      </c>
      <c r="E103" s="33">
        <v>0</v>
      </c>
      <c r="F103" s="33">
        <v>0</v>
      </c>
      <c r="G103" s="33">
        <v>0</v>
      </c>
      <c r="H103" s="33">
        <v>0</v>
      </c>
      <c r="I103" s="33">
        <v>0</v>
      </c>
      <c r="J103" s="33">
        <v>0</v>
      </c>
      <c r="K103" s="33">
        <v>1</v>
      </c>
      <c r="L103" s="33">
        <v>1</v>
      </c>
      <c r="M103" s="33">
        <v>0</v>
      </c>
      <c r="N103" s="33">
        <v>0</v>
      </c>
      <c r="O103" s="33">
        <v>0</v>
      </c>
      <c r="P103" s="11">
        <f t="shared" si="1"/>
        <v>2</v>
      </c>
    </row>
    <row r="104" spans="1:16" x14ac:dyDescent="0.2">
      <c r="A104" s="32" t="s">
        <v>397</v>
      </c>
      <c r="B104" s="32">
        <v>1</v>
      </c>
      <c r="C104" s="33">
        <v>1</v>
      </c>
      <c r="D104" s="33">
        <v>0</v>
      </c>
      <c r="E104" s="33">
        <v>0</v>
      </c>
      <c r="F104" s="33">
        <v>0</v>
      </c>
      <c r="G104" s="33">
        <v>0</v>
      </c>
      <c r="H104" s="33">
        <v>1</v>
      </c>
      <c r="I104" s="33">
        <v>0</v>
      </c>
      <c r="J104" s="33">
        <v>1</v>
      </c>
      <c r="K104" s="33">
        <v>0</v>
      </c>
      <c r="L104" s="33">
        <v>1</v>
      </c>
      <c r="M104" s="33">
        <v>0</v>
      </c>
      <c r="N104" s="33">
        <v>0</v>
      </c>
      <c r="O104" s="33">
        <v>0</v>
      </c>
      <c r="P104" s="11">
        <f t="shared" si="1"/>
        <v>5</v>
      </c>
    </row>
    <row r="105" spans="1:16" x14ac:dyDescent="0.2">
      <c r="A105" s="32" t="s">
        <v>398</v>
      </c>
      <c r="B105" s="33">
        <v>0</v>
      </c>
      <c r="C105" s="42">
        <v>0</v>
      </c>
      <c r="D105" s="33">
        <v>0</v>
      </c>
      <c r="E105" s="33">
        <v>0</v>
      </c>
      <c r="F105" s="33">
        <v>0</v>
      </c>
      <c r="G105" s="33">
        <v>0</v>
      </c>
      <c r="H105" s="33">
        <v>0</v>
      </c>
      <c r="I105" s="33">
        <v>0</v>
      </c>
      <c r="J105" s="33">
        <v>0</v>
      </c>
      <c r="K105" s="33">
        <v>1</v>
      </c>
      <c r="L105" s="33">
        <v>1</v>
      </c>
      <c r="M105" s="33">
        <v>0</v>
      </c>
      <c r="N105" s="33">
        <v>0</v>
      </c>
      <c r="O105" s="33">
        <v>0</v>
      </c>
      <c r="P105" s="11">
        <f t="shared" si="1"/>
        <v>2</v>
      </c>
    </row>
    <row r="106" spans="1:16" x14ac:dyDescent="0.2">
      <c r="A106" s="32" t="s">
        <v>399</v>
      </c>
      <c r="B106" s="33">
        <v>0</v>
      </c>
      <c r="C106" s="42">
        <v>0</v>
      </c>
      <c r="D106" s="33">
        <v>0</v>
      </c>
      <c r="E106" s="33">
        <v>0</v>
      </c>
      <c r="F106" s="33">
        <v>0</v>
      </c>
      <c r="G106" s="33">
        <v>0</v>
      </c>
      <c r="H106" s="33">
        <v>0</v>
      </c>
      <c r="I106" s="33">
        <v>0</v>
      </c>
      <c r="J106" s="33">
        <v>0</v>
      </c>
      <c r="K106" s="33">
        <v>0</v>
      </c>
      <c r="L106" s="33">
        <v>0</v>
      </c>
      <c r="M106" s="33">
        <v>0</v>
      </c>
      <c r="N106" s="33">
        <v>0</v>
      </c>
      <c r="O106" s="33">
        <v>0</v>
      </c>
      <c r="P106" s="11">
        <f t="shared" si="1"/>
        <v>0</v>
      </c>
    </row>
    <row r="107" spans="1:16" x14ac:dyDescent="0.2">
      <c r="A107" s="32" t="s">
        <v>400</v>
      </c>
      <c r="B107" s="33">
        <v>0</v>
      </c>
      <c r="C107" s="42">
        <v>0</v>
      </c>
      <c r="D107" s="33">
        <v>0</v>
      </c>
      <c r="E107" s="33">
        <v>0</v>
      </c>
      <c r="F107" s="33">
        <v>0</v>
      </c>
      <c r="G107" s="33">
        <v>0</v>
      </c>
      <c r="H107" s="33">
        <v>0</v>
      </c>
      <c r="I107" s="33">
        <v>0</v>
      </c>
      <c r="J107" s="33">
        <v>0</v>
      </c>
      <c r="K107" s="33">
        <v>0</v>
      </c>
      <c r="L107" s="33">
        <v>0</v>
      </c>
      <c r="M107" s="33">
        <v>0</v>
      </c>
      <c r="N107" s="33">
        <v>0</v>
      </c>
      <c r="O107" s="33">
        <v>0</v>
      </c>
      <c r="P107" s="11">
        <f t="shared" si="1"/>
        <v>0</v>
      </c>
    </row>
    <row r="108" spans="1:16" x14ac:dyDescent="0.2">
      <c r="A108" s="32" t="s">
        <v>401</v>
      </c>
      <c r="B108" s="32">
        <v>0</v>
      </c>
      <c r="C108" s="33">
        <v>0</v>
      </c>
      <c r="D108" s="33">
        <v>1</v>
      </c>
      <c r="E108" s="33">
        <v>0</v>
      </c>
      <c r="F108" s="33">
        <v>1</v>
      </c>
      <c r="G108" s="33">
        <v>0</v>
      </c>
      <c r="H108" s="33">
        <v>0</v>
      </c>
      <c r="I108" s="33">
        <v>0</v>
      </c>
      <c r="J108" s="33">
        <v>0</v>
      </c>
      <c r="K108" s="33">
        <v>0</v>
      </c>
      <c r="L108" s="33">
        <v>1</v>
      </c>
      <c r="M108" s="33">
        <v>1</v>
      </c>
      <c r="N108" s="33">
        <v>0</v>
      </c>
      <c r="O108" s="33">
        <v>0</v>
      </c>
      <c r="P108" s="11">
        <f t="shared" si="1"/>
        <v>4</v>
      </c>
    </row>
    <row r="109" spans="1:16" x14ac:dyDescent="0.2">
      <c r="A109" s="32" t="s">
        <v>402</v>
      </c>
      <c r="B109" s="32">
        <v>1</v>
      </c>
      <c r="C109" s="33">
        <v>1</v>
      </c>
      <c r="D109" s="33">
        <v>1</v>
      </c>
      <c r="E109" s="33">
        <v>0</v>
      </c>
      <c r="F109" s="33">
        <v>0</v>
      </c>
      <c r="G109" s="33">
        <v>0</v>
      </c>
      <c r="H109" s="33">
        <v>1</v>
      </c>
      <c r="I109" s="33">
        <v>0</v>
      </c>
      <c r="J109" s="33">
        <v>0</v>
      </c>
      <c r="K109" s="33">
        <v>0</v>
      </c>
      <c r="L109" s="33">
        <v>0</v>
      </c>
      <c r="M109" s="33">
        <v>0</v>
      </c>
      <c r="N109" s="33">
        <v>2</v>
      </c>
      <c r="O109" s="33">
        <v>1</v>
      </c>
      <c r="P109" s="11">
        <f t="shared" si="1"/>
        <v>7</v>
      </c>
    </row>
    <row r="110" spans="1:16" x14ac:dyDescent="0.2">
      <c r="A110" s="32" t="s">
        <v>403</v>
      </c>
      <c r="B110" s="43">
        <v>0</v>
      </c>
      <c r="C110" s="37">
        <v>0</v>
      </c>
      <c r="D110" s="37">
        <v>0</v>
      </c>
      <c r="E110" s="37">
        <v>0</v>
      </c>
      <c r="F110" s="37">
        <v>0</v>
      </c>
      <c r="G110" s="37">
        <v>0</v>
      </c>
      <c r="H110" s="37">
        <v>0</v>
      </c>
      <c r="I110" s="37">
        <v>0</v>
      </c>
      <c r="J110" s="37">
        <v>0</v>
      </c>
      <c r="K110" s="37">
        <v>1</v>
      </c>
      <c r="L110" s="37">
        <v>0</v>
      </c>
      <c r="M110" s="37">
        <v>0</v>
      </c>
      <c r="N110" s="37">
        <v>0</v>
      </c>
      <c r="O110" s="37">
        <v>0</v>
      </c>
      <c r="P110" s="11">
        <f t="shared" si="1"/>
        <v>1</v>
      </c>
    </row>
    <row r="111" spans="1:16" ht="16" x14ac:dyDescent="0.2">
      <c r="A111" s="44" t="s">
        <v>404</v>
      </c>
      <c r="B111" s="47">
        <v>0</v>
      </c>
      <c r="C111" s="48">
        <v>1</v>
      </c>
      <c r="D111" s="48">
        <v>0</v>
      </c>
      <c r="E111" s="48">
        <v>0</v>
      </c>
      <c r="F111" s="48">
        <v>2</v>
      </c>
      <c r="G111" s="48">
        <v>0</v>
      </c>
      <c r="H111" s="48">
        <v>0</v>
      </c>
      <c r="I111" s="48">
        <v>0</v>
      </c>
      <c r="J111" s="48">
        <v>0</v>
      </c>
      <c r="K111" s="48">
        <v>1</v>
      </c>
      <c r="L111" s="48">
        <v>2</v>
      </c>
      <c r="M111" s="48">
        <v>2</v>
      </c>
      <c r="N111" s="48">
        <v>1</v>
      </c>
      <c r="O111" s="49">
        <v>0</v>
      </c>
      <c r="P111" s="11">
        <f t="shared" si="1"/>
        <v>9</v>
      </c>
    </row>
    <row r="112" spans="1:16" x14ac:dyDescent="0.2">
      <c r="A112" s="50" t="s">
        <v>405</v>
      </c>
      <c r="B112" s="51">
        <v>1</v>
      </c>
      <c r="C112" s="52">
        <v>1</v>
      </c>
      <c r="D112" s="52">
        <v>0</v>
      </c>
      <c r="E112" s="52">
        <v>2</v>
      </c>
      <c r="F112" s="52">
        <v>2</v>
      </c>
      <c r="G112" s="52">
        <v>0</v>
      </c>
      <c r="H112" s="52">
        <v>0</v>
      </c>
      <c r="I112" s="52">
        <v>0</v>
      </c>
      <c r="J112" s="52">
        <v>0</v>
      </c>
      <c r="K112" s="52">
        <v>1</v>
      </c>
      <c r="L112" s="52">
        <v>1</v>
      </c>
      <c r="M112" s="52">
        <v>2</v>
      </c>
      <c r="N112" s="52">
        <v>0</v>
      </c>
      <c r="O112" s="11">
        <v>1</v>
      </c>
      <c r="P112" s="11">
        <f t="shared" si="1"/>
        <v>11</v>
      </c>
    </row>
    <row r="113" spans="1:16" x14ac:dyDescent="0.2">
      <c r="A113" s="50" t="s">
        <v>406</v>
      </c>
      <c r="B113" s="45">
        <v>1</v>
      </c>
      <c r="C113" s="45">
        <v>1</v>
      </c>
      <c r="D113" s="45">
        <v>0</v>
      </c>
      <c r="E113" s="45">
        <v>0</v>
      </c>
      <c r="F113" s="45">
        <v>0</v>
      </c>
      <c r="G113" s="45">
        <v>0</v>
      </c>
      <c r="H113" s="45">
        <v>0</v>
      </c>
      <c r="I113" s="45">
        <v>0</v>
      </c>
      <c r="J113" s="45">
        <v>0</v>
      </c>
      <c r="K113" s="45">
        <v>0</v>
      </c>
      <c r="L113" s="45">
        <v>0</v>
      </c>
      <c r="M113" s="45">
        <v>1</v>
      </c>
      <c r="N113" s="45">
        <v>0</v>
      </c>
      <c r="O113" s="45">
        <v>0</v>
      </c>
      <c r="P113" s="11">
        <f t="shared" si="1"/>
        <v>3</v>
      </c>
    </row>
    <row r="114" spans="1:16" x14ac:dyDescent="0.2">
      <c r="A114" s="50" t="s">
        <v>407</v>
      </c>
      <c r="B114" s="45">
        <v>0</v>
      </c>
      <c r="C114" s="45">
        <v>0</v>
      </c>
      <c r="D114" s="45">
        <v>0</v>
      </c>
      <c r="E114" s="45">
        <v>0</v>
      </c>
      <c r="F114" s="45">
        <v>0</v>
      </c>
      <c r="G114" s="45">
        <v>0</v>
      </c>
      <c r="H114" s="45">
        <v>0</v>
      </c>
      <c r="I114" s="45">
        <v>0</v>
      </c>
      <c r="J114" s="45">
        <v>0</v>
      </c>
      <c r="K114" s="45">
        <v>1</v>
      </c>
      <c r="L114" s="45">
        <v>0</v>
      </c>
      <c r="M114" s="45">
        <v>1</v>
      </c>
      <c r="N114" s="45">
        <v>0</v>
      </c>
      <c r="O114" s="45">
        <v>0</v>
      </c>
      <c r="P114" s="11">
        <f t="shared" si="1"/>
        <v>2</v>
      </c>
    </row>
    <row r="115" spans="1:16" ht="16" x14ac:dyDescent="0.2">
      <c r="A115" s="53" t="s">
        <v>408</v>
      </c>
      <c r="B115" s="45">
        <v>0</v>
      </c>
      <c r="C115" s="45">
        <v>1</v>
      </c>
      <c r="D115" s="45">
        <v>0</v>
      </c>
      <c r="E115" s="45">
        <v>0</v>
      </c>
      <c r="F115" s="45">
        <v>0</v>
      </c>
      <c r="G115" s="45">
        <v>0</v>
      </c>
      <c r="H115" s="45">
        <v>0</v>
      </c>
      <c r="I115" s="45">
        <v>0</v>
      </c>
      <c r="J115" s="45">
        <v>0</v>
      </c>
      <c r="K115" s="45">
        <v>0</v>
      </c>
      <c r="L115" s="45">
        <v>0</v>
      </c>
      <c r="M115" s="45">
        <v>1</v>
      </c>
      <c r="N115" s="45">
        <v>0</v>
      </c>
      <c r="O115" s="54">
        <v>0</v>
      </c>
      <c r="P115" s="11">
        <f t="shared" si="1"/>
        <v>2</v>
      </c>
    </row>
    <row r="116" spans="1:16" x14ac:dyDescent="0.2">
      <c r="A116" s="50" t="s">
        <v>409</v>
      </c>
      <c r="B116" s="45">
        <v>1</v>
      </c>
      <c r="C116" s="45">
        <v>1</v>
      </c>
      <c r="D116" s="45">
        <v>0</v>
      </c>
      <c r="E116" s="45">
        <v>0</v>
      </c>
      <c r="F116" s="45">
        <v>0</v>
      </c>
      <c r="G116" s="45">
        <v>0</v>
      </c>
      <c r="H116" s="45">
        <v>0</v>
      </c>
      <c r="I116" s="45">
        <v>0</v>
      </c>
      <c r="J116" s="45">
        <v>0</v>
      </c>
      <c r="K116" s="45">
        <v>0</v>
      </c>
      <c r="L116" s="45">
        <v>0</v>
      </c>
      <c r="M116" s="45">
        <v>2</v>
      </c>
      <c r="N116" s="45">
        <v>0</v>
      </c>
      <c r="O116" s="54">
        <v>0</v>
      </c>
      <c r="P116" s="11">
        <f t="shared" si="1"/>
        <v>4</v>
      </c>
    </row>
    <row r="117" spans="1:16" x14ac:dyDescent="0.2">
      <c r="A117" s="50" t="s">
        <v>410</v>
      </c>
      <c r="B117" s="45">
        <v>0</v>
      </c>
      <c r="C117" s="45">
        <v>1</v>
      </c>
      <c r="D117" s="45">
        <v>0</v>
      </c>
      <c r="E117" s="45">
        <v>2</v>
      </c>
      <c r="F117" s="45">
        <v>3</v>
      </c>
      <c r="G117" s="45">
        <v>0</v>
      </c>
      <c r="H117" s="45">
        <v>0</v>
      </c>
      <c r="I117" s="45">
        <v>0</v>
      </c>
      <c r="J117" s="45">
        <v>0</v>
      </c>
      <c r="K117" s="45">
        <v>0</v>
      </c>
      <c r="L117" s="45">
        <v>0</v>
      </c>
      <c r="M117" s="45">
        <v>2</v>
      </c>
      <c r="N117" s="45">
        <v>0</v>
      </c>
      <c r="O117" s="54">
        <v>0</v>
      </c>
      <c r="P117" s="11">
        <f t="shared" si="1"/>
        <v>8</v>
      </c>
    </row>
    <row r="118" spans="1:16" ht="16" x14ac:dyDescent="0.2">
      <c r="A118" s="55" t="s">
        <v>411</v>
      </c>
      <c r="B118" s="47">
        <v>0</v>
      </c>
      <c r="C118" s="48">
        <v>1</v>
      </c>
      <c r="D118" s="48">
        <v>1</v>
      </c>
      <c r="E118" s="48">
        <v>0</v>
      </c>
      <c r="F118" s="48">
        <v>2</v>
      </c>
      <c r="G118" s="48">
        <v>0</v>
      </c>
      <c r="H118" s="48">
        <v>0</v>
      </c>
      <c r="I118" s="48">
        <v>0</v>
      </c>
      <c r="J118" s="48">
        <v>0</v>
      </c>
      <c r="K118" s="48">
        <v>1</v>
      </c>
      <c r="L118" s="48">
        <v>2</v>
      </c>
      <c r="M118" s="48">
        <v>1</v>
      </c>
      <c r="N118" s="48">
        <v>1</v>
      </c>
      <c r="O118" s="48">
        <v>1</v>
      </c>
      <c r="P118" s="11">
        <f t="shared" si="1"/>
        <v>10</v>
      </c>
    </row>
    <row r="119" spans="1:16" x14ac:dyDescent="0.2">
      <c r="A119" s="54" t="s">
        <v>412</v>
      </c>
      <c r="B119" s="47">
        <v>0</v>
      </c>
      <c r="C119" s="48">
        <v>0</v>
      </c>
      <c r="D119" s="48">
        <v>0</v>
      </c>
      <c r="E119" s="48">
        <v>0</v>
      </c>
      <c r="F119" s="48">
        <v>0</v>
      </c>
      <c r="G119" s="48">
        <v>0</v>
      </c>
      <c r="H119" s="48">
        <v>0</v>
      </c>
      <c r="I119" s="48">
        <v>0</v>
      </c>
      <c r="J119" s="48">
        <v>0</v>
      </c>
      <c r="K119" s="48">
        <v>1</v>
      </c>
      <c r="L119" s="48">
        <v>1</v>
      </c>
      <c r="M119" s="48">
        <v>1</v>
      </c>
      <c r="N119" s="48">
        <v>0</v>
      </c>
      <c r="O119" s="49">
        <v>1</v>
      </c>
      <c r="P119" s="11">
        <f t="shared" si="1"/>
        <v>4</v>
      </c>
    </row>
    <row r="120" spans="1:16" x14ac:dyDescent="0.2">
      <c r="A120" s="54" t="s">
        <v>413</v>
      </c>
      <c r="B120" s="45">
        <v>0</v>
      </c>
      <c r="C120" s="45">
        <v>0</v>
      </c>
      <c r="D120" s="45">
        <v>0</v>
      </c>
      <c r="E120" s="45">
        <v>0</v>
      </c>
      <c r="F120" s="45">
        <v>0</v>
      </c>
      <c r="G120" s="45">
        <v>0</v>
      </c>
      <c r="H120" s="45">
        <v>0</v>
      </c>
      <c r="I120" s="45">
        <v>0</v>
      </c>
      <c r="J120" s="45">
        <v>1</v>
      </c>
      <c r="K120" s="45">
        <v>1</v>
      </c>
      <c r="L120" s="45">
        <v>2</v>
      </c>
      <c r="M120" s="45">
        <v>2</v>
      </c>
      <c r="N120" s="45">
        <v>0</v>
      </c>
      <c r="O120" s="54">
        <v>0</v>
      </c>
      <c r="P120" s="11">
        <f t="shared" si="1"/>
        <v>6</v>
      </c>
    </row>
    <row r="121" spans="1:16" x14ac:dyDescent="0.2">
      <c r="A121" s="54" t="s">
        <v>414</v>
      </c>
      <c r="B121" s="45">
        <v>0</v>
      </c>
      <c r="C121" s="45">
        <v>0</v>
      </c>
      <c r="D121" s="45">
        <v>1</v>
      </c>
      <c r="E121" s="45">
        <v>0</v>
      </c>
      <c r="F121" s="45">
        <v>0</v>
      </c>
      <c r="G121" s="45">
        <v>0</v>
      </c>
      <c r="H121" s="45">
        <v>0</v>
      </c>
      <c r="I121" s="45">
        <v>0</v>
      </c>
      <c r="J121" s="45">
        <v>0</v>
      </c>
      <c r="K121" s="45">
        <v>2</v>
      </c>
      <c r="L121" s="45">
        <v>1</v>
      </c>
      <c r="M121" s="45">
        <v>1</v>
      </c>
      <c r="N121" s="45">
        <v>0</v>
      </c>
      <c r="O121" s="54">
        <v>0</v>
      </c>
      <c r="P121" s="11">
        <f t="shared" si="1"/>
        <v>5</v>
      </c>
    </row>
    <row r="122" spans="1:16" x14ac:dyDescent="0.2">
      <c r="A122" s="56" t="s">
        <v>415</v>
      </c>
      <c r="B122" s="57">
        <v>0</v>
      </c>
      <c r="C122" s="57">
        <v>0</v>
      </c>
      <c r="D122" s="57">
        <v>0</v>
      </c>
      <c r="E122" s="57">
        <v>0</v>
      </c>
      <c r="F122" s="57">
        <v>0</v>
      </c>
      <c r="G122" s="57">
        <v>0</v>
      </c>
      <c r="H122" s="57">
        <v>0</v>
      </c>
      <c r="I122" s="57">
        <v>0</v>
      </c>
      <c r="J122" s="57">
        <v>0</v>
      </c>
      <c r="K122" s="57">
        <v>1</v>
      </c>
      <c r="L122" s="57">
        <v>1</v>
      </c>
      <c r="M122" s="57">
        <v>1</v>
      </c>
      <c r="N122" s="57">
        <v>0</v>
      </c>
      <c r="O122" s="58">
        <v>0</v>
      </c>
      <c r="P122" s="11">
        <f t="shared" si="1"/>
        <v>3</v>
      </c>
    </row>
    <row r="123" spans="1:16" x14ac:dyDescent="0.2">
      <c r="A123" s="56" t="s">
        <v>416</v>
      </c>
      <c r="B123" s="45">
        <v>0</v>
      </c>
      <c r="C123" s="45">
        <v>0</v>
      </c>
      <c r="D123" s="45">
        <v>1</v>
      </c>
      <c r="E123" s="45">
        <v>0</v>
      </c>
      <c r="F123" s="45">
        <v>0</v>
      </c>
      <c r="G123" s="45">
        <v>0</v>
      </c>
      <c r="H123" s="45">
        <v>0</v>
      </c>
      <c r="I123" s="45">
        <v>0</v>
      </c>
      <c r="J123" s="45">
        <v>0</v>
      </c>
      <c r="K123" s="45">
        <v>0</v>
      </c>
      <c r="L123" s="45">
        <v>0</v>
      </c>
      <c r="M123" s="45">
        <v>2</v>
      </c>
      <c r="N123" s="45">
        <v>0</v>
      </c>
      <c r="O123" s="54">
        <v>0</v>
      </c>
      <c r="P123" s="11">
        <f t="shared" si="1"/>
        <v>3</v>
      </c>
    </row>
    <row r="124" spans="1:16" x14ac:dyDescent="0.2">
      <c r="A124" s="56" t="s">
        <v>417</v>
      </c>
      <c r="B124" s="45">
        <v>1</v>
      </c>
      <c r="C124" s="45">
        <v>1</v>
      </c>
      <c r="D124" s="45">
        <v>0</v>
      </c>
      <c r="E124" s="45">
        <v>0</v>
      </c>
      <c r="F124" s="45">
        <v>1</v>
      </c>
      <c r="G124" s="45">
        <v>0</v>
      </c>
      <c r="H124" s="45">
        <v>0</v>
      </c>
      <c r="I124" s="45">
        <v>0</v>
      </c>
      <c r="J124" s="45">
        <v>0</v>
      </c>
      <c r="K124" s="45">
        <v>1</v>
      </c>
      <c r="L124" s="45">
        <v>0</v>
      </c>
      <c r="M124" s="45">
        <v>2</v>
      </c>
      <c r="N124" s="45">
        <v>0</v>
      </c>
      <c r="O124" s="54">
        <v>1</v>
      </c>
      <c r="P124" s="11">
        <f t="shared" si="1"/>
        <v>7</v>
      </c>
    </row>
    <row r="125" spans="1:16" x14ac:dyDescent="0.2">
      <c r="A125" s="56" t="s">
        <v>418</v>
      </c>
      <c r="B125" s="57">
        <v>1</v>
      </c>
      <c r="C125" s="57">
        <v>0</v>
      </c>
      <c r="D125" s="57">
        <v>0</v>
      </c>
      <c r="E125" s="57">
        <v>0</v>
      </c>
      <c r="F125" s="57">
        <v>0</v>
      </c>
      <c r="G125" s="57">
        <v>0</v>
      </c>
      <c r="H125" s="57">
        <v>0</v>
      </c>
      <c r="I125" s="57">
        <v>0</v>
      </c>
      <c r="J125" s="57">
        <v>0</v>
      </c>
      <c r="K125" s="57">
        <v>1</v>
      </c>
      <c r="L125" s="57">
        <v>0</v>
      </c>
      <c r="M125" s="57">
        <v>1</v>
      </c>
      <c r="N125" s="57">
        <v>0</v>
      </c>
      <c r="O125" s="58">
        <v>0</v>
      </c>
      <c r="P125" s="11">
        <f t="shared" si="1"/>
        <v>3</v>
      </c>
    </row>
    <row r="126" spans="1:16" x14ac:dyDescent="0.2">
      <c r="A126" s="56" t="s">
        <v>419</v>
      </c>
      <c r="B126" s="45">
        <v>0</v>
      </c>
      <c r="C126" s="45">
        <v>0</v>
      </c>
      <c r="D126" s="45">
        <v>0</v>
      </c>
      <c r="E126" s="45">
        <v>0</v>
      </c>
      <c r="F126" s="45">
        <v>0</v>
      </c>
      <c r="G126" s="45">
        <v>1</v>
      </c>
      <c r="H126" s="45">
        <v>0</v>
      </c>
      <c r="I126" s="45">
        <v>0</v>
      </c>
      <c r="J126" s="45">
        <v>0</v>
      </c>
      <c r="K126" s="45">
        <v>0</v>
      </c>
      <c r="L126" s="45">
        <v>0</v>
      </c>
      <c r="M126" s="45">
        <v>1</v>
      </c>
      <c r="N126" s="45">
        <v>0</v>
      </c>
      <c r="O126" s="54">
        <v>2</v>
      </c>
      <c r="P126" s="11">
        <f t="shared" si="1"/>
        <v>4</v>
      </c>
    </row>
    <row r="127" spans="1:16" x14ac:dyDescent="0.2">
      <c r="A127" s="56" t="s">
        <v>420</v>
      </c>
      <c r="B127" s="45">
        <v>0</v>
      </c>
      <c r="C127" s="45">
        <v>0</v>
      </c>
      <c r="D127" s="45">
        <v>3</v>
      </c>
      <c r="E127" s="45">
        <v>0</v>
      </c>
      <c r="F127" s="45">
        <v>0</v>
      </c>
      <c r="G127" s="45">
        <v>0</v>
      </c>
      <c r="H127" s="45">
        <v>0</v>
      </c>
      <c r="I127" s="45">
        <v>0</v>
      </c>
      <c r="J127" s="45">
        <v>0</v>
      </c>
      <c r="K127" s="45">
        <v>1</v>
      </c>
      <c r="L127" s="45">
        <v>1</v>
      </c>
      <c r="M127" s="45">
        <v>1</v>
      </c>
      <c r="N127" s="45">
        <v>0</v>
      </c>
      <c r="O127" s="54">
        <v>0</v>
      </c>
      <c r="P127" s="11">
        <f t="shared" si="1"/>
        <v>6</v>
      </c>
    </row>
    <row r="128" spans="1:16" x14ac:dyDescent="0.2">
      <c r="A128" s="56" t="s">
        <v>421</v>
      </c>
      <c r="B128" s="45">
        <v>1</v>
      </c>
      <c r="C128" s="45">
        <v>1</v>
      </c>
      <c r="D128" s="45">
        <v>1</v>
      </c>
      <c r="E128" s="45">
        <v>0</v>
      </c>
      <c r="F128" s="45">
        <v>1</v>
      </c>
      <c r="G128" s="45">
        <v>1</v>
      </c>
      <c r="H128" s="45">
        <v>2</v>
      </c>
      <c r="I128" s="45">
        <v>0</v>
      </c>
      <c r="J128" s="45">
        <v>0</v>
      </c>
      <c r="K128" s="45">
        <v>1</v>
      </c>
      <c r="L128" s="45">
        <v>0</v>
      </c>
      <c r="M128" s="45">
        <v>1</v>
      </c>
      <c r="N128" s="45">
        <v>0</v>
      </c>
      <c r="O128" s="54">
        <v>2</v>
      </c>
      <c r="P128" s="11">
        <f t="shared" si="1"/>
        <v>11</v>
      </c>
    </row>
    <row r="129" spans="1:16" x14ac:dyDescent="0.2">
      <c r="A129" s="56" t="s">
        <v>422</v>
      </c>
      <c r="B129" s="45">
        <v>0</v>
      </c>
      <c r="C129" s="45">
        <v>0</v>
      </c>
      <c r="D129" s="45">
        <v>0</v>
      </c>
      <c r="E129" s="45">
        <v>1</v>
      </c>
      <c r="F129" s="45">
        <v>1</v>
      </c>
      <c r="G129" s="45">
        <v>0</v>
      </c>
      <c r="H129" s="45">
        <v>0</v>
      </c>
      <c r="I129" s="45">
        <v>0</v>
      </c>
      <c r="J129" s="45">
        <v>0</v>
      </c>
      <c r="K129" s="45">
        <v>1</v>
      </c>
      <c r="L129" s="45">
        <v>1</v>
      </c>
      <c r="M129" s="45">
        <v>1</v>
      </c>
      <c r="N129" s="45">
        <v>0</v>
      </c>
      <c r="O129" s="54">
        <v>0</v>
      </c>
      <c r="P129" s="11">
        <f t="shared" si="1"/>
        <v>5</v>
      </c>
    </row>
    <row r="130" spans="1:16" x14ac:dyDescent="0.2">
      <c r="A130" s="56" t="s">
        <v>423</v>
      </c>
      <c r="B130" s="57">
        <v>1</v>
      </c>
      <c r="C130" s="57">
        <v>1</v>
      </c>
      <c r="D130" s="57">
        <v>0</v>
      </c>
      <c r="E130" s="57">
        <v>0</v>
      </c>
      <c r="F130" s="57">
        <v>0</v>
      </c>
      <c r="G130" s="57">
        <v>0</v>
      </c>
      <c r="H130" s="57">
        <v>0</v>
      </c>
      <c r="I130" s="57">
        <v>0</v>
      </c>
      <c r="J130" s="57">
        <v>0</v>
      </c>
      <c r="K130" s="57">
        <v>1</v>
      </c>
      <c r="L130" s="57">
        <v>2</v>
      </c>
      <c r="M130" s="57">
        <v>1</v>
      </c>
      <c r="N130" s="57">
        <v>0</v>
      </c>
      <c r="O130" s="58">
        <v>1</v>
      </c>
      <c r="P130" s="11">
        <f t="shared" si="1"/>
        <v>7</v>
      </c>
    </row>
    <row r="131" spans="1:16" ht="16" x14ac:dyDescent="0.2">
      <c r="A131" s="44" t="s">
        <v>424</v>
      </c>
      <c r="B131" s="62">
        <v>1</v>
      </c>
      <c r="C131" s="63">
        <v>1</v>
      </c>
      <c r="D131" s="63">
        <v>1</v>
      </c>
      <c r="E131" s="63">
        <v>0</v>
      </c>
      <c r="F131" s="63">
        <v>1</v>
      </c>
      <c r="G131" s="63">
        <v>0</v>
      </c>
      <c r="H131" s="63">
        <v>0</v>
      </c>
      <c r="I131" s="60">
        <v>0</v>
      </c>
      <c r="J131" s="63">
        <v>0</v>
      </c>
      <c r="K131" s="63">
        <v>1</v>
      </c>
      <c r="L131" s="63">
        <v>0</v>
      </c>
      <c r="M131" s="63">
        <v>1</v>
      </c>
      <c r="N131" s="63">
        <v>1</v>
      </c>
      <c r="O131" s="63">
        <v>0</v>
      </c>
      <c r="P131" s="11">
        <f t="shared" ref="P131:P194" si="2">SUM(B131:O131)</f>
        <v>7</v>
      </c>
    </row>
    <row r="132" spans="1:16" x14ac:dyDescent="0.2">
      <c r="A132" s="56" t="s">
        <v>425</v>
      </c>
      <c r="B132" s="45">
        <v>0</v>
      </c>
      <c r="C132" s="45">
        <v>0</v>
      </c>
      <c r="D132" s="45">
        <v>0</v>
      </c>
      <c r="E132" s="45">
        <v>2</v>
      </c>
      <c r="F132" s="45">
        <v>0</v>
      </c>
      <c r="G132" s="45">
        <v>0</v>
      </c>
      <c r="H132" s="45">
        <v>0</v>
      </c>
      <c r="I132" s="45">
        <v>0</v>
      </c>
      <c r="J132" s="45">
        <v>0</v>
      </c>
      <c r="K132" s="45">
        <v>0</v>
      </c>
      <c r="L132" s="45">
        <v>1</v>
      </c>
      <c r="M132" s="45">
        <v>2</v>
      </c>
      <c r="N132" s="45">
        <v>0</v>
      </c>
      <c r="O132" s="54">
        <v>0</v>
      </c>
      <c r="P132" s="11">
        <f t="shared" si="2"/>
        <v>5</v>
      </c>
    </row>
    <row r="133" spans="1:16" x14ac:dyDescent="0.2">
      <c r="A133" s="56" t="s">
        <v>426</v>
      </c>
      <c r="B133" s="57">
        <v>2</v>
      </c>
      <c r="C133" s="57">
        <v>1</v>
      </c>
      <c r="D133" s="57">
        <v>2</v>
      </c>
      <c r="E133" s="57">
        <v>0</v>
      </c>
      <c r="F133" s="57">
        <v>0</v>
      </c>
      <c r="G133" s="57">
        <v>0</v>
      </c>
      <c r="H133" s="57">
        <v>0</v>
      </c>
      <c r="I133" s="57">
        <v>0</v>
      </c>
      <c r="J133" s="57">
        <v>0</v>
      </c>
      <c r="K133" s="57">
        <v>2</v>
      </c>
      <c r="L133" s="57">
        <v>2</v>
      </c>
      <c r="M133" s="57">
        <v>2</v>
      </c>
      <c r="N133" s="57">
        <v>0</v>
      </c>
      <c r="O133" s="58">
        <v>2</v>
      </c>
      <c r="P133" s="11">
        <f t="shared" si="2"/>
        <v>13</v>
      </c>
    </row>
    <row r="134" spans="1:16" x14ac:dyDescent="0.2">
      <c r="A134" s="64" t="s">
        <v>427</v>
      </c>
      <c r="B134" s="57">
        <v>2</v>
      </c>
      <c r="C134" s="57">
        <v>0</v>
      </c>
      <c r="D134" s="57">
        <v>1</v>
      </c>
      <c r="E134" s="57">
        <v>0</v>
      </c>
      <c r="F134" s="57">
        <v>1</v>
      </c>
      <c r="G134" s="57">
        <v>0</v>
      </c>
      <c r="H134" s="57">
        <v>0</v>
      </c>
      <c r="I134" s="57">
        <v>0</v>
      </c>
      <c r="J134" s="57">
        <v>0</v>
      </c>
      <c r="K134" s="57">
        <v>0</v>
      </c>
      <c r="L134" s="57">
        <v>0</v>
      </c>
      <c r="M134" s="57">
        <v>1</v>
      </c>
      <c r="N134" s="57">
        <v>1</v>
      </c>
      <c r="O134" s="58">
        <v>2</v>
      </c>
      <c r="P134" s="11">
        <f t="shared" si="2"/>
        <v>8</v>
      </c>
    </row>
    <row r="135" spans="1:16" ht="16" x14ac:dyDescent="0.2">
      <c r="A135" s="65" t="s">
        <v>428</v>
      </c>
      <c r="B135" s="47">
        <v>0</v>
      </c>
      <c r="C135" s="48">
        <v>0</v>
      </c>
      <c r="D135" s="48">
        <v>0</v>
      </c>
      <c r="E135" s="48">
        <v>0</v>
      </c>
      <c r="F135" s="48">
        <v>1</v>
      </c>
      <c r="G135" s="48">
        <v>0</v>
      </c>
      <c r="H135" s="48">
        <v>0</v>
      </c>
      <c r="I135" s="48">
        <v>0</v>
      </c>
      <c r="J135" s="48">
        <v>0</v>
      </c>
      <c r="K135" s="48">
        <v>1</v>
      </c>
      <c r="L135" s="48">
        <v>1</v>
      </c>
      <c r="M135" s="48">
        <v>1</v>
      </c>
      <c r="N135" s="48">
        <v>0</v>
      </c>
      <c r="O135" s="48">
        <v>0</v>
      </c>
      <c r="P135" s="11">
        <f t="shared" si="2"/>
        <v>4</v>
      </c>
    </row>
    <row r="136" spans="1:16" ht="16" x14ac:dyDescent="0.2">
      <c r="A136" s="65" t="s">
        <v>429</v>
      </c>
      <c r="B136" s="67">
        <v>0</v>
      </c>
      <c r="C136" s="46">
        <v>0</v>
      </c>
      <c r="D136" s="46">
        <v>0</v>
      </c>
      <c r="E136" s="46">
        <v>0</v>
      </c>
      <c r="F136" s="46">
        <v>1</v>
      </c>
      <c r="G136" s="46">
        <v>0</v>
      </c>
      <c r="H136" s="46">
        <v>0</v>
      </c>
      <c r="I136" s="46">
        <v>0</v>
      </c>
      <c r="J136" s="46">
        <v>0</v>
      </c>
      <c r="K136" s="46">
        <v>0</v>
      </c>
      <c r="L136" s="46">
        <v>1</v>
      </c>
      <c r="M136" s="46">
        <v>1</v>
      </c>
      <c r="N136" s="46">
        <v>0</v>
      </c>
      <c r="O136" s="46">
        <v>0</v>
      </c>
      <c r="P136" s="11">
        <f t="shared" si="2"/>
        <v>3</v>
      </c>
    </row>
    <row r="137" spans="1:16" ht="16" x14ac:dyDescent="0.2">
      <c r="A137" s="68" t="s">
        <v>430</v>
      </c>
      <c r="B137" s="69">
        <v>1</v>
      </c>
      <c r="C137" s="66">
        <v>0</v>
      </c>
      <c r="D137" s="66">
        <v>0</v>
      </c>
      <c r="E137" s="66">
        <v>1</v>
      </c>
      <c r="F137" s="66">
        <v>0</v>
      </c>
      <c r="G137" s="66">
        <v>0</v>
      </c>
      <c r="H137" s="66">
        <v>0</v>
      </c>
      <c r="I137" s="66">
        <v>0</v>
      </c>
      <c r="J137" s="66">
        <v>0</v>
      </c>
      <c r="K137" s="66">
        <v>1</v>
      </c>
      <c r="L137" s="66">
        <v>1</v>
      </c>
      <c r="M137" s="66">
        <v>2</v>
      </c>
      <c r="N137" s="66">
        <v>0</v>
      </c>
      <c r="O137" s="66">
        <v>0</v>
      </c>
      <c r="P137" s="11">
        <f t="shared" si="2"/>
        <v>6</v>
      </c>
    </row>
    <row r="138" spans="1:16" ht="16" x14ac:dyDescent="0.2">
      <c r="A138" s="68" t="s">
        <v>431</v>
      </c>
      <c r="B138" s="45">
        <v>0</v>
      </c>
      <c r="C138" s="45">
        <v>0</v>
      </c>
      <c r="D138" s="45">
        <v>0</v>
      </c>
      <c r="E138" s="45">
        <v>0</v>
      </c>
      <c r="F138" s="45">
        <v>1</v>
      </c>
      <c r="G138" s="45">
        <v>0</v>
      </c>
      <c r="H138" s="45">
        <v>0</v>
      </c>
      <c r="I138" s="45">
        <v>0</v>
      </c>
      <c r="J138" s="45">
        <v>0</v>
      </c>
      <c r="K138" s="45">
        <v>1</v>
      </c>
      <c r="L138" s="45">
        <v>1</v>
      </c>
      <c r="M138" s="45">
        <v>1</v>
      </c>
      <c r="N138" s="45">
        <v>0</v>
      </c>
      <c r="O138" s="54">
        <v>0</v>
      </c>
      <c r="P138" s="11">
        <f t="shared" si="2"/>
        <v>4</v>
      </c>
    </row>
    <row r="139" spans="1:16" x14ac:dyDescent="0.2">
      <c r="A139" s="54" t="s">
        <v>432</v>
      </c>
      <c r="B139" s="70">
        <v>0</v>
      </c>
      <c r="C139" s="60">
        <v>1</v>
      </c>
      <c r="D139" s="60">
        <v>0</v>
      </c>
      <c r="E139" s="60">
        <v>0</v>
      </c>
      <c r="F139" s="60">
        <v>0</v>
      </c>
      <c r="G139" s="60">
        <v>0</v>
      </c>
      <c r="H139" s="60">
        <v>2</v>
      </c>
      <c r="I139" s="60">
        <v>0</v>
      </c>
      <c r="J139" s="60">
        <v>0</v>
      </c>
      <c r="K139" s="60">
        <v>2</v>
      </c>
      <c r="L139" s="60">
        <v>0</v>
      </c>
      <c r="M139" s="60">
        <v>3</v>
      </c>
      <c r="N139" s="60">
        <v>0</v>
      </c>
      <c r="O139" s="60">
        <v>2</v>
      </c>
      <c r="P139" s="11">
        <f t="shared" si="2"/>
        <v>10</v>
      </c>
    </row>
    <row r="140" spans="1:16" x14ac:dyDescent="0.2">
      <c r="A140" s="54" t="s">
        <v>433</v>
      </c>
      <c r="B140" s="57">
        <v>0</v>
      </c>
      <c r="C140" s="57">
        <v>0</v>
      </c>
      <c r="D140" s="57">
        <v>1</v>
      </c>
      <c r="E140" s="57">
        <v>0</v>
      </c>
      <c r="F140" s="57">
        <v>1</v>
      </c>
      <c r="G140" s="57">
        <v>0</v>
      </c>
      <c r="H140" s="57">
        <v>0</v>
      </c>
      <c r="I140" s="57">
        <v>0</v>
      </c>
      <c r="J140" s="57">
        <v>0</v>
      </c>
      <c r="K140" s="57">
        <v>2</v>
      </c>
      <c r="L140" s="57">
        <v>1</v>
      </c>
      <c r="M140" s="57">
        <v>3</v>
      </c>
      <c r="N140" s="57">
        <v>0</v>
      </c>
      <c r="O140" s="58">
        <v>2</v>
      </c>
      <c r="P140" s="11">
        <f t="shared" si="2"/>
        <v>10</v>
      </c>
    </row>
    <row r="141" spans="1:16" x14ac:dyDescent="0.2">
      <c r="A141" s="54" t="s">
        <v>434</v>
      </c>
      <c r="B141" s="70">
        <v>0</v>
      </c>
      <c r="C141" s="60">
        <v>1</v>
      </c>
      <c r="D141" s="60">
        <v>0</v>
      </c>
      <c r="E141" s="60">
        <v>0</v>
      </c>
      <c r="F141" s="60">
        <v>0</v>
      </c>
      <c r="G141" s="60">
        <v>0</v>
      </c>
      <c r="H141" s="60">
        <v>2</v>
      </c>
      <c r="I141" s="60">
        <v>0</v>
      </c>
      <c r="J141" s="60">
        <v>0</v>
      </c>
      <c r="K141" s="60">
        <v>2</v>
      </c>
      <c r="L141" s="60">
        <v>0</v>
      </c>
      <c r="M141" s="60">
        <v>3</v>
      </c>
      <c r="N141" s="60">
        <v>0</v>
      </c>
      <c r="O141" s="60">
        <v>2</v>
      </c>
      <c r="P141" s="11">
        <f t="shared" si="2"/>
        <v>10</v>
      </c>
    </row>
    <row r="142" spans="1:16" x14ac:dyDescent="0.2">
      <c r="A142" s="54" t="s">
        <v>435</v>
      </c>
      <c r="B142" s="57">
        <v>1</v>
      </c>
      <c r="C142" s="57">
        <v>1</v>
      </c>
      <c r="D142" s="57">
        <v>1</v>
      </c>
      <c r="E142" s="57">
        <v>0</v>
      </c>
      <c r="F142" s="57">
        <v>0</v>
      </c>
      <c r="G142" s="57">
        <v>0</v>
      </c>
      <c r="H142" s="57">
        <v>1</v>
      </c>
      <c r="I142" s="57">
        <v>0</v>
      </c>
      <c r="J142" s="57">
        <v>0</v>
      </c>
      <c r="K142" s="57">
        <v>2</v>
      </c>
      <c r="L142" s="57">
        <v>2</v>
      </c>
      <c r="M142" s="57">
        <v>3</v>
      </c>
      <c r="N142" s="57">
        <v>0</v>
      </c>
      <c r="O142" s="58">
        <v>2</v>
      </c>
      <c r="P142" s="11">
        <f t="shared" si="2"/>
        <v>13</v>
      </c>
    </row>
    <row r="143" spans="1:16" x14ac:dyDescent="0.2">
      <c r="A143" s="54" t="s">
        <v>436</v>
      </c>
      <c r="B143" s="45">
        <v>0</v>
      </c>
      <c r="C143" s="45">
        <v>2</v>
      </c>
      <c r="D143" s="45">
        <v>2</v>
      </c>
      <c r="E143" s="45">
        <v>0</v>
      </c>
      <c r="F143" s="45">
        <v>1</v>
      </c>
      <c r="G143" s="45">
        <v>0</v>
      </c>
      <c r="H143" s="45">
        <v>0</v>
      </c>
      <c r="I143" s="45">
        <v>0</v>
      </c>
      <c r="J143" s="45">
        <v>0</v>
      </c>
      <c r="K143" s="45">
        <v>1</v>
      </c>
      <c r="L143" s="45">
        <v>0</v>
      </c>
      <c r="M143" s="45">
        <v>2</v>
      </c>
      <c r="N143" s="45">
        <v>2</v>
      </c>
      <c r="O143" s="54">
        <v>2</v>
      </c>
      <c r="P143" s="11">
        <f t="shared" si="2"/>
        <v>12</v>
      </c>
    </row>
    <row r="144" spans="1:16" x14ac:dyDescent="0.2">
      <c r="A144" s="54" t="s">
        <v>437</v>
      </c>
      <c r="B144" s="45">
        <v>0</v>
      </c>
      <c r="C144" s="45">
        <v>2</v>
      </c>
      <c r="D144" s="45">
        <v>0</v>
      </c>
      <c r="E144" s="45">
        <v>0</v>
      </c>
      <c r="F144" s="45">
        <v>0</v>
      </c>
      <c r="G144" s="45">
        <v>0</v>
      </c>
      <c r="H144" s="45">
        <v>0</v>
      </c>
      <c r="I144" s="45">
        <v>2</v>
      </c>
      <c r="J144" s="45">
        <v>0</v>
      </c>
      <c r="K144" s="45">
        <v>2</v>
      </c>
      <c r="L144" s="45">
        <v>2</v>
      </c>
      <c r="M144" s="45">
        <v>2</v>
      </c>
      <c r="N144" s="45">
        <v>0</v>
      </c>
      <c r="O144" s="54">
        <v>0</v>
      </c>
      <c r="P144" s="11">
        <f t="shared" si="2"/>
        <v>10</v>
      </c>
    </row>
    <row r="145" spans="1:16" x14ac:dyDescent="0.2">
      <c r="A145" s="54" t="s">
        <v>438</v>
      </c>
      <c r="B145" s="71">
        <v>0</v>
      </c>
      <c r="C145" s="71">
        <v>1</v>
      </c>
      <c r="D145" s="71">
        <v>0</v>
      </c>
      <c r="E145" s="71">
        <v>0</v>
      </c>
      <c r="F145" s="71">
        <v>0</v>
      </c>
      <c r="G145" s="71">
        <v>0</v>
      </c>
      <c r="H145" s="71">
        <v>0</v>
      </c>
      <c r="I145" s="71">
        <v>0</v>
      </c>
      <c r="J145" s="71">
        <v>0</v>
      </c>
      <c r="K145" s="71">
        <v>1</v>
      </c>
      <c r="L145" s="71">
        <v>0</v>
      </c>
      <c r="M145" s="71">
        <v>3</v>
      </c>
      <c r="N145" s="71">
        <v>0</v>
      </c>
      <c r="O145" s="72">
        <v>1</v>
      </c>
      <c r="P145" s="11">
        <f t="shared" si="2"/>
        <v>6</v>
      </c>
    </row>
    <row r="146" spans="1:16" ht="16" x14ac:dyDescent="0.2">
      <c r="A146" s="73" t="s">
        <v>439</v>
      </c>
      <c r="B146" s="47">
        <v>0</v>
      </c>
      <c r="C146" s="48">
        <v>0</v>
      </c>
      <c r="D146" s="48">
        <v>2</v>
      </c>
      <c r="E146" s="48">
        <v>0</v>
      </c>
      <c r="F146" s="48">
        <v>0</v>
      </c>
      <c r="G146" s="48">
        <v>0</v>
      </c>
      <c r="H146" s="48">
        <v>0</v>
      </c>
      <c r="I146" s="48">
        <v>1</v>
      </c>
      <c r="J146" s="48">
        <v>0</v>
      </c>
      <c r="K146" s="48">
        <v>2</v>
      </c>
      <c r="L146" s="48">
        <v>2</v>
      </c>
      <c r="M146" s="48">
        <v>1</v>
      </c>
      <c r="N146" s="48">
        <v>0</v>
      </c>
      <c r="O146" s="48">
        <v>0</v>
      </c>
      <c r="P146" s="11">
        <f t="shared" si="2"/>
        <v>8</v>
      </c>
    </row>
    <row r="147" spans="1:16" ht="16" x14ac:dyDescent="0.2">
      <c r="A147" s="53" t="s">
        <v>440</v>
      </c>
      <c r="B147" s="76">
        <v>0</v>
      </c>
      <c r="C147" s="75">
        <v>1</v>
      </c>
      <c r="D147" s="75">
        <v>1</v>
      </c>
      <c r="E147" s="75">
        <v>1</v>
      </c>
      <c r="F147" s="75">
        <v>0</v>
      </c>
      <c r="G147" s="75">
        <v>0</v>
      </c>
      <c r="H147" s="75">
        <v>0</v>
      </c>
      <c r="I147" s="75">
        <v>0</v>
      </c>
      <c r="J147" s="75">
        <v>0</v>
      </c>
      <c r="K147" s="75">
        <v>1</v>
      </c>
      <c r="L147" s="75">
        <v>0</v>
      </c>
      <c r="M147" s="75">
        <v>1</v>
      </c>
      <c r="N147" s="75">
        <v>0</v>
      </c>
      <c r="O147" s="75">
        <v>0</v>
      </c>
      <c r="P147" s="11">
        <f t="shared" si="2"/>
        <v>5</v>
      </c>
    </row>
    <row r="148" spans="1:16" x14ac:dyDescent="0.2">
      <c r="A148" s="54" t="s">
        <v>441</v>
      </c>
      <c r="B148" s="67">
        <v>0</v>
      </c>
      <c r="C148" s="46">
        <v>1</v>
      </c>
      <c r="D148" s="46">
        <v>1</v>
      </c>
      <c r="E148" s="46">
        <v>0</v>
      </c>
      <c r="F148" s="46">
        <v>0</v>
      </c>
      <c r="G148" s="46">
        <v>0</v>
      </c>
      <c r="H148" s="46">
        <v>0</v>
      </c>
      <c r="I148" s="46">
        <v>0</v>
      </c>
      <c r="J148" s="46">
        <v>0</v>
      </c>
      <c r="K148" s="46">
        <v>2</v>
      </c>
      <c r="L148" s="46">
        <v>1</v>
      </c>
      <c r="M148" s="46">
        <v>2</v>
      </c>
      <c r="N148" s="46">
        <v>0</v>
      </c>
      <c r="O148" s="46">
        <v>0</v>
      </c>
      <c r="P148" s="11">
        <f t="shared" si="2"/>
        <v>7</v>
      </c>
    </row>
    <row r="149" spans="1:16" x14ac:dyDescent="0.2">
      <c r="A149" s="54" t="s">
        <v>442</v>
      </c>
      <c r="B149" s="67">
        <v>0</v>
      </c>
      <c r="C149" s="46">
        <v>1</v>
      </c>
      <c r="D149" s="46">
        <v>0</v>
      </c>
      <c r="E149" s="46">
        <v>0</v>
      </c>
      <c r="F149" s="46">
        <v>1</v>
      </c>
      <c r="G149" s="46">
        <v>0</v>
      </c>
      <c r="H149" s="46">
        <v>0</v>
      </c>
      <c r="I149" s="46">
        <v>1</v>
      </c>
      <c r="J149" s="46">
        <v>0</v>
      </c>
      <c r="K149" s="46">
        <v>0</v>
      </c>
      <c r="L149" s="46">
        <v>0</v>
      </c>
      <c r="M149" s="46">
        <v>1</v>
      </c>
      <c r="N149" s="46">
        <v>0</v>
      </c>
      <c r="O149" s="46">
        <v>0</v>
      </c>
      <c r="P149" s="11">
        <f t="shared" si="2"/>
        <v>4</v>
      </c>
    </row>
    <row r="150" spans="1:16" x14ac:dyDescent="0.2">
      <c r="A150" s="54" t="s">
        <v>443</v>
      </c>
      <c r="B150" s="67">
        <v>0</v>
      </c>
      <c r="C150" s="46">
        <v>0</v>
      </c>
      <c r="D150" s="46">
        <v>0</v>
      </c>
      <c r="E150" s="46">
        <v>0</v>
      </c>
      <c r="F150" s="46">
        <v>1</v>
      </c>
      <c r="G150" s="46">
        <v>0</v>
      </c>
      <c r="H150" s="46">
        <v>0</v>
      </c>
      <c r="I150" s="46">
        <v>0</v>
      </c>
      <c r="J150" s="46">
        <v>1</v>
      </c>
      <c r="K150" s="46">
        <v>0</v>
      </c>
      <c r="L150" s="46">
        <v>1</v>
      </c>
      <c r="M150" s="46">
        <v>1</v>
      </c>
      <c r="N150" s="46">
        <v>0</v>
      </c>
      <c r="O150" s="46">
        <v>0</v>
      </c>
      <c r="P150" s="11">
        <f t="shared" si="2"/>
        <v>4</v>
      </c>
    </row>
    <row r="151" spans="1:16" x14ac:dyDescent="0.2">
      <c r="A151" s="54" t="s">
        <v>444</v>
      </c>
      <c r="B151" s="67">
        <v>0</v>
      </c>
      <c r="C151" s="46">
        <v>1</v>
      </c>
      <c r="D151" s="46">
        <v>0</v>
      </c>
      <c r="E151" s="46">
        <v>2</v>
      </c>
      <c r="F151" s="46">
        <v>3</v>
      </c>
      <c r="G151" s="46">
        <v>0</v>
      </c>
      <c r="H151" s="46">
        <v>0</v>
      </c>
      <c r="I151" s="46">
        <v>0</v>
      </c>
      <c r="J151" s="46">
        <v>0</v>
      </c>
      <c r="K151" s="46">
        <v>0</v>
      </c>
      <c r="L151" s="46">
        <v>0</v>
      </c>
      <c r="M151" s="46">
        <v>2</v>
      </c>
      <c r="N151" s="46">
        <v>0</v>
      </c>
      <c r="O151" s="46">
        <v>0</v>
      </c>
      <c r="P151" s="11">
        <f t="shared" si="2"/>
        <v>8</v>
      </c>
    </row>
    <row r="152" spans="1:16" x14ac:dyDescent="0.2">
      <c r="A152" s="54" t="s">
        <v>445</v>
      </c>
      <c r="B152" s="67">
        <v>0</v>
      </c>
      <c r="C152" s="46">
        <v>0</v>
      </c>
      <c r="D152" s="46">
        <v>1</v>
      </c>
      <c r="E152" s="46">
        <v>0</v>
      </c>
      <c r="F152" s="46">
        <v>1</v>
      </c>
      <c r="G152" s="46">
        <v>0</v>
      </c>
      <c r="H152" s="46">
        <v>0</v>
      </c>
      <c r="I152" s="46">
        <v>0</v>
      </c>
      <c r="J152" s="46">
        <v>0</v>
      </c>
      <c r="K152" s="46">
        <v>0</v>
      </c>
      <c r="L152" s="46">
        <v>1</v>
      </c>
      <c r="M152" s="46">
        <v>1</v>
      </c>
      <c r="N152" s="46">
        <v>0</v>
      </c>
      <c r="O152" s="46">
        <v>0</v>
      </c>
      <c r="P152" s="11">
        <f t="shared" si="2"/>
        <v>4</v>
      </c>
    </row>
    <row r="153" spans="1:16" ht="16" x14ac:dyDescent="0.2">
      <c r="A153" s="53" t="s">
        <v>446</v>
      </c>
      <c r="B153" s="47">
        <v>0</v>
      </c>
      <c r="C153" s="48">
        <v>0</v>
      </c>
      <c r="D153" s="48">
        <v>0</v>
      </c>
      <c r="E153" s="48">
        <v>0</v>
      </c>
      <c r="F153" s="48">
        <v>0</v>
      </c>
      <c r="G153" s="48">
        <v>0</v>
      </c>
      <c r="H153" s="48">
        <v>0</v>
      </c>
      <c r="I153" s="48">
        <v>0</v>
      </c>
      <c r="J153" s="48">
        <v>0</v>
      </c>
      <c r="K153" s="48">
        <v>1</v>
      </c>
      <c r="L153" s="48">
        <v>0</v>
      </c>
      <c r="M153" s="48">
        <v>1</v>
      </c>
      <c r="N153" s="48">
        <v>0</v>
      </c>
      <c r="O153" s="48">
        <v>0</v>
      </c>
      <c r="P153" s="11">
        <f t="shared" si="2"/>
        <v>2</v>
      </c>
    </row>
    <row r="154" spans="1:16" x14ac:dyDescent="0.2">
      <c r="A154" s="50" t="s">
        <v>447</v>
      </c>
      <c r="B154" s="47">
        <v>1</v>
      </c>
      <c r="C154" s="48">
        <v>1</v>
      </c>
      <c r="D154" s="48">
        <v>0</v>
      </c>
      <c r="E154" s="48">
        <v>0</v>
      </c>
      <c r="F154" s="48">
        <v>0</v>
      </c>
      <c r="G154" s="48">
        <v>0</v>
      </c>
      <c r="H154" s="48">
        <v>0</v>
      </c>
      <c r="I154" s="48">
        <v>0</v>
      </c>
      <c r="J154" s="48">
        <v>0</v>
      </c>
      <c r="K154" s="48">
        <v>0</v>
      </c>
      <c r="L154" s="48">
        <v>0</v>
      </c>
      <c r="M154" s="48">
        <v>1</v>
      </c>
      <c r="N154" s="48">
        <v>0</v>
      </c>
      <c r="O154" s="48">
        <v>0</v>
      </c>
      <c r="P154" s="11">
        <f t="shared" si="2"/>
        <v>3</v>
      </c>
    </row>
    <row r="155" spans="1:16" x14ac:dyDescent="0.2">
      <c r="A155" s="50" t="s">
        <v>448</v>
      </c>
      <c r="B155" s="47">
        <v>0</v>
      </c>
      <c r="C155" s="48">
        <v>0</v>
      </c>
      <c r="D155" s="48">
        <v>0</v>
      </c>
      <c r="E155" s="48">
        <v>0</v>
      </c>
      <c r="F155" s="48">
        <v>0</v>
      </c>
      <c r="G155" s="48">
        <v>0</v>
      </c>
      <c r="H155" s="48">
        <v>0</v>
      </c>
      <c r="I155" s="48">
        <v>0</v>
      </c>
      <c r="J155" s="48">
        <v>0</v>
      </c>
      <c r="K155" s="48">
        <v>1</v>
      </c>
      <c r="L155" s="48">
        <v>1</v>
      </c>
      <c r="M155" s="48">
        <v>1</v>
      </c>
      <c r="N155" s="48">
        <v>0</v>
      </c>
      <c r="O155" s="48">
        <v>1</v>
      </c>
      <c r="P155" s="11">
        <f t="shared" si="2"/>
        <v>4</v>
      </c>
    </row>
    <row r="156" spans="1:16" x14ac:dyDescent="0.2">
      <c r="A156" s="50" t="s">
        <v>449</v>
      </c>
      <c r="B156" s="47">
        <v>0</v>
      </c>
      <c r="C156" s="48">
        <v>1</v>
      </c>
      <c r="D156" s="48">
        <v>1</v>
      </c>
      <c r="E156" s="48">
        <v>0</v>
      </c>
      <c r="F156" s="48">
        <v>0</v>
      </c>
      <c r="G156" s="48">
        <v>0</v>
      </c>
      <c r="H156" s="48">
        <v>0</v>
      </c>
      <c r="I156" s="48">
        <v>0</v>
      </c>
      <c r="J156" s="48">
        <v>0</v>
      </c>
      <c r="K156" s="48">
        <v>1</v>
      </c>
      <c r="L156" s="48">
        <v>1</v>
      </c>
      <c r="M156" s="48">
        <v>1</v>
      </c>
      <c r="N156" s="48">
        <v>0</v>
      </c>
      <c r="O156" s="48">
        <v>0</v>
      </c>
      <c r="P156" s="11">
        <f t="shared" si="2"/>
        <v>5</v>
      </c>
    </row>
    <row r="157" spans="1:16" x14ac:dyDescent="0.2">
      <c r="A157" s="77" t="s">
        <v>450</v>
      </c>
      <c r="B157" s="79">
        <v>1</v>
      </c>
      <c r="C157" s="79">
        <v>1</v>
      </c>
      <c r="D157" s="79">
        <v>0</v>
      </c>
      <c r="E157" s="79">
        <v>2</v>
      </c>
      <c r="F157" s="79">
        <v>2</v>
      </c>
      <c r="G157" s="79">
        <v>0</v>
      </c>
      <c r="H157" s="79">
        <v>0</v>
      </c>
      <c r="I157" s="79">
        <v>0</v>
      </c>
      <c r="J157" s="79">
        <v>0</v>
      </c>
      <c r="K157" s="79">
        <v>0</v>
      </c>
      <c r="L157" s="79">
        <v>2</v>
      </c>
      <c r="M157" s="79">
        <v>2</v>
      </c>
      <c r="N157" s="79">
        <v>0</v>
      </c>
      <c r="O157" s="79">
        <v>0</v>
      </c>
      <c r="P157" s="11">
        <f t="shared" si="2"/>
        <v>10</v>
      </c>
    </row>
    <row r="158" spans="1:16" x14ac:dyDescent="0.2">
      <c r="A158" s="77" t="s">
        <v>451</v>
      </c>
      <c r="B158" s="59">
        <v>0</v>
      </c>
      <c r="C158" s="59">
        <v>0</v>
      </c>
      <c r="D158" s="59">
        <v>1</v>
      </c>
      <c r="E158" s="59">
        <v>0</v>
      </c>
      <c r="F158" s="59">
        <v>1</v>
      </c>
      <c r="G158" s="59">
        <v>0</v>
      </c>
      <c r="H158" s="59">
        <v>0</v>
      </c>
      <c r="I158" s="59">
        <v>0</v>
      </c>
      <c r="J158" s="59">
        <v>0</v>
      </c>
      <c r="K158" s="59">
        <v>1</v>
      </c>
      <c r="L158" s="59">
        <v>1</v>
      </c>
      <c r="M158" s="59">
        <v>1</v>
      </c>
      <c r="N158" s="59">
        <v>0</v>
      </c>
      <c r="O158" s="59">
        <v>0</v>
      </c>
      <c r="P158" s="11">
        <f t="shared" si="2"/>
        <v>5</v>
      </c>
    </row>
    <row r="159" spans="1:16" x14ac:dyDescent="0.2">
      <c r="A159" s="77" t="s">
        <v>452</v>
      </c>
      <c r="B159" s="47">
        <v>0</v>
      </c>
      <c r="C159" s="48">
        <v>0</v>
      </c>
      <c r="D159" s="48">
        <v>0</v>
      </c>
      <c r="E159" s="48">
        <v>0</v>
      </c>
      <c r="F159" s="48">
        <v>1</v>
      </c>
      <c r="G159" s="48">
        <v>0</v>
      </c>
      <c r="H159" s="48">
        <v>0</v>
      </c>
      <c r="I159" s="48">
        <v>0</v>
      </c>
      <c r="J159" s="48">
        <v>0</v>
      </c>
      <c r="K159" s="48">
        <v>0</v>
      </c>
      <c r="L159" s="48">
        <v>0</v>
      </c>
      <c r="M159" s="48">
        <v>2</v>
      </c>
      <c r="N159" s="48">
        <v>0</v>
      </c>
      <c r="O159" s="48">
        <v>0</v>
      </c>
      <c r="P159" s="11">
        <f t="shared" si="2"/>
        <v>3</v>
      </c>
    </row>
    <row r="160" spans="1:16" x14ac:dyDescent="0.2">
      <c r="A160" s="77" t="s">
        <v>453</v>
      </c>
      <c r="B160" s="81">
        <v>0</v>
      </c>
      <c r="C160" s="61">
        <v>0</v>
      </c>
      <c r="D160" s="61">
        <v>0</v>
      </c>
      <c r="E160" s="61">
        <v>0</v>
      </c>
      <c r="F160" s="61">
        <v>1</v>
      </c>
      <c r="G160" s="61">
        <v>0</v>
      </c>
      <c r="H160" s="61">
        <v>0</v>
      </c>
      <c r="I160" s="61">
        <v>0</v>
      </c>
      <c r="J160" s="61">
        <v>0</v>
      </c>
      <c r="K160" s="61">
        <v>2</v>
      </c>
      <c r="L160" s="61">
        <v>2</v>
      </c>
      <c r="M160" s="61">
        <v>2</v>
      </c>
      <c r="N160" s="61">
        <v>0</v>
      </c>
      <c r="O160" s="61">
        <v>0</v>
      </c>
      <c r="P160" s="11">
        <f t="shared" si="2"/>
        <v>7</v>
      </c>
    </row>
    <row r="161" spans="1:16" x14ac:dyDescent="0.2">
      <c r="A161" s="77" t="s">
        <v>454</v>
      </c>
      <c r="B161" s="70">
        <v>0</v>
      </c>
      <c r="C161" s="60">
        <v>0</v>
      </c>
      <c r="D161" s="60">
        <v>0</v>
      </c>
      <c r="E161" s="60">
        <v>0</v>
      </c>
      <c r="F161" s="60">
        <v>0</v>
      </c>
      <c r="G161" s="60">
        <v>0</v>
      </c>
      <c r="H161" s="60">
        <v>0</v>
      </c>
      <c r="I161" s="60">
        <v>0</v>
      </c>
      <c r="J161" s="60">
        <v>0</v>
      </c>
      <c r="K161" s="60">
        <v>1</v>
      </c>
      <c r="L161" s="60">
        <v>1</v>
      </c>
      <c r="M161" s="60">
        <v>1</v>
      </c>
      <c r="N161" s="60">
        <v>0</v>
      </c>
      <c r="O161" s="60">
        <v>0</v>
      </c>
      <c r="P161" s="11">
        <f t="shared" si="2"/>
        <v>3</v>
      </c>
    </row>
    <row r="162" spans="1:16" ht="16" x14ac:dyDescent="0.2">
      <c r="A162" s="82" t="s">
        <v>455</v>
      </c>
      <c r="B162" s="47">
        <v>0</v>
      </c>
      <c r="C162" s="48">
        <v>0</v>
      </c>
      <c r="D162" s="48">
        <v>0</v>
      </c>
      <c r="E162" s="48">
        <v>0</v>
      </c>
      <c r="F162" s="48">
        <v>1</v>
      </c>
      <c r="G162" s="48">
        <v>0</v>
      </c>
      <c r="H162" s="48">
        <v>0</v>
      </c>
      <c r="I162" s="48">
        <v>0</v>
      </c>
      <c r="J162" s="48">
        <v>0</v>
      </c>
      <c r="K162" s="48">
        <v>1</v>
      </c>
      <c r="L162" s="48">
        <v>1</v>
      </c>
      <c r="M162" s="48">
        <v>2</v>
      </c>
      <c r="N162" s="48">
        <v>0</v>
      </c>
      <c r="O162" s="48">
        <v>0</v>
      </c>
      <c r="P162" s="11">
        <f t="shared" si="2"/>
        <v>5</v>
      </c>
    </row>
    <row r="163" spans="1:16" ht="16" x14ac:dyDescent="0.2">
      <c r="A163" s="82" t="s">
        <v>456</v>
      </c>
      <c r="B163" s="67">
        <v>0</v>
      </c>
      <c r="C163" s="46">
        <v>0</v>
      </c>
      <c r="D163" s="46">
        <v>0</v>
      </c>
      <c r="E163" s="46">
        <v>0</v>
      </c>
      <c r="F163" s="46">
        <v>1</v>
      </c>
      <c r="G163" s="46">
        <v>0</v>
      </c>
      <c r="H163" s="46">
        <v>0</v>
      </c>
      <c r="I163" s="46">
        <v>1</v>
      </c>
      <c r="J163" s="46">
        <v>0</v>
      </c>
      <c r="K163" s="46">
        <v>0</v>
      </c>
      <c r="L163" s="46">
        <v>0</v>
      </c>
      <c r="M163" s="46">
        <v>1</v>
      </c>
      <c r="N163" s="46">
        <v>0</v>
      </c>
      <c r="O163" s="46">
        <v>0</v>
      </c>
      <c r="P163" s="11">
        <f t="shared" si="2"/>
        <v>3</v>
      </c>
    </row>
    <row r="164" spans="1:16" ht="16" x14ac:dyDescent="0.2">
      <c r="A164" s="82" t="s">
        <v>457</v>
      </c>
      <c r="B164" s="81">
        <v>0</v>
      </c>
      <c r="C164" s="61">
        <v>1</v>
      </c>
      <c r="D164" s="61">
        <v>0</v>
      </c>
      <c r="E164" s="61">
        <v>0</v>
      </c>
      <c r="F164" s="61">
        <v>1</v>
      </c>
      <c r="G164" s="61">
        <v>0</v>
      </c>
      <c r="H164" s="61">
        <v>0</v>
      </c>
      <c r="I164" s="61">
        <v>0</v>
      </c>
      <c r="J164" s="61">
        <v>0</v>
      </c>
      <c r="K164" s="61">
        <v>1</v>
      </c>
      <c r="L164" s="61">
        <v>2</v>
      </c>
      <c r="M164" s="61">
        <v>2</v>
      </c>
      <c r="N164" s="61">
        <v>0</v>
      </c>
      <c r="O164" s="61">
        <v>0</v>
      </c>
      <c r="P164" s="11">
        <f t="shared" si="2"/>
        <v>7</v>
      </c>
    </row>
    <row r="165" spans="1:16" ht="16" x14ac:dyDescent="0.2">
      <c r="A165" s="82" t="s">
        <v>458</v>
      </c>
      <c r="B165" s="70">
        <v>0</v>
      </c>
      <c r="C165" s="60">
        <v>0</v>
      </c>
      <c r="D165" s="60">
        <v>0</v>
      </c>
      <c r="E165" s="60">
        <v>0</v>
      </c>
      <c r="F165" s="60">
        <v>1</v>
      </c>
      <c r="G165" s="60">
        <v>0</v>
      </c>
      <c r="H165" s="60">
        <v>0</v>
      </c>
      <c r="I165" s="60">
        <v>0</v>
      </c>
      <c r="J165" s="60">
        <v>0</v>
      </c>
      <c r="K165" s="60">
        <v>1</v>
      </c>
      <c r="L165" s="60">
        <v>0</v>
      </c>
      <c r="M165" s="60">
        <v>1</v>
      </c>
      <c r="N165" s="60">
        <v>0</v>
      </c>
      <c r="O165" s="60">
        <v>1</v>
      </c>
      <c r="P165" s="11">
        <f t="shared" si="2"/>
        <v>4</v>
      </c>
    </row>
    <row r="166" spans="1:16" ht="16" x14ac:dyDescent="0.2">
      <c r="A166" s="82" t="s">
        <v>459</v>
      </c>
      <c r="B166" s="81">
        <v>0</v>
      </c>
      <c r="C166" s="61">
        <v>0</v>
      </c>
      <c r="D166" s="61">
        <v>0</v>
      </c>
      <c r="E166" s="61">
        <v>0</v>
      </c>
      <c r="F166" s="61">
        <v>2</v>
      </c>
      <c r="G166" s="61">
        <v>0</v>
      </c>
      <c r="H166" s="61">
        <v>0</v>
      </c>
      <c r="I166" s="61">
        <v>0</v>
      </c>
      <c r="J166" s="61">
        <v>0</v>
      </c>
      <c r="K166" s="61">
        <v>1</v>
      </c>
      <c r="L166" s="61">
        <v>0</v>
      </c>
      <c r="M166" s="61">
        <v>2</v>
      </c>
      <c r="N166" s="61">
        <v>0</v>
      </c>
      <c r="O166" s="61">
        <v>0</v>
      </c>
      <c r="P166" s="11">
        <f t="shared" si="2"/>
        <v>5</v>
      </c>
    </row>
    <row r="167" spans="1:16" ht="16" x14ac:dyDescent="0.2">
      <c r="A167" s="82" t="s">
        <v>460</v>
      </c>
      <c r="B167" s="81">
        <v>1</v>
      </c>
      <c r="C167" s="61">
        <v>0</v>
      </c>
      <c r="D167" s="61">
        <v>1</v>
      </c>
      <c r="E167" s="61">
        <v>0</v>
      </c>
      <c r="F167" s="61">
        <v>1</v>
      </c>
      <c r="G167" s="61">
        <v>0</v>
      </c>
      <c r="H167" s="61">
        <v>0</v>
      </c>
      <c r="I167" s="61">
        <v>0</v>
      </c>
      <c r="J167" s="61">
        <v>1</v>
      </c>
      <c r="K167" s="61">
        <v>2</v>
      </c>
      <c r="L167" s="61">
        <v>1</v>
      </c>
      <c r="M167" s="61">
        <v>1</v>
      </c>
      <c r="N167" s="61">
        <v>0</v>
      </c>
      <c r="O167" s="61">
        <v>0</v>
      </c>
      <c r="P167" s="11">
        <f t="shared" si="2"/>
        <v>8</v>
      </c>
    </row>
    <row r="168" spans="1:16" ht="17" thickBot="1" x14ac:dyDescent="0.25">
      <c r="A168" s="83" t="s">
        <v>461</v>
      </c>
      <c r="B168" s="84">
        <v>0</v>
      </c>
      <c r="C168" s="85">
        <v>2</v>
      </c>
      <c r="D168" s="85">
        <v>1</v>
      </c>
      <c r="E168" s="85">
        <v>0</v>
      </c>
      <c r="F168" s="85">
        <v>1</v>
      </c>
      <c r="G168" s="85">
        <v>0</v>
      </c>
      <c r="H168" s="85">
        <v>1</v>
      </c>
      <c r="I168" s="85">
        <v>0</v>
      </c>
      <c r="J168" s="85">
        <v>0</v>
      </c>
      <c r="K168" s="85">
        <v>0</v>
      </c>
      <c r="L168" s="85">
        <v>2</v>
      </c>
      <c r="M168" s="85">
        <v>2</v>
      </c>
      <c r="N168" s="85">
        <v>0</v>
      </c>
      <c r="O168" s="85">
        <v>1</v>
      </c>
      <c r="P168" s="11">
        <f t="shared" si="2"/>
        <v>10</v>
      </c>
    </row>
    <row r="169" spans="1:16" x14ac:dyDescent="0.2">
      <c r="A169" s="86" t="s">
        <v>462</v>
      </c>
      <c r="B169" s="47">
        <v>0</v>
      </c>
      <c r="C169" s="48">
        <v>1</v>
      </c>
      <c r="D169" s="48">
        <v>0</v>
      </c>
      <c r="E169" s="48">
        <v>0</v>
      </c>
      <c r="F169" s="48">
        <v>2</v>
      </c>
      <c r="G169" s="48">
        <v>0</v>
      </c>
      <c r="H169" s="48">
        <v>0</v>
      </c>
      <c r="I169" s="48">
        <v>0</v>
      </c>
      <c r="J169" s="48">
        <v>0</v>
      </c>
      <c r="K169" s="48">
        <v>1</v>
      </c>
      <c r="L169" s="48">
        <v>1</v>
      </c>
      <c r="M169" s="48">
        <v>1</v>
      </c>
      <c r="N169" s="48">
        <v>0</v>
      </c>
      <c r="O169" s="48">
        <v>1</v>
      </c>
      <c r="P169" s="11">
        <f t="shared" si="2"/>
        <v>7</v>
      </c>
    </row>
    <row r="170" spans="1:16" ht="16" x14ac:dyDescent="0.2">
      <c r="A170" s="53" t="s">
        <v>463</v>
      </c>
      <c r="B170" s="87">
        <v>2</v>
      </c>
      <c r="C170" s="88">
        <v>1</v>
      </c>
      <c r="D170" s="88">
        <v>0</v>
      </c>
      <c r="E170" s="88">
        <v>1</v>
      </c>
      <c r="F170" s="88">
        <v>0</v>
      </c>
      <c r="G170" s="88">
        <v>0</v>
      </c>
      <c r="H170" s="88">
        <v>0</v>
      </c>
      <c r="I170" s="88">
        <v>0</v>
      </c>
      <c r="J170" s="88">
        <v>0</v>
      </c>
      <c r="K170" s="88">
        <v>1</v>
      </c>
      <c r="L170" s="88">
        <v>3</v>
      </c>
      <c r="M170" s="88">
        <v>1</v>
      </c>
      <c r="N170" s="88">
        <v>0</v>
      </c>
      <c r="O170" s="88">
        <v>0</v>
      </c>
      <c r="P170" s="11">
        <f t="shared" si="2"/>
        <v>9</v>
      </c>
    </row>
    <row r="171" spans="1:16" ht="17" thickBot="1" x14ac:dyDescent="0.25">
      <c r="A171" s="53" t="s">
        <v>464</v>
      </c>
      <c r="B171" s="89">
        <v>1</v>
      </c>
      <c r="C171" s="90">
        <v>0</v>
      </c>
      <c r="D171" s="90">
        <v>1</v>
      </c>
      <c r="E171" s="90">
        <v>0</v>
      </c>
      <c r="F171" s="90">
        <v>0</v>
      </c>
      <c r="G171" s="90">
        <v>0</v>
      </c>
      <c r="H171" s="90">
        <v>0</v>
      </c>
      <c r="I171" s="90">
        <v>0</v>
      </c>
      <c r="J171" s="90">
        <v>0</v>
      </c>
      <c r="K171" s="90">
        <v>0</v>
      </c>
      <c r="L171" s="90">
        <v>0</v>
      </c>
      <c r="M171" s="90">
        <v>1</v>
      </c>
      <c r="N171" s="90">
        <v>0</v>
      </c>
      <c r="O171" s="90">
        <v>0</v>
      </c>
      <c r="P171" s="11">
        <f t="shared" si="2"/>
        <v>3</v>
      </c>
    </row>
    <row r="172" spans="1:16" x14ac:dyDescent="0.2">
      <c r="A172" s="50" t="s">
        <v>465</v>
      </c>
      <c r="B172" s="47">
        <v>0</v>
      </c>
      <c r="C172" s="48">
        <v>0</v>
      </c>
      <c r="D172" s="48">
        <v>0</v>
      </c>
      <c r="E172" s="48">
        <v>0</v>
      </c>
      <c r="F172" s="48">
        <v>1</v>
      </c>
      <c r="G172" s="48">
        <v>0</v>
      </c>
      <c r="H172" s="48">
        <v>1</v>
      </c>
      <c r="I172" s="48">
        <v>0</v>
      </c>
      <c r="J172" s="48">
        <v>0</v>
      </c>
      <c r="K172" s="48">
        <v>0</v>
      </c>
      <c r="L172" s="48">
        <v>1</v>
      </c>
      <c r="M172" s="48">
        <v>1</v>
      </c>
      <c r="N172" s="48">
        <v>0</v>
      </c>
      <c r="O172" s="48">
        <v>0</v>
      </c>
      <c r="P172" s="11">
        <f t="shared" si="2"/>
        <v>4</v>
      </c>
    </row>
    <row r="173" spans="1:16" x14ac:dyDescent="0.2">
      <c r="A173" s="50" t="s">
        <v>466</v>
      </c>
      <c r="B173" s="80">
        <v>1</v>
      </c>
      <c r="C173" s="59">
        <v>0</v>
      </c>
      <c r="D173" s="59">
        <v>0</v>
      </c>
      <c r="E173" s="59">
        <v>0</v>
      </c>
      <c r="F173" s="59">
        <v>1</v>
      </c>
      <c r="G173" s="59">
        <v>0</v>
      </c>
      <c r="H173" s="59">
        <v>0</v>
      </c>
      <c r="I173" s="46">
        <v>0</v>
      </c>
      <c r="J173" s="46">
        <v>1</v>
      </c>
      <c r="K173" s="46">
        <v>1</v>
      </c>
      <c r="L173" s="46">
        <v>1</v>
      </c>
      <c r="M173" s="46">
        <v>1</v>
      </c>
      <c r="N173" s="46">
        <v>0</v>
      </c>
      <c r="O173" s="46">
        <v>0</v>
      </c>
      <c r="P173" s="11">
        <f t="shared" si="2"/>
        <v>6</v>
      </c>
    </row>
    <row r="174" spans="1:16" ht="16" x14ac:dyDescent="0.2">
      <c r="A174" s="53" t="s">
        <v>467</v>
      </c>
      <c r="B174" s="47">
        <v>0</v>
      </c>
      <c r="C174" s="48">
        <v>1</v>
      </c>
      <c r="D174" s="48">
        <v>0</v>
      </c>
      <c r="E174" s="48">
        <v>0</v>
      </c>
      <c r="F174" s="48">
        <v>1</v>
      </c>
      <c r="G174" s="48">
        <v>0</v>
      </c>
      <c r="H174" s="48">
        <v>0</v>
      </c>
      <c r="I174" s="48">
        <v>0</v>
      </c>
      <c r="J174" s="48">
        <v>0</v>
      </c>
      <c r="K174" s="48">
        <v>0</v>
      </c>
      <c r="L174" s="48">
        <v>0</v>
      </c>
      <c r="M174" s="48">
        <v>1</v>
      </c>
      <c r="N174" s="48">
        <v>0</v>
      </c>
      <c r="O174" s="48">
        <v>0</v>
      </c>
      <c r="P174" s="11">
        <f t="shared" si="2"/>
        <v>3</v>
      </c>
    </row>
    <row r="175" spans="1:16" ht="16" x14ac:dyDescent="0.2">
      <c r="A175" s="53" t="s">
        <v>468</v>
      </c>
      <c r="B175" s="47">
        <v>0</v>
      </c>
      <c r="C175" s="48">
        <v>1</v>
      </c>
      <c r="D175" s="48">
        <v>0</v>
      </c>
      <c r="E175" s="48">
        <v>0</v>
      </c>
      <c r="F175" s="48">
        <v>1</v>
      </c>
      <c r="G175" s="48">
        <v>0</v>
      </c>
      <c r="H175" s="48">
        <v>0</v>
      </c>
      <c r="I175" s="48">
        <v>0</v>
      </c>
      <c r="J175" s="48">
        <v>0</v>
      </c>
      <c r="K175" s="48">
        <v>1</v>
      </c>
      <c r="L175" s="48">
        <v>1</v>
      </c>
      <c r="M175" s="48">
        <v>2</v>
      </c>
      <c r="N175" s="48">
        <v>0</v>
      </c>
      <c r="O175" s="48">
        <v>1</v>
      </c>
      <c r="P175" s="11">
        <f t="shared" si="2"/>
        <v>7</v>
      </c>
    </row>
    <row r="176" spans="1:16" ht="16" x14ac:dyDescent="0.2">
      <c r="A176" s="53" t="s">
        <v>469</v>
      </c>
      <c r="B176" s="78">
        <v>0</v>
      </c>
      <c r="C176" s="79">
        <v>1</v>
      </c>
      <c r="D176" s="79">
        <v>1</v>
      </c>
      <c r="E176" s="79">
        <v>2</v>
      </c>
      <c r="F176" s="79">
        <v>1</v>
      </c>
      <c r="G176" s="79">
        <v>0</v>
      </c>
      <c r="H176" s="79">
        <v>0</v>
      </c>
      <c r="I176" s="79">
        <v>0</v>
      </c>
      <c r="J176" s="79">
        <v>0</v>
      </c>
      <c r="K176" s="79">
        <v>1</v>
      </c>
      <c r="L176" s="79">
        <v>2</v>
      </c>
      <c r="M176" s="79">
        <v>2</v>
      </c>
      <c r="N176" s="79">
        <v>0</v>
      </c>
      <c r="O176" s="79">
        <v>0</v>
      </c>
      <c r="P176" s="11">
        <f t="shared" si="2"/>
        <v>10</v>
      </c>
    </row>
    <row r="177" spans="1:16" ht="16" x14ac:dyDescent="0.2">
      <c r="A177" s="53" t="s">
        <v>470</v>
      </c>
      <c r="B177" s="67">
        <v>0</v>
      </c>
      <c r="C177" s="46">
        <v>0</v>
      </c>
      <c r="D177" s="46">
        <v>0</v>
      </c>
      <c r="E177" s="46">
        <v>0</v>
      </c>
      <c r="F177" s="46">
        <v>1</v>
      </c>
      <c r="G177" s="46">
        <v>0</v>
      </c>
      <c r="H177" s="46">
        <v>0</v>
      </c>
      <c r="I177" s="46">
        <v>0</v>
      </c>
      <c r="J177" s="46">
        <v>0</v>
      </c>
      <c r="K177" s="46">
        <v>1</v>
      </c>
      <c r="L177" s="46">
        <v>1</v>
      </c>
      <c r="M177" s="46">
        <v>1</v>
      </c>
      <c r="N177" s="46">
        <v>0</v>
      </c>
      <c r="O177" s="46">
        <v>0</v>
      </c>
      <c r="P177" s="11">
        <f t="shared" si="2"/>
        <v>4</v>
      </c>
    </row>
    <row r="178" spans="1:16" ht="16" x14ac:dyDescent="0.2">
      <c r="A178" s="53" t="s">
        <v>471</v>
      </c>
      <c r="B178" s="67">
        <v>0</v>
      </c>
      <c r="C178" s="46">
        <v>1</v>
      </c>
      <c r="D178" s="46">
        <v>0</v>
      </c>
      <c r="E178" s="46">
        <v>0</v>
      </c>
      <c r="F178" s="46">
        <v>2</v>
      </c>
      <c r="G178" s="46">
        <v>0</v>
      </c>
      <c r="H178" s="46">
        <v>0</v>
      </c>
      <c r="I178" s="46">
        <v>0</v>
      </c>
      <c r="J178" s="46">
        <v>0</v>
      </c>
      <c r="K178" s="46">
        <v>2</v>
      </c>
      <c r="L178" s="46">
        <v>2</v>
      </c>
      <c r="M178" s="46">
        <v>2</v>
      </c>
      <c r="N178" s="46">
        <v>0</v>
      </c>
      <c r="O178" s="46">
        <v>0</v>
      </c>
      <c r="P178" s="11">
        <f t="shared" si="2"/>
        <v>9</v>
      </c>
    </row>
    <row r="179" spans="1:16" ht="16" x14ac:dyDescent="0.2">
      <c r="A179" s="53" t="s">
        <v>472</v>
      </c>
      <c r="B179" s="67">
        <v>0</v>
      </c>
      <c r="C179" s="46">
        <v>0</v>
      </c>
      <c r="D179" s="46">
        <v>1</v>
      </c>
      <c r="E179" s="46">
        <v>0</v>
      </c>
      <c r="F179" s="46">
        <v>1</v>
      </c>
      <c r="G179" s="46">
        <v>0</v>
      </c>
      <c r="H179" s="46">
        <v>0</v>
      </c>
      <c r="I179" s="46">
        <v>0</v>
      </c>
      <c r="J179" s="46">
        <v>0</v>
      </c>
      <c r="K179" s="46">
        <v>1</v>
      </c>
      <c r="L179" s="46">
        <v>1</v>
      </c>
      <c r="M179" s="46">
        <v>1</v>
      </c>
      <c r="N179" s="46">
        <v>0</v>
      </c>
      <c r="O179" s="46">
        <v>0</v>
      </c>
      <c r="P179" s="11">
        <f t="shared" si="2"/>
        <v>5</v>
      </c>
    </row>
    <row r="180" spans="1:16" ht="16" x14ac:dyDescent="0.2">
      <c r="A180" s="53" t="s">
        <v>473</v>
      </c>
      <c r="B180" s="67">
        <v>0</v>
      </c>
      <c r="C180" s="46">
        <v>0</v>
      </c>
      <c r="D180" s="46">
        <v>0</v>
      </c>
      <c r="E180" s="46">
        <v>0</v>
      </c>
      <c r="F180" s="46">
        <v>1</v>
      </c>
      <c r="G180" s="46">
        <v>0</v>
      </c>
      <c r="H180" s="46">
        <v>0</v>
      </c>
      <c r="I180" s="46">
        <v>0</v>
      </c>
      <c r="J180" s="46">
        <v>0</v>
      </c>
      <c r="K180" s="46">
        <v>0</v>
      </c>
      <c r="L180" s="46">
        <v>0</v>
      </c>
      <c r="M180" s="46">
        <v>1</v>
      </c>
      <c r="N180" s="46">
        <v>0</v>
      </c>
      <c r="O180" s="46">
        <v>0</v>
      </c>
      <c r="P180" s="11">
        <f t="shared" si="2"/>
        <v>2</v>
      </c>
    </row>
    <row r="181" spans="1:16" ht="16" x14ac:dyDescent="0.2">
      <c r="A181" s="53" t="s">
        <v>474</v>
      </c>
      <c r="B181" s="67">
        <v>1</v>
      </c>
      <c r="C181" s="46">
        <v>1</v>
      </c>
      <c r="D181" s="46">
        <v>1</v>
      </c>
      <c r="E181" s="46">
        <v>0</v>
      </c>
      <c r="F181" s="46">
        <v>2</v>
      </c>
      <c r="G181" s="46">
        <v>0</v>
      </c>
      <c r="H181" s="46">
        <v>0</v>
      </c>
      <c r="I181" s="46">
        <v>0</v>
      </c>
      <c r="J181" s="46">
        <v>0</v>
      </c>
      <c r="K181" s="46">
        <v>0</v>
      </c>
      <c r="L181" s="46">
        <v>2</v>
      </c>
      <c r="M181" s="46">
        <v>2</v>
      </c>
      <c r="N181" s="46">
        <v>0</v>
      </c>
      <c r="O181" s="46">
        <v>0</v>
      </c>
      <c r="P181" s="11">
        <f t="shared" si="2"/>
        <v>9</v>
      </c>
    </row>
    <row r="182" spans="1:16" ht="16" x14ac:dyDescent="0.2">
      <c r="A182" s="91" t="s">
        <v>475</v>
      </c>
      <c r="B182" s="67">
        <v>0</v>
      </c>
      <c r="C182" s="46">
        <v>0</v>
      </c>
      <c r="D182" s="46">
        <v>0</v>
      </c>
      <c r="E182" s="46">
        <v>0</v>
      </c>
      <c r="F182" s="46">
        <v>1</v>
      </c>
      <c r="G182" s="46">
        <v>0</v>
      </c>
      <c r="H182" s="46">
        <v>0</v>
      </c>
      <c r="I182" s="46">
        <v>0</v>
      </c>
      <c r="J182" s="46">
        <v>0</v>
      </c>
      <c r="K182" s="46">
        <v>2</v>
      </c>
      <c r="L182" s="46">
        <v>1</v>
      </c>
      <c r="M182" s="46">
        <v>2</v>
      </c>
      <c r="N182" s="46">
        <v>0</v>
      </c>
      <c r="O182" s="46">
        <v>1</v>
      </c>
      <c r="P182" s="11">
        <f t="shared" si="2"/>
        <v>7</v>
      </c>
    </row>
    <row r="183" spans="1:16" ht="16" x14ac:dyDescent="0.2">
      <c r="A183" s="82" t="s">
        <v>476</v>
      </c>
      <c r="B183" s="80">
        <v>0</v>
      </c>
      <c r="C183" s="59">
        <v>0</v>
      </c>
      <c r="D183" s="59">
        <v>1</v>
      </c>
      <c r="E183" s="59">
        <v>0</v>
      </c>
      <c r="F183" s="59">
        <v>1</v>
      </c>
      <c r="G183" s="59">
        <v>0</v>
      </c>
      <c r="H183" s="59">
        <v>0</v>
      </c>
      <c r="I183" s="59">
        <v>0</v>
      </c>
      <c r="J183" s="59">
        <v>0</v>
      </c>
      <c r="K183" s="59">
        <v>1</v>
      </c>
      <c r="L183" s="59">
        <v>2</v>
      </c>
      <c r="M183" s="59">
        <v>1</v>
      </c>
      <c r="N183" s="59">
        <v>1</v>
      </c>
      <c r="O183" s="59">
        <v>1</v>
      </c>
      <c r="P183" s="11">
        <f t="shared" si="2"/>
        <v>8</v>
      </c>
    </row>
    <row r="184" spans="1:16" ht="16" x14ac:dyDescent="0.2">
      <c r="A184" s="82" t="s">
        <v>477</v>
      </c>
      <c r="B184" s="80">
        <v>0</v>
      </c>
      <c r="C184" s="59">
        <v>0</v>
      </c>
      <c r="D184" s="59">
        <v>0</v>
      </c>
      <c r="E184" s="59">
        <v>0</v>
      </c>
      <c r="F184" s="59">
        <v>1</v>
      </c>
      <c r="G184" s="59">
        <v>0</v>
      </c>
      <c r="H184" s="59">
        <v>0</v>
      </c>
      <c r="I184" s="59">
        <v>0</v>
      </c>
      <c r="J184" s="59">
        <v>0</v>
      </c>
      <c r="K184" s="59">
        <v>1</v>
      </c>
      <c r="L184" s="59">
        <v>2</v>
      </c>
      <c r="M184" s="59">
        <v>1</v>
      </c>
      <c r="N184" s="59">
        <v>0</v>
      </c>
      <c r="O184" s="59">
        <v>0</v>
      </c>
      <c r="P184" s="11">
        <f t="shared" si="2"/>
        <v>5</v>
      </c>
    </row>
    <row r="185" spans="1:16" ht="16" x14ac:dyDescent="0.2">
      <c r="A185" s="82" t="s">
        <v>478</v>
      </c>
      <c r="B185" s="67">
        <v>0</v>
      </c>
      <c r="C185" s="46">
        <v>1</v>
      </c>
      <c r="D185" s="46">
        <v>0</v>
      </c>
      <c r="E185" s="46">
        <v>0</v>
      </c>
      <c r="F185" s="46">
        <v>1</v>
      </c>
      <c r="G185" s="46">
        <v>0</v>
      </c>
      <c r="H185" s="46">
        <v>0</v>
      </c>
      <c r="I185" s="46">
        <v>0</v>
      </c>
      <c r="J185" s="46">
        <v>0</v>
      </c>
      <c r="K185" s="46">
        <v>1</v>
      </c>
      <c r="L185" s="46">
        <v>2</v>
      </c>
      <c r="M185" s="46">
        <v>2</v>
      </c>
      <c r="N185" s="46">
        <v>0</v>
      </c>
      <c r="O185" s="46">
        <v>0</v>
      </c>
      <c r="P185" s="11">
        <f t="shared" si="2"/>
        <v>7</v>
      </c>
    </row>
    <row r="186" spans="1:16" ht="16" x14ac:dyDescent="0.2">
      <c r="A186" s="82" t="s">
        <v>479</v>
      </c>
      <c r="B186" s="67">
        <v>0</v>
      </c>
      <c r="C186" s="46">
        <v>0</v>
      </c>
      <c r="D186" s="46">
        <v>0</v>
      </c>
      <c r="E186" s="46">
        <v>0</v>
      </c>
      <c r="F186" s="46">
        <v>1</v>
      </c>
      <c r="G186" s="46">
        <v>1</v>
      </c>
      <c r="H186" s="46">
        <v>0</v>
      </c>
      <c r="I186" s="46">
        <v>0</v>
      </c>
      <c r="J186" s="46">
        <v>0</v>
      </c>
      <c r="K186" s="46">
        <v>1</v>
      </c>
      <c r="L186" s="46">
        <v>0</v>
      </c>
      <c r="M186" s="46">
        <v>2</v>
      </c>
      <c r="N186" s="46">
        <v>0</v>
      </c>
      <c r="O186" s="46">
        <v>0</v>
      </c>
      <c r="P186" s="11">
        <f t="shared" si="2"/>
        <v>5</v>
      </c>
    </row>
    <row r="187" spans="1:16" ht="16" x14ac:dyDescent="0.2">
      <c r="A187" s="82" t="s">
        <v>480</v>
      </c>
      <c r="B187" s="67">
        <v>0</v>
      </c>
      <c r="C187" s="46">
        <v>0</v>
      </c>
      <c r="D187" s="46">
        <v>1</v>
      </c>
      <c r="E187" s="46">
        <v>0</v>
      </c>
      <c r="F187" s="46">
        <v>1</v>
      </c>
      <c r="G187" s="46">
        <v>0</v>
      </c>
      <c r="H187" s="46">
        <v>0</v>
      </c>
      <c r="I187" s="46">
        <v>0</v>
      </c>
      <c r="J187" s="46">
        <v>0</v>
      </c>
      <c r="K187" s="46">
        <v>0</v>
      </c>
      <c r="L187" s="46">
        <v>0</v>
      </c>
      <c r="M187" s="46">
        <v>1</v>
      </c>
      <c r="N187" s="46">
        <v>0</v>
      </c>
      <c r="O187" s="46">
        <v>0</v>
      </c>
      <c r="P187" s="11">
        <f t="shared" si="2"/>
        <v>3</v>
      </c>
    </row>
    <row r="188" spans="1:16" ht="16" x14ac:dyDescent="0.2">
      <c r="A188" s="82" t="s">
        <v>481</v>
      </c>
      <c r="B188" s="67">
        <v>0</v>
      </c>
      <c r="C188" s="46">
        <v>0</v>
      </c>
      <c r="D188" s="46">
        <v>0</v>
      </c>
      <c r="E188" s="46">
        <v>0</v>
      </c>
      <c r="F188" s="46">
        <v>0</v>
      </c>
      <c r="G188" s="46">
        <v>0</v>
      </c>
      <c r="H188" s="46">
        <v>0</v>
      </c>
      <c r="I188" s="46">
        <v>0</v>
      </c>
      <c r="J188" s="46">
        <v>0</v>
      </c>
      <c r="K188" s="46">
        <v>1</v>
      </c>
      <c r="L188" s="46">
        <v>1</v>
      </c>
      <c r="M188" s="46">
        <v>1</v>
      </c>
      <c r="N188" s="46">
        <v>0</v>
      </c>
      <c r="O188" s="46">
        <v>0</v>
      </c>
      <c r="P188" s="11">
        <f t="shared" si="2"/>
        <v>3</v>
      </c>
    </row>
    <row r="189" spans="1:16" ht="16" x14ac:dyDescent="0.2">
      <c r="A189" s="82" t="s">
        <v>482</v>
      </c>
      <c r="B189" s="46">
        <v>2</v>
      </c>
      <c r="C189" s="46">
        <v>0</v>
      </c>
      <c r="D189" s="46">
        <v>0</v>
      </c>
      <c r="E189" s="46">
        <v>2</v>
      </c>
      <c r="F189" s="46">
        <v>0</v>
      </c>
      <c r="G189" s="46">
        <v>0</v>
      </c>
      <c r="H189" s="46">
        <v>0</v>
      </c>
      <c r="I189" s="46">
        <v>0</v>
      </c>
      <c r="J189" s="46">
        <v>0</v>
      </c>
      <c r="K189" s="46">
        <v>1</v>
      </c>
      <c r="L189" s="46">
        <v>1</v>
      </c>
      <c r="M189" s="46">
        <v>1</v>
      </c>
      <c r="N189" s="46">
        <v>0</v>
      </c>
      <c r="O189" s="46">
        <v>0</v>
      </c>
      <c r="P189" s="11">
        <f t="shared" si="2"/>
        <v>7</v>
      </c>
    </row>
    <row r="190" spans="1:16" ht="16" x14ac:dyDescent="0.2">
      <c r="A190" s="82" t="s">
        <v>483</v>
      </c>
      <c r="B190" s="67">
        <v>1</v>
      </c>
      <c r="C190" s="46">
        <v>0</v>
      </c>
      <c r="D190" s="46">
        <v>0</v>
      </c>
      <c r="E190" s="46">
        <v>0</v>
      </c>
      <c r="F190" s="46">
        <v>1</v>
      </c>
      <c r="G190" s="46">
        <v>0</v>
      </c>
      <c r="H190" s="46">
        <v>0</v>
      </c>
      <c r="I190" s="46">
        <v>0</v>
      </c>
      <c r="J190" s="46">
        <v>0</v>
      </c>
      <c r="K190" s="46">
        <v>2</v>
      </c>
      <c r="L190" s="46">
        <v>1</v>
      </c>
      <c r="M190" s="46">
        <v>1</v>
      </c>
      <c r="N190" s="46">
        <v>0</v>
      </c>
      <c r="O190" s="46">
        <v>0</v>
      </c>
      <c r="P190" s="11">
        <f t="shared" si="2"/>
        <v>6</v>
      </c>
    </row>
    <row r="191" spans="1:16" ht="16" x14ac:dyDescent="0.2">
      <c r="A191" s="82" t="s">
        <v>484</v>
      </c>
      <c r="B191" s="81">
        <v>0</v>
      </c>
      <c r="C191" s="61">
        <v>1</v>
      </c>
      <c r="D191" s="61">
        <v>1</v>
      </c>
      <c r="E191" s="61">
        <v>0</v>
      </c>
      <c r="F191" s="61">
        <v>1</v>
      </c>
      <c r="G191" s="61">
        <v>0</v>
      </c>
      <c r="H191" s="61">
        <v>0</v>
      </c>
      <c r="I191" s="61">
        <v>0</v>
      </c>
      <c r="J191" s="61">
        <v>0</v>
      </c>
      <c r="K191" s="61">
        <v>1</v>
      </c>
      <c r="L191" s="61">
        <v>2</v>
      </c>
      <c r="M191" s="61">
        <v>2</v>
      </c>
      <c r="N191" s="61">
        <v>0</v>
      </c>
      <c r="O191" s="61">
        <v>0</v>
      </c>
      <c r="P191" s="11">
        <f t="shared" si="2"/>
        <v>8</v>
      </c>
    </row>
    <row r="192" spans="1:16" ht="16" x14ac:dyDescent="0.2">
      <c r="A192" s="82" t="s">
        <v>485</v>
      </c>
      <c r="B192" s="81">
        <v>0</v>
      </c>
      <c r="C192" s="61">
        <v>1</v>
      </c>
      <c r="D192" s="61">
        <v>1</v>
      </c>
      <c r="E192" s="61">
        <v>0</v>
      </c>
      <c r="F192" s="61">
        <v>0</v>
      </c>
      <c r="G192" s="61">
        <v>0</v>
      </c>
      <c r="H192" s="61">
        <v>0</v>
      </c>
      <c r="I192" s="61">
        <v>0</v>
      </c>
      <c r="J192" s="61">
        <v>1</v>
      </c>
      <c r="K192" s="61">
        <v>2</v>
      </c>
      <c r="L192" s="61">
        <v>2</v>
      </c>
      <c r="M192" s="61">
        <v>2</v>
      </c>
      <c r="N192" s="61">
        <v>0</v>
      </c>
      <c r="O192" s="61">
        <v>0</v>
      </c>
      <c r="P192" s="11">
        <f t="shared" si="2"/>
        <v>9</v>
      </c>
    </row>
    <row r="193" spans="1:16" ht="16" x14ac:dyDescent="0.2">
      <c r="A193" s="82" t="s">
        <v>486</v>
      </c>
      <c r="B193" s="81">
        <v>1</v>
      </c>
      <c r="C193" s="61">
        <v>1</v>
      </c>
      <c r="D193" s="61">
        <v>0</v>
      </c>
      <c r="E193" s="61">
        <v>0</v>
      </c>
      <c r="F193" s="61">
        <v>2</v>
      </c>
      <c r="G193" s="61">
        <v>0</v>
      </c>
      <c r="H193" s="61">
        <v>0</v>
      </c>
      <c r="I193" s="61">
        <v>0</v>
      </c>
      <c r="J193" s="61">
        <v>0</v>
      </c>
      <c r="K193" s="61">
        <v>1</v>
      </c>
      <c r="L193" s="61">
        <v>0</v>
      </c>
      <c r="M193" s="61">
        <v>1</v>
      </c>
      <c r="N193" s="61">
        <v>0</v>
      </c>
      <c r="O193" s="61">
        <v>0</v>
      </c>
      <c r="P193" s="11">
        <f t="shared" si="2"/>
        <v>6</v>
      </c>
    </row>
    <row r="194" spans="1:16" ht="16" x14ac:dyDescent="0.2">
      <c r="A194" s="82" t="s">
        <v>487</v>
      </c>
      <c r="B194" s="67">
        <v>0</v>
      </c>
      <c r="C194" s="46">
        <v>0</v>
      </c>
      <c r="D194" s="46">
        <v>0</v>
      </c>
      <c r="E194" s="46">
        <v>0</v>
      </c>
      <c r="F194" s="46">
        <v>0</v>
      </c>
      <c r="G194" s="46">
        <v>0</v>
      </c>
      <c r="H194" s="46">
        <v>0</v>
      </c>
      <c r="I194" s="46">
        <v>0</v>
      </c>
      <c r="J194" s="46">
        <v>0</v>
      </c>
      <c r="K194" s="46">
        <v>1</v>
      </c>
      <c r="L194" s="46">
        <v>2</v>
      </c>
      <c r="M194" s="46">
        <v>2</v>
      </c>
      <c r="N194" s="46">
        <v>0</v>
      </c>
      <c r="O194" s="46">
        <v>1</v>
      </c>
      <c r="P194" s="11">
        <f t="shared" si="2"/>
        <v>6</v>
      </c>
    </row>
    <row r="195" spans="1:16" ht="16" x14ac:dyDescent="0.2">
      <c r="A195" s="82" t="s">
        <v>488</v>
      </c>
      <c r="B195" s="60">
        <v>0</v>
      </c>
      <c r="C195" s="60">
        <v>1</v>
      </c>
      <c r="D195" s="60">
        <v>1</v>
      </c>
      <c r="E195" s="60">
        <v>0</v>
      </c>
      <c r="F195" s="60">
        <v>1</v>
      </c>
      <c r="G195" s="60">
        <v>0</v>
      </c>
      <c r="H195" s="60">
        <v>0</v>
      </c>
      <c r="I195" s="60">
        <v>0</v>
      </c>
      <c r="J195" s="60">
        <v>1</v>
      </c>
      <c r="K195" s="60">
        <v>1</v>
      </c>
      <c r="L195" s="60">
        <v>2</v>
      </c>
      <c r="M195" s="60">
        <v>2</v>
      </c>
      <c r="N195" s="60">
        <v>0</v>
      </c>
      <c r="O195" s="60">
        <v>0</v>
      </c>
      <c r="P195" s="11">
        <f t="shared" ref="P195" si="3">SUM(B195:O195)</f>
        <v>9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84"/>
  <sheetViews>
    <sheetView workbookViewId="0">
      <pane ySplit="1" topLeftCell="A149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" style="8" bestFit="1" customWidth="1"/>
    <col min="2" max="2" width="18.5" style="8" customWidth="1"/>
    <col min="3" max="3" width="15.5" style="8" customWidth="1"/>
    <col min="4" max="4" width="16.5" style="8" customWidth="1"/>
    <col min="5" max="5" width="12.5" style="8" customWidth="1"/>
    <col min="6" max="6" width="13.5" style="8" customWidth="1"/>
    <col min="7" max="7" width="14.5" style="8" customWidth="1"/>
    <col min="8" max="8" width="14.83203125" style="8" customWidth="1"/>
    <col min="9" max="9" width="15.6640625" style="8" customWidth="1"/>
    <col min="10" max="11" width="15.5" style="8" customWidth="1"/>
    <col min="12" max="13" width="16.5" style="8" customWidth="1"/>
    <col min="14" max="14" width="16" style="8" customWidth="1"/>
    <col min="15" max="15" width="18.5" style="8" customWidth="1"/>
    <col min="16" max="16" width="14.83203125" style="8" customWidth="1"/>
    <col min="17" max="17" width="16.6640625" style="8" customWidth="1"/>
    <col min="18" max="18" width="8.83203125" style="8"/>
  </cols>
  <sheetData>
    <row r="1" spans="1:18" s="12" customFormat="1" ht="177.75" customHeight="1" x14ac:dyDescent="0.2">
      <c r="A1" s="325" t="s">
        <v>497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  <c r="Q1" s="1" t="s">
        <v>42</v>
      </c>
      <c r="R1" s="1" t="s">
        <v>43</v>
      </c>
    </row>
    <row r="2" spans="1:18" ht="16" x14ac:dyDescent="0.2">
      <c r="A2" s="325" t="s">
        <v>497</v>
      </c>
      <c r="B2" s="339" t="str">
        <f>_xlfn.XLOOKUP(B1,FES[Pregunta],FES[ITEM_CODE],"XXXXXX")</f>
        <v>CLEANING</v>
      </c>
      <c r="C2" s="339" t="str">
        <f>_xlfn.XLOOKUP(C1,FES[Pregunta],FES[ITEM_CODE],"XXXXXX")</f>
        <v>DRESSED</v>
      </c>
      <c r="D2" s="339" t="str">
        <f>_xlfn.XLOOKUP(D1,FES[Pregunta],FES[ITEM_CODE],"XXXXXX")</f>
        <v>MEALS</v>
      </c>
      <c r="E2" s="339" t="str">
        <f>_xlfn.XLOOKUP(E1,FES[Pregunta],FES[ITEM_CODE],"XXXXXX")</f>
        <v>BATH</v>
      </c>
      <c r="F2" s="339" t="str">
        <f>_xlfn.XLOOKUP(F1,FES[Pregunta],FES[ITEM_CODE],"XXXXXX")</f>
        <v>SHOPPING</v>
      </c>
      <c r="G2" s="339" t="str">
        <f>_xlfn.XLOOKUP(G1,FES[Pregunta],FES[ITEM_CODE],"XXXXXX")</f>
        <v>CHAIR</v>
      </c>
      <c r="H2" s="339" t="str">
        <f>_xlfn.XLOOKUP(H1,FES[Pregunta],FES[ITEM_CODE],"XXXXXX")</f>
        <v>STAIRS</v>
      </c>
      <c r="I2" s="339" t="str">
        <f>_xlfn.XLOOKUP(I1,FES[Pregunta],FES[ITEM_CODE],"XXXXXX")</f>
        <v>NEIGHBOURHOOD</v>
      </c>
      <c r="J2" s="339" t="str">
        <f>_xlfn.XLOOKUP(J1,FES[Pregunta],FES[ITEM_CODE],"XXXXXX")</f>
        <v>REACHING</v>
      </c>
      <c r="K2" s="339" t="str">
        <f>_xlfn.XLOOKUP(K1,FES[Pregunta],FES[ITEM_CODE],"XXXXXX")</f>
        <v>TELEPHONE</v>
      </c>
      <c r="L2" s="339" t="str">
        <f>_xlfn.XLOOKUP(L1,FES[Pregunta],FES[ITEM_CODE],"XXXXXX")</f>
        <v>SLIPPERY</v>
      </c>
      <c r="M2" s="339" t="str">
        <f>_xlfn.XLOOKUP(M1,FES[Pregunta],FES[ITEM_CODE],"XXXXXX")</f>
        <v>FRIEND</v>
      </c>
      <c r="N2" s="339" t="str">
        <f>_xlfn.XLOOKUP(N1,FES[Pregunta],FES[ITEM_CODE],"XXXXXX")</f>
        <v>CROWDS</v>
      </c>
      <c r="O2" s="339" t="str">
        <f>_xlfn.XLOOKUP(O1,FES[Pregunta],FES[ITEM_CODE],"XXXXXX")</f>
        <v>UNEVEN</v>
      </c>
      <c r="P2" s="339" t="str">
        <f>_xlfn.XLOOKUP(P1,FES[Pregunta],FES[ITEM_CODE],"XXXXXX")</f>
        <v>SLOPE</v>
      </c>
      <c r="Q2" s="339" t="str">
        <f>_xlfn.XLOOKUP(Q1,FES[Pregunta],FES[ITEM_CODE],"XXXXXX")</f>
        <v>SOCIAL</v>
      </c>
      <c r="R2" s="339" t="s">
        <v>788</v>
      </c>
    </row>
    <row r="3" spans="1:18" s="6" customFormat="1" x14ac:dyDescent="0.2">
      <c r="A3" s="32" t="s">
        <v>297</v>
      </c>
      <c r="B3" s="33">
        <v>4</v>
      </c>
      <c r="C3" s="33">
        <v>2</v>
      </c>
      <c r="D3" s="33">
        <v>1</v>
      </c>
      <c r="E3" s="33">
        <v>1</v>
      </c>
      <c r="F3" s="33">
        <v>1</v>
      </c>
      <c r="G3" s="33">
        <v>1</v>
      </c>
      <c r="H3" s="33">
        <v>2</v>
      </c>
      <c r="I3" s="33">
        <v>2</v>
      </c>
      <c r="J3" s="33">
        <v>1</v>
      </c>
      <c r="K3" s="33">
        <v>1</v>
      </c>
      <c r="L3" s="33">
        <v>4</v>
      </c>
      <c r="M3" s="33">
        <v>1</v>
      </c>
      <c r="N3" s="33">
        <v>2</v>
      </c>
      <c r="O3" s="33">
        <v>4</v>
      </c>
      <c r="P3" s="33">
        <v>4</v>
      </c>
      <c r="Q3" s="33">
        <v>2</v>
      </c>
      <c r="R3" s="33">
        <f t="shared" ref="R3:R65" si="0">SUM(B3:Q3)</f>
        <v>33</v>
      </c>
    </row>
    <row r="4" spans="1:18" x14ac:dyDescent="0.2">
      <c r="A4" s="32" t="s">
        <v>298</v>
      </c>
      <c r="B4" s="33">
        <v>1</v>
      </c>
      <c r="C4" s="33">
        <v>1</v>
      </c>
      <c r="D4" s="33">
        <v>1</v>
      </c>
      <c r="E4" s="33">
        <v>1</v>
      </c>
      <c r="F4" s="33">
        <v>1</v>
      </c>
      <c r="G4" s="33">
        <v>2</v>
      </c>
      <c r="H4" s="33">
        <v>2</v>
      </c>
      <c r="I4" s="33">
        <v>1</v>
      </c>
      <c r="J4" s="33">
        <v>2</v>
      </c>
      <c r="K4" s="33">
        <v>1</v>
      </c>
      <c r="L4" s="33">
        <v>2</v>
      </c>
      <c r="M4" s="33">
        <v>1</v>
      </c>
      <c r="N4" s="33">
        <v>1</v>
      </c>
      <c r="O4" s="33">
        <v>2</v>
      </c>
      <c r="P4" s="33">
        <v>1</v>
      </c>
      <c r="Q4" s="33">
        <v>1</v>
      </c>
      <c r="R4" s="33">
        <f t="shared" si="0"/>
        <v>21</v>
      </c>
    </row>
    <row r="5" spans="1:18" x14ac:dyDescent="0.2">
      <c r="A5" s="32" t="s">
        <v>299</v>
      </c>
      <c r="B5" s="33">
        <v>2</v>
      </c>
      <c r="C5" s="33">
        <v>1</v>
      </c>
      <c r="D5" s="33">
        <v>1</v>
      </c>
      <c r="E5" s="33">
        <v>1</v>
      </c>
      <c r="F5" s="33">
        <v>1</v>
      </c>
      <c r="G5" s="33">
        <v>1</v>
      </c>
      <c r="H5" s="33">
        <v>1</v>
      </c>
      <c r="I5" s="33">
        <v>1</v>
      </c>
      <c r="J5" s="33">
        <v>1</v>
      </c>
      <c r="K5" s="33">
        <v>2</v>
      </c>
      <c r="L5" s="33">
        <v>3</v>
      </c>
      <c r="M5" s="33">
        <v>2</v>
      </c>
      <c r="N5" s="33">
        <v>2</v>
      </c>
      <c r="O5" s="33">
        <v>2</v>
      </c>
      <c r="P5" s="33">
        <v>2</v>
      </c>
      <c r="Q5" s="33">
        <v>2</v>
      </c>
      <c r="R5" s="33">
        <f t="shared" si="0"/>
        <v>25</v>
      </c>
    </row>
    <row r="6" spans="1:18" x14ac:dyDescent="0.2">
      <c r="A6" s="32" t="s">
        <v>300</v>
      </c>
      <c r="B6" s="33">
        <v>4</v>
      </c>
      <c r="C6" s="33">
        <v>4</v>
      </c>
      <c r="D6" s="33">
        <v>4</v>
      </c>
      <c r="E6" s="33">
        <v>4</v>
      </c>
      <c r="F6" s="33">
        <v>4</v>
      </c>
      <c r="G6" s="33">
        <v>4</v>
      </c>
      <c r="H6" s="33">
        <v>4</v>
      </c>
      <c r="I6" s="33">
        <v>4</v>
      </c>
      <c r="J6" s="33">
        <v>4</v>
      </c>
      <c r="K6" s="33">
        <v>4</v>
      </c>
      <c r="L6" s="33">
        <v>4</v>
      </c>
      <c r="M6" s="33">
        <v>4</v>
      </c>
      <c r="N6" s="33">
        <v>4</v>
      </c>
      <c r="O6" s="33">
        <v>4</v>
      </c>
      <c r="P6" s="33">
        <v>4</v>
      </c>
      <c r="Q6" s="33">
        <v>4</v>
      </c>
      <c r="R6" s="33">
        <f t="shared" si="0"/>
        <v>64</v>
      </c>
    </row>
    <row r="7" spans="1:18" x14ac:dyDescent="0.2">
      <c r="A7" s="32" t="s">
        <v>301</v>
      </c>
      <c r="B7" s="33">
        <v>2</v>
      </c>
      <c r="C7" s="33">
        <v>2</v>
      </c>
      <c r="D7" s="33">
        <v>1</v>
      </c>
      <c r="E7" s="33">
        <v>2</v>
      </c>
      <c r="F7" s="33">
        <v>1</v>
      </c>
      <c r="G7" s="33">
        <v>1</v>
      </c>
      <c r="H7" s="33">
        <v>2</v>
      </c>
      <c r="I7" s="33">
        <v>1</v>
      </c>
      <c r="J7" s="33">
        <v>2</v>
      </c>
      <c r="K7" s="33">
        <v>1</v>
      </c>
      <c r="L7" s="33">
        <v>2</v>
      </c>
      <c r="M7" s="33">
        <v>1</v>
      </c>
      <c r="N7" s="33">
        <v>2</v>
      </c>
      <c r="O7" s="33">
        <v>2</v>
      </c>
      <c r="P7" s="33">
        <v>1</v>
      </c>
      <c r="Q7" s="33">
        <v>2</v>
      </c>
      <c r="R7" s="33">
        <f t="shared" si="0"/>
        <v>25</v>
      </c>
    </row>
    <row r="8" spans="1:18" x14ac:dyDescent="0.2">
      <c r="A8" s="32" t="s">
        <v>302</v>
      </c>
      <c r="B8" s="33">
        <v>1</v>
      </c>
      <c r="C8" s="33">
        <v>1</v>
      </c>
      <c r="D8" s="33">
        <v>1</v>
      </c>
      <c r="E8" s="33">
        <v>1</v>
      </c>
      <c r="F8" s="33">
        <v>1</v>
      </c>
      <c r="G8" s="33">
        <v>1</v>
      </c>
      <c r="H8" s="33">
        <v>1</v>
      </c>
      <c r="I8" s="33">
        <v>1</v>
      </c>
      <c r="J8" s="33">
        <v>1</v>
      </c>
      <c r="K8" s="33">
        <v>1</v>
      </c>
      <c r="L8" s="33">
        <v>2</v>
      </c>
      <c r="M8" s="33">
        <v>1</v>
      </c>
      <c r="N8" s="33">
        <v>1</v>
      </c>
      <c r="O8" s="33">
        <v>1</v>
      </c>
      <c r="P8" s="33">
        <v>1</v>
      </c>
      <c r="Q8" s="33">
        <v>1</v>
      </c>
      <c r="R8" s="33">
        <f t="shared" si="0"/>
        <v>17</v>
      </c>
    </row>
    <row r="9" spans="1:18" x14ac:dyDescent="0.2">
      <c r="A9" s="32" t="s">
        <v>303</v>
      </c>
      <c r="B9" s="33">
        <v>1</v>
      </c>
      <c r="C9" s="33">
        <v>2</v>
      </c>
      <c r="D9" s="33">
        <v>1</v>
      </c>
      <c r="E9" s="33">
        <v>1</v>
      </c>
      <c r="F9" s="33">
        <v>1</v>
      </c>
      <c r="G9" s="33">
        <v>2</v>
      </c>
      <c r="H9" s="33">
        <v>1</v>
      </c>
      <c r="I9" s="33">
        <v>2</v>
      </c>
      <c r="J9" s="33">
        <v>2</v>
      </c>
      <c r="K9" s="33">
        <v>1</v>
      </c>
      <c r="L9" s="33">
        <v>2</v>
      </c>
      <c r="M9" s="33">
        <v>1</v>
      </c>
      <c r="N9" s="33">
        <v>1</v>
      </c>
      <c r="O9" s="33">
        <v>2</v>
      </c>
      <c r="P9" s="33">
        <v>1</v>
      </c>
      <c r="Q9" s="33">
        <v>1</v>
      </c>
      <c r="R9" s="33">
        <f t="shared" si="0"/>
        <v>22</v>
      </c>
    </row>
    <row r="10" spans="1:18" x14ac:dyDescent="0.2">
      <c r="A10" s="32" t="s">
        <v>304</v>
      </c>
      <c r="B10" s="33">
        <v>1</v>
      </c>
      <c r="C10" s="33">
        <v>1</v>
      </c>
      <c r="D10" s="33">
        <v>1</v>
      </c>
      <c r="E10" s="33">
        <v>1</v>
      </c>
      <c r="F10" s="33">
        <v>1</v>
      </c>
      <c r="G10" s="33">
        <v>2</v>
      </c>
      <c r="H10" s="33">
        <v>2</v>
      </c>
      <c r="I10" s="33">
        <v>2</v>
      </c>
      <c r="J10" s="33">
        <v>2</v>
      </c>
      <c r="K10" s="33">
        <v>1</v>
      </c>
      <c r="L10" s="33">
        <v>1</v>
      </c>
      <c r="M10" s="33">
        <v>1</v>
      </c>
      <c r="N10" s="33">
        <v>1</v>
      </c>
      <c r="O10" s="33">
        <v>2</v>
      </c>
      <c r="P10" s="33">
        <v>2</v>
      </c>
      <c r="Q10" s="33">
        <v>1</v>
      </c>
      <c r="R10" s="33">
        <f t="shared" si="0"/>
        <v>22</v>
      </c>
    </row>
    <row r="11" spans="1:18" x14ac:dyDescent="0.2">
      <c r="A11" s="32" t="s">
        <v>305</v>
      </c>
      <c r="B11" s="33">
        <v>4</v>
      </c>
      <c r="C11" s="33">
        <v>4</v>
      </c>
      <c r="D11" s="33">
        <v>3</v>
      </c>
      <c r="E11" s="33">
        <v>4</v>
      </c>
      <c r="F11" s="33">
        <v>4</v>
      </c>
      <c r="G11" s="33">
        <v>3</v>
      </c>
      <c r="H11" s="33">
        <v>4</v>
      </c>
      <c r="I11" s="33">
        <v>4</v>
      </c>
      <c r="J11" s="33">
        <v>3</v>
      </c>
      <c r="K11" s="33">
        <v>2</v>
      </c>
      <c r="L11" s="33">
        <v>4</v>
      </c>
      <c r="M11" s="33">
        <v>3</v>
      </c>
      <c r="N11" s="33">
        <v>3</v>
      </c>
      <c r="O11" s="33">
        <v>4</v>
      </c>
      <c r="P11" s="33">
        <v>4</v>
      </c>
      <c r="Q11" s="33">
        <v>3</v>
      </c>
      <c r="R11" s="33">
        <f t="shared" si="0"/>
        <v>56</v>
      </c>
    </row>
    <row r="12" spans="1:18" x14ac:dyDescent="0.2">
      <c r="A12" s="32" t="s">
        <v>306</v>
      </c>
      <c r="B12" s="33">
        <v>1</v>
      </c>
      <c r="C12" s="33">
        <v>2</v>
      </c>
      <c r="D12" s="33">
        <v>2</v>
      </c>
      <c r="E12" s="33">
        <v>1</v>
      </c>
      <c r="F12" s="33">
        <v>1</v>
      </c>
      <c r="G12" s="33">
        <v>1</v>
      </c>
      <c r="H12" s="33">
        <v>1</v>
      </c>
      <c r="I12" s="33">
        <v>1</v>
      </c>
      <c r="J12" s="33">
        <v>2</v>
      </c>
      <c r="K12" s="33">
        <v>2</v>
      </c>
      <c r="L12" s="33">
        <v>2</v>
      </c>
      <c r="M12" s="33">
        <v>1</v>
      </c>
      <c r="N12" s="33">
        <v>1</v>
      </c>
      <c r="O12" s="33">
        <v>2</v>
      </c>
      <c r="P12" s="33">
        <v>2</v>
      </c>
      <c r="Q12" s="33">
        <v>1</v>
      </c>
      <c r="R12" s="33">
        <f t="shared" si="0"/>
        <v>23</v>
      </c>
    </row>
    <row r="13" spans="1:18" x14ac:dyDescent="0.2">
      <c r="A13" s="32" t="s">
        <v>307</v>
      </c>
      <c r="B13" s="33">
        <v>1</v>
      </c>
      <c r="C13" s="33">
        <v>1</v>
      </c>
      <c r="D13" s="33">
        <v>1</v>
      </c>
      <c r="E13" s="33">
        <v>1</v>
      </c>
      <c r="F13" s="33">
        <v>1</v>
      </c>
      <c r="G13" s="33">
        <v>1</v>
      </c>
      <c r="H13" s="33">
        <v>1</v>
      </c>
      <c r="I13" s="33">
        <v>1</v>
      </c>
      <c r="J13" s="33">
        <v>2</v>
      </c>
      <c r="K13" s="33">
        <v>1</v>
      </c>
      <c r="L13" s="33">
        <v>2</v>
      </c>
      <c r="M13" s="33">
        <v>1</v>
      </c>
      <c r="N13" s="33">
        <v>1</v>
      </c>
      <c r="O13" s="33">
        <v>2</v>
      </c>
      <c r="P13" s="33">
        <v>1</v>
      </c>
      <c r="Q13" s="33">
        <v>1</v>
      </c>
      <c r="R13" s="33">
        <f t="shared" si="0"/>
        <v>19</v>
      </c>
    </row>
    <row r="14" spans="1:18" x14ac:dyDescent="0.2">
      <c r="A14" s="32" t="s">
        <v>308</v>
      </c>
      <c r="B14" s="33">
        <v>2</v>
      </c>
      <c r="C14" s="33">
        <v>2</v>
      </c>
      <c r="D14" s="33">
        <v>1</v>
      </c>
      <c r="E14" s="33">
        <v>2</v>
      </c>
      <c r="F14" s="33">
        <v>2</v>
      </c>
      <c r="G14" s="33">
        <v>2</v>
      </c>
      <c r="H14" s="33">
        <v>3</v>
      </c>
      <c r="I14" s="33">
        <v>3</v>
      </c>
      <c r="J14" s="33">
        <v>2</v>
      </c>
      <c r="K14" s="33">
        <v>2</v>
      </c>
      <c r="L14" s="33">
        <v>3</v>
      </c>
      <c r="M14" s="33">
        <v>2</v>
      </c>
      <c r="N14" s="33">
        <v>3</v>
      </c>
      <c r="O14" s="33">
        <v>3</v>
      </c>
      <c r="P14" s="33">
        <v>4</v>
      </c>
      <c r="Q14" s="33">
        <v>2</v>
      </c>
      <c r="R14" s="33">
        <f t="shared" si="0"/>
        <v>38</v>
      </c>
    </row>
    <row r="15" spans="1:18" x14ac:dyDescent="0.2">
      <c r="A15" s="32" t="s">
        <v>309</v>
      </c>
      <c r="B15" s="33">
        <v>1</v>
      </c>
      <c r="C15" s="33">
        <v>2</v>
      </c>
      <c r="D15" s="33">
        <v>1</v>
      </c>
      <c r="E15" s="33">
        <v>3</v>
      </c>
      <c r="F15" s="33">
        <v>2</v>
      </c>
      <c r="G15" s="33">
        <v>2</v>
      </c>
      <c r="H15" s="33">
        <v>4</v>
      </c>
      <c r="I15" s="33">
        <v>3</v>
      </c>
      <c r="J15" s="33">
        <v>3</v>
      </c>
      <c r="K15" s="33">
        <v>2</v>
      </c>
      <c r="L15" s="33">
        <v>3</v>
      </c>
      <c r="M15" s="33">
        <v>2</v>
      </c>
      <c r="N15" s="33">
        <v>3</v>
      </c>
      <c r="O15" s="33">
        <v>3</v>
      </c>
      <c r="P15" s="33">
        <v>2</v>
      </c>
      <c r="Q15" s="33">
        <v>2</v>
      </c>
      <c r="R15" s="33">
        <f t="shared" si="0"/>
        <v>38</v>
      </c>
    </row>
    <row r="16" spans="1:18" x14ac:dyDescent="0.2">
      <c r="A16" s="32" t="s">
        <v>310</v>
      </c>
      <c r="B16" s="33">
        <v>1</v>
      </c>
      <c r="C16" s="33">
        <v>1</v>
      </c>
      <c r="D16" s="33">
        <v>1</v>
      </c>
      <c r="E16" s="33">
        <v>1</v>
      </c>
      <c r="F16" s="33">
        <v>2</v>
      </c>
      <c r="G16" s="33">
        <v>1</v>
      </c>
      <c r="H16" s="33">
        <v>1</v>
      </c>
      <c r="I16" s="33">
        <v>2</v>
      </c>
      <c r="J16" s="33">
        <v>2</v>
      </c>
      <c r="K16" s="33">
        <v>1</v>
      </c>
      <c r="L16" s="33">
        <v>2</v>
      </c>
      <c r="M16" s="33">
        <v>1</v>
      </c>
      <c r="N16" s="33">
        <v>2</v>
      </c>
      <c r="O16" s="33">
        <v>2</v>
      </c>
      <c r="P16" s="33">
        <v>2</v>
      </c>
      <c r="Q16" s="33">
        <v>2</v>
      </c>
      <c r="R16" s="33">
        <f t="shared" si="0"/>
        <v>24</v>
      </c>
    </row>
    <row r="17" spans="1:18" x14ac:dyDescent="0.2">
      <c r="A17" s="32" t="s">
        <v>311</v>
      </c>
      <c r="B17" s="33">
        <v>1</v>
      </c>
      <c r="C17" s="33">
        <v>1</v>
      </c>
      <c r="D17" s="33">
        <v>1</v>
      </c>
      <c r="E17" s="33">
        <v>1</v>
      </c>
      <c r="F17" s="33">
        <v>1</v>
      </c>
      <c r="G17" s="33">
        <v>1</v>
      </c>
      <c r="H17" s="33">
        <v>2</v>
      </c>
      <c r="I17" s="33">
        <v>1</v>
      </c>
      <c r="J17" s="33">
        <v>2</v>
      </c>
      <c r="K17" s="348"/>
      <c r="L17" s="33">
        <v>2</v>
      </c>
      <c r="M17" s="33">
        <v>1</v>
      </c>
      <c r="N17" s="33">
        <v>2</v>
      </c>
      <c r="O17" s="33">
        <v>2</v>
      </c>
      <c r="P17" s="33">
        <v>2</v>
      </c>
      <c r="Q17" s="33">
        <v>1</v>
      </c>
      <c r="R17" s="33">
        <f t="shared" si="0"/>
        <v>21</v>
      </c>
    </row>
    <row r="18" spans="1:18" x14ac:dyDescent="0.2">
      <c r="A18" s="32" t="s">
        <v>312</v>
      </c>
      <c r="B18" s="33">
        <v>1</v>
      </c>
      <c r="C18" s="33">
        <v>1</v>
      </c>
      <c r="D18" s="33">
        <v>1</v>
      </c>
      <c r="E18" s="33">
        <v>1</v>
      </c>
      <c r="F18" s="33">
        <v>1</v>
      </c>
      <c r="G18" s="33">
        <v>1</v>
      </c>
      <c r="H18" s="33">
        <v>1</v>
      </c>
      <c r="I18" s="33">
        <v>1</v>
      </c>
      <c r="J18" s="33">
        <v>1</v>
      </c>
      <c r="K18" s="33">
        <v>2</v>
      </c>
      <c r="L18" s="33">
        <v>3</v>
      </c>
      <c r="M18" s="33">
        <v>1</v>
      </c>
      <c r="N18" s="33">
        <v>2</v>
      </c>
      <c r="O18" s="33">
        <v>2</v>
      </c>
      <c r="P18" s="33">
        <v>1</v>
      </c>
      <c r="Q18" s="33">
        <v>2</v>
      </c>
      <c r="R18" s="33">
        <f t="shared" si="0"/>
        <v>22</v>
      </c>
    </row>
    <row r="19" spans="1:18" x14ac:dyDescent="0.2">
      <c r="A19" s="32" t="s">
        <v>313</v>
      </c>
      <c r="B19" s="33">
        <v>4</v>
      </c>
      <c r="C19" s="33">
        <v>2</v>
      </c>
      <c r="D19" s="33">
        <v>2</v>
      </c>
      <c r="E19" s="33">
        <v>3</v>
      </c>
      <c r="F19" s="33">
        <v>3</v>
      </c>
      <c r="G19" s="33">
        <v>2</v>
      </c>
      <c r="H19" s="33">
        <v>2</v>
      </c>
      <c r="I19" s="33">
        <v>2</v>
      </c>
      <c r="J19" s="33">
        <v>3</v>
      </c>
      <c r="K19" s="33">
        <v>3</v>
      </c>
      <c r="L19" s="33">
        <v>4</v>
      </c>
      <c r="M19" s="33">
        <v>3</v>
      </c>
      <c r="N19" s="33">
        <v>2</v>
      </c>
      <c r="O19" s="33">
        <v>3</v>
      </c>
      <c r="P19" s="33">
        <v>3</v>
      </c>
      <c r="Q19" s="33">
        <v>2</v>
      </c>
      <c r="R19" s="33">
        <f t="shared" si="0"/>
        <v>43</v>
      </c>
    </row>
    <row r="20" spans="1:18" x14ac:dyDescent="0.2">
      <c r="A20" s="32" t="s">
        <v>314</v>
      </c>
      <c r="B20" s="33">
        <v>2</v>
      </c>
      <c r="C20" s="33">
        <v>2</v>
      </c>
      <c r="D20" s="33">
        <v>1</v>
      </c>
      <c r="E20" s="33">
        <v>2</v>
      </c>
      <c r="F20" s="33">
        <v>1</v>
      </c>
      <c r="G20" s="33">
        <v>1</v>
      </c>
      <c r="H20" s="33">
        <v>1</v>
      </c>
      <c r="I20" s="33">
        <v>1</v>
      </c>
      <c r="J20" s="33">
        <v>2</v>
      </c>
      <c r="K20" s="33">
        <v>1</v>
      </c>
      <c r="L20" s="33">
        <v>3</v>
      </c>
      <c r="M20" s="33">
        <v>2</v>
      </c>
      <c r="N20" s="33">
        <v>2</v>
      </c>
      <c r="O20" s="33">
        <v>2</v>
      </c>
      <c r="P20" s="33">
        <v>2</v>
      </c>
      <c r="Q20" s="33">
        <v>2</v>
      </c>
      <c r="R20" s="33">
        <f t="shared" si="0"/>
        <v>27</v>
      </c>
    </row>
    <row r="21" spans="1:18" x14ac:dyDescent="0.2">
      <c r="A21" s="32" t="s">
        <v>315</v>
      </c>
      <c r="B21" s="33">
        <v>1</v>
      </c>
      <c r="C21" s="33">
        <v>1</v>
      </c>
      <c r="D21" s="33">
        <v>1</v>
      </c>
      <c r="E21" s="33">
        <v>1</v>
      </c>
      <c r="F21" s="33">
        <v>2</v>
      </c>
      <c r="G21" s="33">
        <v>1</v>
      </c>
      <c r="H21" s="33">
        <v>1</v>
      </c>
      <c r="I21" s="33">
        <v>1</v>
      </c>
      <c r="J21" s="33">
        <v>1</v>
      </c>
      <c r="K21" s="33">
        <v>1</v>
      </c>
      <c r="L21" s="33">
        <v>2</v>
      </c>
      <c r="M21" s="33">
        <v>2</v>
      </c>
      <c r="N21" s="33">
        <v>2</v>
      </c>
      <c r="O21" s="33">
        <v>2</v>
      </c>
      <c r="P21" s="33">
        <v>1</v>
      </c>
      <c r="Q21" s="33">
        <v>2</v>
      </c>
      <c r="R21" s="33">
        <f t="shared" si="0"/>
        <v>22</v>
      </c>
    </row>
    <row r="22" spans="1:18" x14ac:dyDescent="0.2">
      <c r="A22" s="32" t="s">
        <v>316</v>
      </c>
      <c r="B22" s="33">
        <v>1</v>
      </c>
      <c r="C22" s="33">
        <v>3</v>
      </c>
      <c r="D22" s="348"/>
      <c r="E22" s="33">
        <v>4</v>
      </c>
      <c r="F22" s="348"/>
      <c r="G22" s="33">
        <v>3</v>
      </c>
      <c r="H22" s="33">
        <v>2</v>
      </c>
      <c r="I22" s="33">
        <v>2</v>
      </c>
      <c r="J22" s="33">
        <v>1</v>
      </c>
      <c r="K22" s="348"/>
      <c r="L22" s="33">
        <v>4</v>
      </c>
      <c r="M22" s="33">
        <v>2</v>
      </c>
      <c r="N22" s="348"/>
      <c r="O22" s="33">
        <v>3</v>
      </c>
      <c r="P22" s="33">
        <v>2</v>
      </c>
      <c r="Q22" s="33">
        <v>1</v>
      </c>
      <c r="R22" s="33">
        <f t="shared" si="0"/>
        <v>28</v>
      </c>
    </row>
    <row r="23" spans="1:18" x14ac:dyDescent="0.2">
      <c r="A23" s="32" t="s">
        <v>317</v>
      </c>
      <c r="B23" s="33">
        <v>1</v>
      </c>
      <c r="C23" s="33">
        <v>2</v>
      </c>
      <c r="D23" s="33">
        <v>1</v>
      </c>
      <c r="E23" s="33">
        <v>1</v>
      </c>
      <c r="F23" s="33">
        <v>1</v>
      </c>
      <c r="G23" s="33">
        <v>1</v>
      </c>
      <c r="H23" s="33">
        <v>2</v>
      </c>
      <c r="I23" s="33">
        <v>2</v>
      </c>
      <c r="J23" s="33">
        <v>1</v>
      </c>
      <c r="K23" s="33">
        <v>1</v>
      </c>
      <c r="L23" s="33">
        <v>2</v>
      </c>
      <c r="M23" s="33">
        <v>1</v>
      </c>
      <c r="N23" s="33">
        <v>2</v>
      </c>
      <c r="O23" s="33">
        <v>1</v>
      </c>
      <c r="P23" s="33">
        <v>1</v>
      </c>
      <c r="Q23" s="33">
        <v>1</v>
      </c>
      <c r="R23" s="33">
        <f t="shared" si="0"/>
        <v>21</v>
      </c>
    </row>
    <row r="24" spans="1:18" x14ac:dyDescent="0.2">
      <c r="A24" s="40" t="s">
        <v>319</v>
      </c>
      <c r="B24" s="33">
        <v>1</v>
      </c>
      <c r="C24" s="93">
        <v>1</v>
      </c>
      <c r="D24" s="33">
        <v>1</v>
      </c>
      <c r="E24" s="93">
        <v>1</v>
      </c>
      <c r="F24" s="93">
        <v>1</v>
      </c>
      <c r="G24" s="93">
        <v>1</v>
      </c>
      <c r="H24" s="93">
        <v>1</v>
      </c>
      <c r="I24" s="93">
        <v>1</v>
      </c>
      <c r="J24" s="33">
        <v>1</v>
      </c>
      <c r="K24" s="33">
        <v>1</v>
      </c>
      <c r="L24" s="33">
        <v>2</v>
      </c>
      <c r="M24" s="33">
        <v>2</v>
      </c>
      <c r="N24" s="33">
        <v>2</v>
      </c>
      <c r="O24" s="33">
        <v>2</v>
      </c>
      <c r="P24" s="33">
        <v>1</v>
      </c>
      <c r="Q24" s="33">
        <v>2</v>
      </c>
      <c r="R24" s="33">
        <f t="shared" si="0"/>
        <v>21</v>
      </c>
    </row>
    <row r="25" spans="1:18" x14ac:dyDescent="0.2">
      <c r="A25" s="32" t="s">
        <v>320</v>
      </c>
      <c r="B25" s="33">
        <v>1</v>
      </c>
      <c r="C25" s="93">
        <v>1</v>
      </c>
      <c r="D25" s="33">
        <v>1</v>
      </c>
      <c r="E25" s="93">
        <v>1</v>
      </c>
      <c r="F25" s="93">
        <v>1</v>
      </c>
      <c r="G25" s="93">
        <v>1</v>
      </c>
      <c r="H25" s="93">
        <v>1</v>
      </c>
      <c r="I25" s="93">
        <v>1</v>
      </c>
      <c r="J25" s="33">
        <v>1</v>
      </c>
      <c r="K25" s="33">
        <v>1</v>
      </c>
      <c r="L25" s="33">
        <v>1</v>
      </c>
      <c r="M25" s="33">
        <v>1</v>
      </c>
      <c r="N25" s="33">
        <v>1</v>
      </c>
      <c r="O25" s="33">
        <v>1</v>
      </c>
      <c r="P25" s="33">
        <v>1</v>
      </c>
      <c r="Q25" s="33">
        <v>1</v>
      </c>
      <c r="R25" s="33">
        <f t="shared" si="0"/>
        <v>16</v>
      </c>
    </row>
    <row r="26" spans="1:18" x14ac:dyDescent="0.2">
      <c r="A26" s="40" t="s">
        <v>321</v>
      </c>
      <c r="B26" s="33">
        <v>1</v>
      </c>
      <c r="C26" s="33">
        <v>1</v>
      </c>
      <c r="D26" s="33">
        <v>1</v>
      </c>
      <c r="E26" s="33">
        <v>1</v>
      </c>
      <c r="F26" s="33">
        <v>1</v>
      </c>
      <c r="G26" s="33">
        <v>2</v>
      </c>
      <c r="H26" s="33">
        <v>2</v>
      </c>
      <c r="I26" s="33">
        <v>1</v>
      </c>
      <c r="J26" s="33">
        <v>2</v>
      </c>
      <c r="K26" s="33">
        <v>1</v>
      </c>
      <c r="L26" s="33">
        <v>2</v>
      </c>
      <c r="M26" s="33">
        <v>1</v>
      </c>
      <c r="N26" s="33">
        <v>2</v>
      </c>
      <c r="O26" s="33">
        <v>1</v>
      </c>
      <c r="P26" s="33">
        <v>1</v>
      </c>
      <c r="Q26" s="33">
        <v>1</v>
      </c>
      <c r="R26" s="33">
        <f t="shared" si="0"/>
        <v>21</v>
      </c>
    </row>
    <row r="27" spans="1:18" x14ac:dyDescent="0.2">
      <c r="A27" s="40" t="s">
        <v>322</v>
      </c>
      <c r="B27" s="33">
        <v>1</v>
      </c>
      <c r="C27" s="33">
        <v>1</v>
      </c>
      <c r="D27" s="33">
        <v>1</v>
      </c>
      <c r="E27" s="33">
        <v>1</v>
      </c>
      <c r="F27" s="33">
        <v>1</v>
      </c>
      <c r="G27" s="33">
        <v>1</v>
      </c>
      <c r="H27" s="33">
        <v>1</v>
      </c>
      <c r="I27" s="33">
        <v>1</v>
      </c>
      <c r="J27" s="33">
        <v>1</v>
      </c>
      <c r="K27" s="33">
        <v>1</v>
      </c>
      <c r="L27" s="33">
        <v>2</v>
      </c>
      <c r="M27" s="33">
        <v>1</v>
      </c>
      <c r="N27" s="33">
        <v>1</v>
      </c>
      <c r="O27" s="33">
        <v>2</v>
      </c>
      <c r="P27" s="33">
        <v>2</v>
      </c>
      <c r="Q27" s="33">
        <v>1</v>
      </c>
      <c r="R27" s="33">
        <f t="shared" si="0"/>
        <v>19</v>
      </c>
    </row>
    <row r="28" spans="1:18" x14ac:dyDescent="0.2">
      <c r="A28" s="40" t="s">
        <v>323</v>
      </c>
      <c r="B28" s="33">
        <v>1</v>
      </c>
      <c r="C28" s="93">
        <v>2</v>
      </c>
      <c r="D28" s="33">
        <v>1</v>
      </c>
      <c r="E28" s="93">
        <v>2</v>
      </c>
      <c r="F28" s="93">
        <v>2</v>
      </c>
      <c r="G28" s="93">
        <v>2</v>
      </c>
      <c r="H28" s="93">
        <v>3</v>
      </c>
      <c r="I28" s="93">
        <v>3</v>
      </c>
      <c r="J28" s="33">
        <v>3</v>
      </c>
      <c r="K28" s="33">
        <v>1</v>
      </c>
      <c r="L28" s="33">
        <v>3</v>
      </c>
      <c r="M28" s="33">
        <v>3</v>
      </c>
      <c r="N28" s="33">
        <v>3</v>
      </c>
      <c r="O28" s="33">
        <v>4</v>
      </c>
      <c r="P28" s="33">
        <v>4</v>
      </c>
      <c r="Q28" s="33">
        <v>3</v>
      </c>
      <c r="R28" s="33">
        <f t="shared" si="0"/>
        <v>40</v>
      </c>
    </row>
    <row r="29" spans="1:18" x14ac:dyDescent="0.2">
      <c r="A29" s="40" t="s">
        <v>324</v>
      </c>
      <c r="B29" s="33">
        <v>1</v>
      </c>
      <c r="C29" s="93">
        <v>1</v>
      </c>
      <c r="D29" s="33">
        <v>1</v>
      </c>
      <c r="E29" s="93">
        <v>1</v>
      </c>
      <c r="F29" s="93">
        <v>1</v>
      </c>
      <c r="G29" s="93">
        <v>1</v>
      </c>
      <c r="H29" s="93">
        <v>1</v>
      </c>
      <c r="I29" s="93">
        <v>1</v>
      </c>
      <c r="J29" s="33">
        <v>1</v>
      </c>
      <c r="K29" s="33">
        <v>1</v>
      </c>
      <c r="L29" s="33">
        <v>1</v>
      </c>
      <c r="M29" s="33">
        <v>1</v>
      </c>
      <c r="N29" s="33">
        <v>1</v>
      </c>
      <c r="O29" s="33">
        <v>1</v>
      </c>
      <c r="P29" s="33">
        <v>1</v>
      </c>
      <c r="Q29" s="33">
        <v>1</v>
      </c>
      <c r="R29" s="33">
        <f t="shared" si="0"/>
        <v>16</v>
      </c>
    </row>
    <row r="30" spans="1:18" x14ac:dyDescent="0.2">
      <c r="A30" s="95" t="s">
        <v>325</v>
      </c>
      <c r="B30" s="33">
        <v>3</v>
      </c>
      <c r="C30" s="93">
        <v>3</v>
      </c>
      <c r="D30" s="33">
        <v>3</v>
      </c>
      <c r="E30" s="93">
        <v>3</v>
      </c>
      <c r="F30" s="93">
        <v>4</v>
      </c>
      <c r="G30" s="93">
        <v>3</v>
      </c>
      <c r="H30" s="93">
        <v>4</v>
      </c>
      <c r="I30" s="93">
        <v>4</v>
      </c>
      <c r="J30" s="33">
        <v>3</v>
      </c>
      <c r="K30" s="33">
        <v>2</v>
      </c>
      <c r="L30" s="33">
        <v>4</v>
      </c>
      <c r="M30" s="33">
        <v>2</v>
      </c>
      <c r="N30" s="33">
        <v>3</v>
      </c>
      <c r="O30" s="33">
        <v>4</v>
      </c>
      <c r="P30" s="33">
        <v>3</v>
      </c>
      <c r="Q30" s="33">
        <v>3</v>
      </c>
      <c r="R30" s="33">
        <f t="shared" si="0"/>
        <v>51</v>
      </c>
    </row>
    <row r="31" spans="1:18" x14ac:dyDescent="0.2">
      <c r="A31" s="95" t="s">
        <v>326</v>
      </c>
      <c r="B31" s="35">
        <v>3</v>
      </c>
      <c r="C31" s="94">
        <v>3</v>
      </c>
      <c r="D31" s="35">
        <v>3</v>
      </c>
      <c r="E31" s="94">
        <v>3</v>
      </c>
      <c r="F31" s="94">
        <v>4</v>
      </c>
      <c r="G31" s="94">
        <v>4</v>
      </c>
      <c r="H31" s="94">
        <v>4</v>
      </c>
      <c r="I31" s="94">
        <v>4</v>
      </c>
      <c r="J31" s="35">
        <v>4</v>
      </c>
      <c r="K31" s="35">
        <v>4</v>
      </c>
      <c r="L31" s="35">
        <v>4</v>
      </c>
      <c r="M31" s="35">
        <v>4</v>
      </c>
      <c r="N31" s="35">
        <v>4</v>
      </c>
      <c r="O31" s="35">
        <v>4</v>
      </c>
      <c r="P31" s="35">
        <v>4</v>
      </c>
      <c r="Q31" s="35">
        <v>4</v>
      </c>
      <c r="R31" s="33">
        <f t="shared" si="0"/>
        <v>60</v>
      </c>
    </row>
    <row r="32" spans="1:18" x14ac:dyDescent="0.2">
      <c r="A32" s="40" t="s">
        <v>327</v>
      </c>
      <c r="B32" s="33">
        <v>1</v>
      </c>
      <c r="C32" s="93">
        <v>2</v>
      </c>
      <c r="D32" s="33">
        <v>1</v>
      </c>
      <c r="E32" s="93">
        <v>1</v>
      </c>
      <c r="F32" s="93">
        <v>1</v>
      </c>
      <c r="G32" s="93">
        <v>1</v>
      </c>
      <c r="H32" s="93">
        <v>1</v>
      </c>
      <c r="I32" s="93">
        <v>1</v>
      </c>
      <c r="J32" s="33">
        <v>1</v>
      </c>
      <c r="K32" s="33">
        <v>1</v>
      </c>
      <c r="L32" s="33">
        <v>2</v>
      </c>
      <c r="M32" s="33">
        <v>2</v>
      </c>
      <c r="N32" s="33">
        <v>1</v>
      </c>
      <c r="O32" s="33">
        <v>1</v>
      </c>
      <c r="P32" s="33">
        <v>1</v>
      </c>
      <c r="Q32" s="33">
        <v>2</v>
      </c>
      <c r="R32" s="33">
        <f t="shared" si="0"/>
        <v>20</v>
      </c>
    </row>
    <row r="33" spans="1:18" x14ac:dyDescent="0.2">
      <c r="A33" s="40" t="s">
        <v>328</v>
      </c>
      <c r="B33" s="33">
        <v>1</v>
      </c>
      <c r="C33" s="93">
        <v>1</v>
      </c>
      <c r="D33" s="33">
        <v>1</v>
      </c>
      <c r="E33" s="93">
        <v>1</v>
      </c>
      <c r="F33" s="93">
        <v>1</v>
      </c>
      <c r="G33" s="93">
        <v>1</v>
      </c>
      <c r="H33" s="93">
        <v>2</v>
      </c>
      <c r="I33" s="93">
        <v>2</v>
      </c>
      <c r="J33" s="33">
        <v>1</v>
      </c>
      <c r="K33" s="33">
        <v>1</v>
      </c>
      <c r="L33" s="33">
        <v>3</v>
      </c>
      <c r="M33" s="33">
        <v>2</v>
      </c>
      <c r="N33" s="33">
        <v>2</v>
      </c>
      <c r="O33" s="33">
        <v>3</v>
      </c>
      <c r="P33" s="33">
        <v>3</v>
      </c>
      <c r="Q33" s="33">
        <v>1</v>
      </c>
      <c r="R33" s="33">
        <f t="shared" si="0"/>
        <v>26</v>
      </c>
    </row>
    <row r="34" spans="1:18" x14ac:dyDescent="0.2">
      <c r="A34" s="40" t="s">
        <v>329</v>
      </c>
      <c r="B34" s="33">
        <v>1</v>
      </c>
      <c r="C34" s="93">
        <v>2</v>
      </c>
      <c r="D34" s="33">
        <v>1</v>
      </c>
      <c r="E34" s="93">
        <v>4</v>
      </c>
      <c r="F34" s="93">
        <v>3</v>
      </c>
      <c r="G34" s="93">
        <v>3</v>
      </c>
      <c r="H34" s="93">
        <v>4</v>
      </c>
      <c r="I34" s="93">
        <v>3</v>
      </c>
      <c r="J34" s="33">
        <v>2</v>
      </c>
      <c r="K34" s="33">
        <v>1</v>
      </c>
      <c r="L34" s="33">
        <v>2</v>
      </c>
      <c r="M34" s="33">
        <v>3</v>
      </c>
      <c r="N34" s="33">
        <v>2</v>
      </c>
      <c r="O34" s="33">
        <v>2</v>
      </c>
      <c r="P34" s="33">
        <v>2</v>
      </c>
      <c r="Q34" s="33">
        <v>2</v>
      </c>
      <c r="R34" s="33">
        <f t="shared" si="0"/>
        <v>37</v>
      </c>
    </row>
    <row r="35" spans="1:18" x14ac:dyDescent="0.2">
      <c r="A35" s="40" t="s">
        <v>330</v>
      </c>
      <c r="B35" s="33">
        <v>1</v>
      </c>
      <c r="C35" s="93">
        <v>1</v>
      </c>
      <c r="D35" s="33">
        <v>1</v>
      </c>
      <c r="E35" s="93">
        <v>1</v>
      </c>
      <c r="F35" s="93">
        <v>1</v>
      </c>
      <c r="G35" s="93">
        <v>1</v>
      </c>
      <c r="H35" s="93">
        <v>1</v>
      </c>
      <c r="I35" s="93">
        <v>1</v>
      </c>
      <c r="J35" s="33">
        <v>1</v>
      </c>
      <c r="K35" s="33">
        <v>1</v>
      </c>
      <c r="L35" s="33">
        <v>1</v>
      </c>
      <c r="M35" s="33">
        <v>1</v>
      </c>
      <c r="N35" s="33">
        <v>1</v>
      </c>
      <c r="O35" s="33">
        <v>1</v>
      </c>
      <c r="P35" s="33">
        <v>1</v>
      </c>
      <c r="Q35" s="33">
        <v>1</v>
      </c>
      <c r="R35" s="33">
        <f t="shared" si="0"/>
        <v>16</v>
      </c>
    </row>
    <row r="36" spans="1:18" x14ac:dyDescent="0.2">
      <c r="A36" s="40" t="s">
        <v>331</v>
      </c>
      <c r="B36" s="33">
        <v>2</v>
      </c>
      <c r="C36" s="93">
        <v>2</v>
      </c>
      <c r="D36" s="33">
        <v>1</v>
      </c>
      <c r="E36" s="93">
        <v>2</v>
      </c>
      <c r="F36" s="93">
        <v>1</v>
      </c>
      <c r="G36" s="93">
        <v>2</v>
      </c>
      <c r="H36" s="93">
        <v>2</v>
      </c>
      <c r="I36" s="93">
        <v>2</v>
      </c>
      <c r="J36" s="33">
        <v>2</v>
      </c>
      <c r="K36" s="33">
        <v>1</v>
      </c>
      <c r="L36" s="33">
        <v>2</v>
      </c>
      <c r="M36" s="33">
        <v>1</v>
      </c>
      <c r="N36" s="33">
        <v>2</v>
      </c>
      <c r="O36" s="33">
        <v>2</v>
      </c>
      <c r="P36" s="33">
        <v>2</v>
      </c>
      <c r="Q36" s="33">
        <v>1</v>
      </c>
      <c r="R36" s="33">
        <f t="shared" si="0"/>
        <v>27</v>
      </c>
    </row>
    <row r="37" spans="1:18" x14ac:dyDescent="0.2">
      <c r="A37" s="40" t="s">
        <v>332</v>
      </c>
      <c r="B37" s="33">
        <v>1</v>
      </c>
      <c r="C37" s="93">
        <v>1</v>
      </c>
      <c r="D37" s="33">
        <v>3</v>
      </c>
      <c r="E37" s="93">
        <v>3</v>
      </c>
      <c r="F37" s="93">
        <v>1</v>
      </c>
      <c r="G37" s="93">
        <v>2</v>
      </c>
      <c r="H37" s="93">
        <v>4</v>
      </c>
      <c r="I37" s="93">
        <v>3</v>
      </c>
      <c r="J37" s="33">
        <v>3</v>
      </c>
      <c r="K37" s="33">
        <v>2</v>
      </c>
      <c r="L37" s="33">
        <v>4</v>
      </c>
      <c r="M37" s="33">
        <v>2</v>
      </c>
      <c r="N37" s="33">
        <v>4</v>
      </c>
      <c r="O37" s="33">
        <v>4</v>
      </c>
      <c r="P37" s="33">
        <v>3</v>
      </c>
      <c r="Q37" s="33">
        <v>4</v>
      </c>
      <c r="R37" s="33">
        <f t="shared" si="0"/>
        <v>44</v>
      </c>
    </row>
    <row r="38" spans="1:18" x14ac:dyDescent="0.2">
      <c r="A38" s="40" t="s">
        <v>333</v>
      </c>
      <c r="B38" s="33">
        <v>3</v>
      </c>
      <c r="C38" s="93">
        <v>2</v>
      </c>
      <c r="D38" s="33">
        <v>2</v>
      </c>
      <c r="E38" s="93">
        <v>3</v>
      </c>
      <c r="F38" s="93">
        <v>3</v>
      </c>
      <c r="G38" s="93">
        <v>2</v>
      </c>
      <c r="H38" s="93">
        <v>3</v>
      </c>
      <c r="I38" s="93">
        <v>3</v>
      </c>
      <c r="J38" s="33">
        <v>3</v>
      </c>
      <c r="K38" s="33">
        <v>2</v>
      </c>
      <c r="L38" s="33">
        <v>2</v>
      </c>
      <c r="M38" s="33">
        <v>3</v>
      </c>
      <c r="N38" s="33">
        <v>3</v>
      </c>
      <c r="O38" s="33">
        <v>3</v>
      </c>
      <c r="P38" s="33">
        <v>3</v>
      </c>
      <c r="Q38" s="33">
        <v>3</v>
      </c>
      <c r="R38" s="33">
        <f t="shared" si="0"/>
        <v>43</v>
      </c>
    </row>
    <row r="39" spans="1:18" x14ac:dyDescent="0.2">
      <c r="A39" s="40" t="s">
        <v>334</v>
      </c>
      <c r="B39" s="33">
        <v>2</v>
      </c>
      <c r="C39" s="93">
        <v>2</v>
      </c>
      <c r="D39" s="33">
        <v>3</v>
      </c>
      <c r="E39" s="93">
        <v>2</v>
      </c>
      <c r="F39" s="93">
        <v>2</v>
      </c>
      <c r="G39" s="93">
        <v>2</v>
      </c>
      <c r="H39" s="93">
        <v>1</v>
      </c>
      <c r="I39" s="93">
        <v>2</v>
      </c>
      <c r="J39" s="33">
        <v>2</v>
      </c>
      <c r="K39" s="33">
        <v>3</v>
      </c>
      <c r="L39" s="33">
        <v>4</v>
      </c>
      <c r="M39" s="33">
        <v>2</v>
      </c>
      <c r="N39" s="33">
        <v>2</v>
      </c>
      <c r="O39" s="33">
        <v>3</v>
      </c>
      <c r="P39" s="33">
        <v>2</v>
      </c>
      <c r="Q39" s="33">
        <v>3</v>
      </c>
      <c r="R39" s="33">
        <f t="shared" si="0"/>
        <v>37</v>
      </c>
    </row>
    <row r="40" spans="1:18" x14ac:dyDescent="0.2">
      <c r="A40" s="36" t="s">
        <v>335</v>
      </c>
      <c r="B40" s="8">
        <v>1</v>
      </c>
      <c r="C40" s="9">
        <v>1</v>
      </c>
      <c r="D40" s="8">
        <v>1</v>
      </c>
      <c r="E40" s="9">
        <v>1</v>
      </c>
      <c r="F40" s="9">
        <v>1</v>
      </c>
      <c r="G40" s="9">
        <v>1</v>
      </c>
      <c r="H40" s="9">
        <v>1</v>
      </c>
      <c r="I40" s="9">
        <v>1</v>
      </c>
      <c r="J40" s="8">
        <v>1</v>
      </c>
      <c r="K40" s="8">
        <v>1</v>
      </c>
      <c r="L40" s="8">
        <v>1</v>
      </c>
      <c r="M40" s="8">
        <v>1</v>
      </c>
      <c r="N40" s="8">
        <v>1</v>
      </c>
      <c r="O40" s="8">
        <v>1</v>
      </c>
      <c r="P40" s="8">
        <v>1</v>
      </c>
      <c r="Q40" s="8">
        <v>1</v>
      </c>
      <c r="R40" s="33">
        <f t="shared" si="0"/>
        <v>16</v>
      </c>
    </row>
    <row r="41" spans="1:18" x14ac:dyDescent="0.2">
      <c r="A41" s="36" t="s">
        <v>336</v>
      </c>
      <c r="B41" s="8">
        <v>1</v>
      </c>
      <c r="C41" s="9">
        <v>1</v>
      </c>
      <c r="D41" s="8">
        <v>1</v>
      </c>
      <c r="E41" s="9">
        <v>1</v>
      </c>
      <c r="F41" s="9">
        <v>1</v>
      </c>
      <c r="G41" s="9">
        <v>1</v>
      </c>
      <c r="H41" s="9">
        <v>1</v>
      </c>
      <c r="I41" s="9">
        <v>1</v>
      </c>
      <c r="J41" s="8">
        <v>1</v>
      </c>
      <c r="K41" s="8">
        <v>1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>
        <v>1</v>
      </c>
      <c r="R41" s="33">
        <f t="shared" si="0"/>
        <v>16</v>
      </c>
    </row>
    <row r="42" spans="1:18" x14ac:dyDescent="0.2">
      <c r="A42" s="36" t="s">
        <v>337</v>
      </c>
      <c r="B42" s="8">
        <v>1</v>
      </c>
      <c r="C42" s="9">
        <v>1</v>
      </c>
      <c r="D42" s="8">
        <v>2</v>
      </c>
      <c r="E42" s="9">
        <v>1</v>
      </c>
      <c r="F42" s="9">
        <v>1</v>
      </c>
      <c r="G42" s="9">
        <v>1</v>
      </c>
      <c r="H42" s="9">
        <v>2</v>
      </c>
      <c r="I42" s="9">
        <v>1</v>
      </c>
      <c r="J42" s="8">
        <v>1</v>
      </c>
      <c r="K42" s="8">
        <v>1</v>
      </c>
      <c r="L42" s="8">
        <v>2</v>
      </c>
      <c r="M42" s="8">
        <v>1</v>
      </c>
      <c r="N42" s="8">
        <v>1</v>
      </c>
      <c r="O42" s="8">
        <v>2</v>
      </c>
      <c r="P42" s="8">
        <v>1</v>
      </c>
      <c r="Q42" s="8">
        <v>1</v>
      </c>
      <c r="R42" s="33">
        <f t="shared" si="0"/>
        <v>20</v>
      </c>
    </row>
    <row r="43" spans="1:18" x14ac:dyDescent="0.2">
      <c r="A43" s="97" t="s">
        <v>338</v>
      </c>
      <c r="B43" s="8">
        <v>1</v>
      </c>
      <c r="C43" s="9">
        <v>1</v>
      </c>
      <c r="D43" s="8">
        <v>1</v>
      </c>
      <c r="E43" s="9">
        <v>1</v>
      </c>
      <c r="F43" s="9">
        <v>1</v>
      </c>
      <c r="G43" s="9">
        <v>1</v>
      </c>
      <c r="H43" s="9">
        <v>1</v>
      </c>
      <c r="I43" s="9">
        <v>1</v>
      </c>
      <c r="J43" s="8">
        <v>1</v>
      </c>
      <c r="K43" s="8">
        <v>1</v>
      </c>
      <c r="L43" s="8">
        <v>1</v>
      </c>
      <c r="M43" s="8">
        <v>1</v>
      </c>
      <c r="N43" s="8">
        <v>1</v>
      </c>
      <c r="O43" s="8">
        <v>2</v>
      </c>
      <c r="P43" s="8">
        <v>2</v>
      </c>
      <c r="Q43" s="8">
        <v>2</v>
      </c>
      <c r="R43" s="33">
        <f t="shared" si="0"/>
        <v>19</v>
      </c>
    </row>
    <row r="44" spans="1:18" x14ac:dyDescent="0.2">
      <c r="A44" s="40" t="s">
        <v>339</v>
      </c>
      <c r="B44" s="33">
        <v>2</v>
      </c>
      <c r="C44" s="93">
        <v>2</v>
      </c>
      <c r="D44" s="33">
        <v>2</v>
      </c>
      <c r="E44" s="93">
        <v>2</v>
      </c>
      <c r="F44" s="93">
        <v>3</v>
      </c>
      <c r="G44" s="93">
        <v>2</v>
      </c>
      <c r="H44" s="93">
        <v>2</v>
      </c>
      <c r="I44" s="93">
        <v>3</v>
      </c>
      <c r="J44" s="33">
        <v>2</v>
      </c>
      <c r="K44" s="33">
        <v>2</v>
      </c>
      <c r="L44" s="33">
        <v>4</v>
      </c>
      <c r="M44" s="33">
        <v>3</v>
      </c>
      <c r="N44" s="33">
        <v>3</v>
      </c>
      <c r="O44" s="33">
        <v>4</v>
      </c>
      <c r="P44" s="33">
        <v>4</v>
      </c>
      <c r="Q44" s="33">
        <v>3</v>
      </c>
      <c r="R44" s="33">
        <f t="shared" si="0"/>
        <v>43</v>
      </c>
    </row>
    <row r="45" spans="1:18" x14ac:dyDescent="0.2">
      <c r="A45" s="36" t="s">
        <v>340</v>
      </c>
      <c r="B45" s="8">
        <v>3</v>
      </c>
      <c r="C45" s="9">
        <v>1</v>
      </c>
      <c r="D45" s="8">
        <v>2</v>
      </c>
      <c r="E45" s="9">
        <v>1</v>
      </c>
      <c r="F45" s="9">
        <v>1</v>
      </c>
      <c r="G45" s="9">
        <v>1</v>
      </c>
      <c r="H45" s="9">
        <v>2</v>
      </c>
      <c r="I45" s="9">
        <v>1</v>
      </c>
      <c r="J45" s="8">
        <v>1</v>
      </c>
      <c r="K45" s="8">
        <v>2</v>
      </c>
      <c r="L45" s="8">
        <v>3</v>
      </c>
      <c r="M45" s="8">
        <v>1</v>
      </c>
      <c r="N45" s="8">
        <v>1</v>
      </c>
      <c r="O45" s="8">
        <v>2</v>
      </c>
      <c r="P45" s="8">
        <v>3</v>
      </c>
      <c r="Q45" s="8">
        <v>1</v>
      </c>
      <c r="R45" s="33">
        <f t="shared" si="0"/>
        <v>26</v>
      </c>
    </row>
    <row r="46" spans="1:18" x14ac:dyDescent="0.2">
      <c r="A46" s="36" t="s">
        <v>341</v>
      </c>
      <c r="B46" s="8">
        <v>3</v>
      </c>
      <c r="C46" s="9">
        <v>1</v>
      </c>
      <c r="D46" s="8">
        <v>2</v>
      </c>
      <c r="E46" s="9">
        <v>3</v>
      </c>
      <c r="F46" s="9">
        <v>1</v>
      </c>
      <c r="G46" s="9">
        <v>1</v>
      </c>
      <c r="H46" s="9">
        <v>2</v>
      </c>
      <c r="I46" s="9">
        <v>1</v>
      </c>
      <c r="J46" s="8">
        <v>3</v>
      </c>
      <c r="K46" s="8">
        <v>3</v>
      </c>
      <c r="L46" s="8">
        <v>3</v>
      </c>
      <c r="M46" s="8">
        <v>1</v>
      </c>
      <c r="N46" s="8">
        <v>2</v>
      </c>
      <c r="O46" s="8">
        <v>1</v>
      </c>
      <c r="P46" s="8">
        <v>2</v>
      </c>
      <c r="Q46" s="8">
        <v>1</v>
      </c>
      <c r="R46" s="33">
        <f t="shared" si="0"/>
        <v>30</v>
      </c>
    </row>
    <row r="47" spans="1:18" x14ac:dyDescent="0.2">
      <c r="A47" s="36" t="s">
        <v>342</v>
      </c>
      <c r="B47" s="8">
        <v>1</v>
      </c>
      <c r="C47" s="9">
        <v>1</v>
      </c>
      <c r="D47" s="8">
        <v>1</v>
      </c>
      <c r="E47" s="9">
        <v>1</v>
      </c>
      <c r="F47" s="9">
        <v>1</v>
      </c>
      <c r="G47" s="9">
        <v>1</v>
      </c>
      <c r="H47" s="9">
        <v>1</v>
      </c>
      <c r="I47" s="9">
        <v>1</v>
      </c>
      <c r="J47" s="8">
        <v>1</v>
      </c>
      <c r="K47" s="8">
        <v>1</v>
      </c>
      <c r="L47" s="8">
        <v>2</v>
      </c>
      <c r="M47" s="8">
        <v>1</v>
      </c>
      <c r="N47" s="8">
        <v>1</v>
      </c>
      <c r="O47" s="8">
        <v>1</v>
      </c>
      <c r="P47" s="8">
        <v>1</v>
      </c>
      <c r="Q47" s="8">
        <v>1</v>
      </c>
      <c r="R47" s="33">
        <f t="shared" si="0"/>
        <v>17</v>
      </c>
    </row>
    <row r="48" spans="1:18" x14ac:dyDescent="0.2">
      <c r="A48" s="38" t="s">
        <v>343</v>
      </c>
      <c r="B48" s="8">
        <v>1</v>
      </c>
      <c r="C48" s="9">
        <v>2</v>
      </c>
      <c r="D48" s="8">
        <v>1</v>
      </c>
      <c r="E48" s="9">
        <v>1</v>
      </c>
      <c r="F48" s="9">
        <v>1</v>
      </c>
      <c r="G48" s="9">
        <v>1</v>
      </c>
      <c r="H48" s="9">
        <v>1</v>
      </c>
      <c r="I48" s="9">
        <v>2</v>
      </c>
      <c r="J48" s="8">
        <v>2</v>
      </c>
      <c r="K48" s="8">
        <v>3</v>
      </c>
      <c r="L48" s="8">
        <v>1</v>
      </c>
      <c r="M48" s="8">
        <v>2</v>
      </c>
      <c r="N48" s="8">
        <v>2</v>
      </c>
      <c r="O48" s="8">
        <v>2</v>
      </c>
      <c r="P48" s="8">
        <v>2</v>
      </c>
      <c r="Q48" s="8">
        <v>2</v>
      </c>
      <c r="R48" s="33">
        <f t="shared" si="0"/>
        <v>26</v>
      </c>
    </row>
    <row r="49" spans="1:18" x14ac:dyDescent="0.2">
      <c r="A49" s="36" t="s">
        <v>344</v>
      </c>
      <c r="B49" s="8">
        <v>1</v>
      </c>
      <c r="C49" s="9">
        <v>1</v>
      </c>
      <c r="D49" s="8">
        <v>1</v>
      </c>
      <c r="E49" s="9">
        <v>1</v>
      </c>
      <c r="F49" s="9">
        <v>1</v>
      </c>
      <c r="G49" s="9">
        <v>1</v>
      </c>
      <c r="H49" s="9">
        <v>1</v>
      </c>
      <c r="I49" s="9">
        <v>1</v>
      </c>
      <c r="J49" s="8">
        <v>1</v>
      </c>
      <c r="K49" s="8">
        <v>1</v>
      </c>
      <c r="L49" s="8">
        <v>2</v>
      </c>
      <c r="M49" s="8">
        <v>1</v>
      </c>
      <c r="N49" s="8">
        <v>1</v>
      </c>
      <c r="O49" s="8">
        <v>1</v>
      </c>
      <c r="P49" s="8">
        <v>1</v>
      </c>
      <c r="Q49" s="8">
        <v>1</v>
      </c>
      <c r="R49" s="33">
        <f t="shared" si="0"/>
        <v>17</v>
      </c>
    </row>
    <row r="50" spans="1:18" x14ac:dyDescent="0.2">
      <c r="A50" s="38" t="s">
        <v>345</v>
      </c>
      <c r="B50" s="8">
        <v>1</v>
      </c>
      <c r="C50" s="9">
        <v>1</v>
      </c>
      <c r="D50" s="8">
        <v>1</v>
      </c>
      <c r="E50" s="9">
        <v>1</v>
      </c>
      <c r="F50" s="9">
        <v>1</v>
      </c>
      <c r="G50" s="9">
        <v>1</v>
      </c>
      <c r="H50" s="9">
        <v>1</v>
      </c>
      <c r="I50" s="9">
        <v>1</v>
      </c>
      <c r="J50" s="8">
        <v>1</v>
      </c>
      <c r="K50" s="8">
        <v>1</v>
      </c>
      <c r="L50" s="8">
        <v>2</v>
      </c>
      <c r="M50" s="8">
        <v>1</v>
      </c>
      <c r="N50" s="8">
        <v>1</v>
      </c>
      <c r="O50" s="8">
        <v>1</v>
      </c>
      <c r="P50" s="8">
        <v>1</v>
      </c>
      <c r="Q50" s="8">
        <v>1</v>
      </c>
      <c r="R50" s="33">
        <f t="shared" si="0"/>
        <v>17</v>
      </c>
    </row>
    <row r="51" spans="1:18" x14ac:dyDescent="0.2">
      <c r="A51" s="99" t="s">
        <v>346</v>
      </c>
      <c r="B51" s="40">
        <v>2</v>
      </c>
      <c r="C51" s="93">
        <v>2</v>
      </c>
      <c r="D51" s="33">
        <v>1</v>
      </c>
      <c r="E51" s="93">
        <v>2</v>
      </c>
      <c r="F51" s="93">
        <v>3</v>
      </c>
      <c r="G51" s="93">
        <v>1</v>
      </c>
      <c r="H51" s="93">
        <v>2</v>
      </c>
      <c r="I51" s="93">
        <v>3</v>
      </c>
      <c r="J51" s="33">
        <v>2</v>
      </c>
      <c r="K51" s="33">
        <v>2</v>
      </c>
      <c r="L51" s="33">
        <v>3</v>
      </c>
      <c r="M51" s="33">
        <v>1</v>
      </c>
      <c r="N51" s="33">
        <v>1</v>
      </c>
      <c r="O51" s="33">
        <v>2</v>
      </c>
      <c r="P51" s="98">
        <v>2</v>
      </c>
      <c r="Q51" s="8">
        <v>1</v>
      </c>
      <c r="R51" s="33">
        <f t="shared" si="0"/>
        <v>30</v>
      </c>
    </row>
    <row r="52" spans="1:18" x14ac:dyDescent="0.2">
      <c r="A52" s="32" t="s">
        <v>347</v>
      </c>
      <c r="B52" s="33">
        <v>1</v>
      </c>
      <c r="C52" s="33">
        <v>1</v>
      </c>
      <c r="D52" s="33">
        <v>1</v>
      </c>
      <c r="E52" s="33">
        <v>1</v>
      </c>
      <c r="F52" s="33">
        <v>1</v>
      </c>
      <c r="G52" s="33">
        <v>1</v>
      </c>
      <c r="H52" s="33">
        <v>1</v>
      </c>
      <c r="I52" s="33">
        <v>1</v>
      </c>
      <c r="J52" s="33">
        <v>1</v>
      </c>
      <c r="K52" s="33">
        <v>1</v>
      </c>
      <c r="L52" s="33">
        <v>1</v>
      </c>
      <c r="M52" s="33">
        <v>1</v>
      </c>
      <c r="N52" s="33">
        <v>1</v>
      </c>
      <c r="O52" s="33">
        <v>1</v>
      </c>
      <c r="P52" s="33">
        <v>1</v>
      </c>
      <c r="Q52" s="33">
        <v>1</v>
      </c>
      <c r="R52" s="33">
        <f t="shared" si="0"/>
        <v>16</v>
      </c>
    </row>
    <row r="53" spans="1:18" x14ac:dyDescent="0.2">
      <c r="A53" s="32" t="s">
        <v>348</v>
      </c>
      <c r="B53" s="33">
        <v>2</v>
      </c>
      <c r="C53" s="33">
        <v>2</v>
      </c>
      <c r="D53" s="33">
        <v>2</v>
      </c>
      <c r="E53" s="33">
        <v>3</v>
      </c>
      <c r="F53" s="33">
        <v>3</v>
      </c>
      <c r="G53" s="33">
        <v>2</v>
      </c>
      <c r="H53" s="33">
        <v>3</v>
      </c>
      <c r="I53" s="33">
        <v>3</v>
      </c>
      <c r="J53" s="33">
        <v>2</v>
      </c>
      <c r="K53" s="33">
        <v>1</v>
      </c>
      <c r="L53" s="33">
        <v>3</v>
      </c>
      <c r="M53" s="33">
        <v>2</v>
      </c>
      <c r="N53" s="33">
        <v>3</v>
      </c>
      <c r="O53" s="33">
        <v>3</v>
      </c>
      <c r="P53" s="33">
        <v>3</v>
      </c>
      <c r="Q53" s="33">
        <v>2</v>
      </c>
      <c r="R53" s="33">
        <f t="shared" si="0"/>
        <v>39</v>
      </c>
    </row>
    <row r="54" spans="1:18" x14ac:dyDescent="0.2">
      <c r="A54" s="32" t="s">
        <v>349</v>
      </c>
      <c r="B54" s="33">
        <v>1</v>
      </c>
      <c r="C54" s="33">
        <v>1</v>
      </c>
      <c r="D54" s="33">
        <v>1</v>
      </c>
      <c r="E54" s="33">
        <v>1</v>
      </c>
      <c r="F54" s="33">
        <v>1</v>
      </c>
      <c r="G54" s="33">
        <v>1</v>
      </c>
      <c r="H54" s="33">
        <v>1</v>
      </c>
      <c r="I54" s="33">
        <v>1</v>
      </c>
      <c r="J54" s="33">
        <v>1</v>
      </c>
      <c r="K54" s="33">
        <v>1</v>
      </c>
      <c r="L54" s="33">
        <v>1</v>
      </c>
      <c r="M54" s="33">
        <v>1</v>
      </c>
      <c r="N54" s="33">
        <v>1</v>
      </c>
      <c r="O54" s="33">
        <v>1</v>
      </c>
      <c r="P54" s="33">
        <v>1</v>
      </c>
      <c r="Q54" s="33">
        <v>1</v>
      </c>
      <c r="R54" s="33">
        <f t="shared" si="0"/>
        <v>16</v>
      </c>
    </row>
    <row r="55" spans="1:18" x14ac:dyDescent="0.2">
      <c r="A55" s="32" t="s">
        <v>350</v>
      </c>
      <c r="B55" s="33">
        <v>1</v>
      </c>
      <c r="C55" s="33">
        <v>3</v>
      </c>
      <c r="D55" s="33">
        <v>2</v>
      </c>
      <c r="E55" s="33">
        <v>4</v>
      </c>
      <c r="F55" s="33">
        <v>2</v>
      </c>
      <c r="G55" s="33">
        <v>4</v>
      </c>
      <c r="H55" s="33">
        <v>2</v>
      </c>
      <c r="I55" s="33">
        <v>3</v>
      </c>
      <c r="J55" s="33">
        <v>4</v>
      </c>
      <c r="K55" s="33">
        <v>3</v>
      </c>
      <c r="L55" s="33">
        <v>4</v>
      </c>
      <c r="M55" s="33">
        <v>2</v>
      </c>
      <c r="N55" s="33">
        <v>3</v>
      </c>
      <c r="O55" s="33">
        <v>2</v>
      </c>
      <c r="P55" s="33">
        <v>2</v>
      </c>
      <c r="Q55" s="33">
        <v>3</v>
      </c>
      <c r="R55" s="33">
        <f t="shared" si="0"/>
        <v>44</v>
      </c>
    </row>
    <row r="56" spans="1:18" x14ac:dyDescent="0.2">
      <c r="A56" s="32" t="s">
        <v>351</v>
      </c>
      <c r="B56" s="33">
        <v>1</v>
      </c>
      <c r="C56" s="33">
        <v>1</v>
      </c>
      <c r="D56" s="33">
        <v>1</v>
      </c>
      <c r="E56" s="33">
        <v>2</v>
      </c>
      <c r="F56" s="33">
        <v>1</v>
      </c>
      <c r="G56" s="33">
        <v>2</v>
      </c>
      <c r="H56" s="33">
        <v>2</v>
      </c>
      <c r="I56" s="33">
        <v>2</v>
      </c>
      <c r="J56" s="33">
        <v>2</v>
      </c>
      <c r="K56" s="33">
        <v>1</v>
      </c>
      <c r="L56" s="33">
        <v>2</v>
      </c>
      <c r="M56" s="33">
        <v>1</v>
      </c>
      <c r="N56" s="33">
        <v>1</v>
      </c>
      <c r="O56" s="33">
        <v>2</v>
      </c>
      <c r="P56" s="33">
        <v>2</v>
      </c>
      <c r="Q56" s="33">
        <v>2</v>
      </c>
      <c r="R56" s="33">
        <f t="shared" si="0"/>
        <v>25</v>
      </c>
    </row>
    <row r="57" spans="1:18" x14ac:dyDescent="0.2">
      <c r="A57" s="32" t="s">
        <v>352</v>
      </c>
      <c r="B57" s="33">
        <v>1</v>
      </c>
      <c r="C57" s="33">
        <v>1</v>
      </c>
      <c r="D57" s="33">
        <v>1</v>
      </c>
      <c r="E57" s="33">
        <v>1</v>
      </c>
      <c r="F57" s="33">
        <v>1</v>
      </c>
      <c r="G57" s="33">
        <v>1</v>
      </c>
      <c r="H57" s="33">
        <v>1</v>
      </c>
      <c r="I57" s="33">
        <v>1</v>
      </c>
      <c r="J57" s="33">
        <v>1</v>
      </c>
      <c r="K57" s="33">
        <v>1</v>
      </c>
      <c r="L57" s="33">
        <v>2</v>
      </c>
      <c r="M57" s="33">
        <v>1</v>
      </c>
      <c r="N57" s="33">
        <v>1</v>
      </c>
      <c r="O57" s="33">
        <v>1</v>
      </c>
      <c r="P57" s="33">
        <v>1</v>
      </c>
      <c r="Q57" s="33">
        <v>1</v>
      </c>
      <c r="R57" s="33">
        <f t="shared" si="0"/>
        <v>17</v>
      </c>
    </row>
    <row r="58" spans="1:18" x14ac:dyDescent="0.2">
      <c r="A58" s="32" t="s">
        <v>353</v>
      </c>
      <c r="B58" s="33">
        <v>3</v>
      </c>
      <c r="C58" s="33">
        <v>3</v>
      </c>
      <c r="D58" s="33">
        <v>2</v>
      </c>
      <c r="E58" s="33">
        <v>1</v>
      </c>
      <c r="F58" s="33">
        <v>2</v>
      </c>
      <c r="G58" s="33">
        <v>1</v>
      </c>
      <c r="H58" s="33">
        <v>2</v>
      </c>
      <c r="I58" s="33">
        <v>2</v>
      </c>
      <c r="J58" s="33">
        <v>1</v>
      </c>
      <c r="K58" s="33">
        <v>1</v>
      </c>
      <c r="L58" s="33">
        <v>3</v>
      </c>
      <c r="M58" s="33">
        <v>1</v>
      </c>
      <c r="N58" s="33">
        <v>1</v>
      </c>
      <c r="O58" s="33">
        <v>3</v>
      </c>
      <c r="P58" s="33">
        <v>2</v>
      </c>
      <c r="Q58" s="33">
        <v>1</v>
      </c>
      <c r="R58" s="33">
        <f t="shared" si="0"/>
        <v>29</v>
      </c>
    </row>
    <row r="59" spans="1:18" x14ac:dyDescent="0.2">
      <c r="A59" s="32" t="s">
        <v>354</v>
      </c>
      <c r="B59" s="33">
        <v>1</v>
      </c>
      <c r="C59" s="33">
        <v>1</v>
      </c>
      <c r="D59" s="33">
        <v>1</v>
      </c>
      <c r="E59" s="33">
        <v>1</v>
      </c>
      <c r="F59" s="33">
        <v>2</v>
      </c>
      <c r="G59" s="33">
        <v>1</v>
      </c>
      <c r="H59" s="33">
        <v>1</v>
      </c>
      <c r="I59" s="33">
        <v>2</v>
      </c>
      <c r="J59" s="33">
        <v>1</v>
      </c>
      <c r="K59" s="33">
        <v>1</v>
      </c>
      <c r="L59" s="33">
        <v>3</v>
      </c>
      <c r="M59" s="33">
        <v>1</v>
      </c>
      <c r="N59" s="33">
        <v>2</v>
      </c>
      <c r="O59" s="33">
        <v>2</v>
      </c>
      <c r="P59" s="33">
        <v>2</v>
      </c>
      <c r="Q59" s="33">
        <v>1</v>
      </c>
      <c r="R59" s="33">
        <f t="shared" si="0"/>
        <v>23</v>
      </c>
    </row>
    <row r="60" spans="1:18" x14ac:dyDescent="0.2">
      <c r="A60" s="32" t="s">
        <v>355</v>
      </c>
      <c r="B60" s="33">
        <v>1</v>
      </c>
      <c r="C60" s="33">
        <v>1</v>
      </c>
      <c r="D60" s="33">
        <v>2</v>
      </c>
      <c r="E60" s="33">
        <v>1</v>
      </c>
      <c r="F60" s="33">
        <v>1</v>
      </c>
      <c r="G60" s="33">
        <v>1</v>
      </c>
      <c r="H60" s="33">
        <v>1</v>
      </c>
      <c r="I60" s="33">
        <v>1</v>
      </c>
      <c r="J60" s="33">
        <v>1</v>
      </c>
      <c r="K60" s="33">
        <v>1</v>
      </c>
      <c r="L60" s="33">
        <v>1</v>
      </c>
      <c r="M60" s="33">
        <v>1</v>
      </c>
      <c r="N60" s="33">
        <v>1</v>
      </c>
      <c r="O60" s="33">
        <v>1</v>
      </c>
      <c r="P60" s="33">
        <v>1</v>
      </c>
      <c r="Q60" s="33">
        <v>1</v>
      </c>
      <c r="R60" s="33">
        <f t="shared" si="0"/>
        <v>17</v>
      </c>
    </row>
    <row r="61" spans="1:18" x14ac:dyDescent="0.2">
      <c r="A61" s="32" t="s">
        <v>356</v>
      </c>
      <c r="B61" s="33">
        <v>1</v>
      </c>
      <c r="C61" s="33">
        <v>1</v>
      </c>
      <c r="D61" s="33">
        <v>1</v>
      </c>
      <c r="E61" s="33">
        <v>1</v>
      </c>
      <c r="F61" s="33">
        <v>1</v>
      </c>
      <c r="G61" s="33">
        <v>1</v>
      </c>
      <c r="H61" s="33">
        <v>1</v>
      </c>
      <c r="I61" s="33">
        <v>1</v>
      </c>
      <c r="J61" s="33">
        <v>1</v>
      </c>
      <c r="K61" s="33">
        <v>1</v>
      </c>
      <c r="L61" s="33">
        <v>2</v>
      </c>
      <c r="M61" s="33">
        <v>1</v>
      </c>
      <c r="N61" s="33">
        <v>1</v>
      </c>
      <c r="O61" s="33">
        <v>2</v>
      </c>
      <c r="P61" s="33">
        <v>2</v>
      </c>
      <c r="Q61" s="33">
        <v>2</v>
      </c>
      <c r="R61" s="33">
        <f t="shared" si="0"/>
        <v>20</v>
      </c>
    </row>
    <row r="62" spans="1:18" x14ac:dyDescent="0.2">
      <c r="A62" s="32" t="s">
        <v>357</v>
      </c>
      <c r="B62" s="33">
        <v>2</v>
      </c>
      <c r="C62" s="33">
        <v>2</v>
      </c>
      <c r="D62" s="33">
        <v>2</v>
      </c>
      <c r="E62" s="33">
        <v>2</v>
      </c>
      <c r="F62" s="33">
        <v>1</v>
      </c>
      <c r="G62" s="33">
        <v>1</v>
      </c>
      <c r="H62" s="33">
        <v>1</v>
      </c>
      <c r="I62" s="33">
        <v>1</v>
      </c>
      <c r="J62" s="33">
        <v>1</v>
      </c>
      <c r="K62" s="33">
        <v>1</v>
      </c>
      <c r="L62" s="33">
        <v>2</v>
      </c>
      <c r="M62" s="33">
        <v>1</v>
      </c>
      <c r="N62" s="33">
        <v>2</v>
      </c>
      <c r="O62" s="33">
        <v>2</v>
      </c>
      <c r="P62" s="33">
        <v>1</v>
      </c>
      <c r="Q62" s="33">
        <v>1</v>
      </c>
      <c r="R62" s="33">
        <f t="shared" si="0"/>
        <v>23</v>
      </c>
    </row>
    <row r="63" spans="1:18" x14ac:dyDescent="0.2">
      <c r="A63" s="32" t="s">
        <v>358</v>
      </c>
      <c r="B63" s="33">
        <v>1</v>
      </c>
      <c r="C63" s="33">
        <v>1</v>
      </c>
      <c r="D63" s="33">
        <v>1</v>
      </c>
      <c r="E63" s="33">
        <v>1</v>
      </c>
      <c r="F63" s="33">
        <v>1</v>
      </c>
      <c r="G63" s="33">
        <v>1</v>
      </c>
      <c r="H63" s="33">
        <v>1</v>
      </c>
      <c r="I63" s="33">
        <v>1</v>
      </c>
      <c r="J63" s="33">
        <v>1</v>
      </c>
      <c r="K63" s="33">
        <v>1</v>
      </c>
      <c r="L63" s="33">
        <v>1</v>
      </c>
      <c r="M63" s="33">
        <v>1</v>
      </c>
      <c r="N63" s="33">
        <v>1</v>
      </c>
      <c r="O63" s="33">
        <v>1</v>
      </c>
      <c r="P63" s="33">
        <v>1</v>
      </c>
      <c r="Q63" s="33">
        <v>1</v>
      </c>
      <c r="R63" s="33">
        <f t="shared" si="0"/>
        <v>16</v>
      </c>
    </row>
    <row r="64" spans="1:18" x14ac:dyDescent="0.2">
      <c r="A64" s="32" t="s">
        <v>359</v>
      </c>
      <c r="B64" s="33">
        <v>1</v>
      </c>
      <c r="C64" s="33">
        <v>2</v>
      </c>
      <c r="D64" s="33">
        <v>2</v>
      </c>
      <c r="E64" s="33">
        <v>2</v>
      </c>
      <c r="F64" s="33">
        <v>2</v>
      </c>
      <c r="G64" s="33">
        <v>2</v>
      </c>
      <c r="H64" s="33">
        <v>1</v>
      </c>
      <c r="I64" s="33">
        <v>1</v>
      </c>
      <c r="J64" s="33">
        <v>1</v>
      </c>
      <c r="K64" s="33">
        <v>2</v>
      </c>
      <c r="L64" s="33">
        <v>3</v>
      </c>
      <c r="M64" s="33">
        <v>2</v>
      </c>
      <c r="N64" s="33">
        <v>3</v>
      </c>
      <c r="O64" s="33">
        <v>2</v>
      </c>
      <c r="P64" s="33">
        <v>1</v>
      </c>
      <c r="Q64" s="33">
        <v>2</v>
      </c>
      <c r="R64" s="33">
        <f t="shared" si="0"/>
        <v>29</v>
      </c>
    </row>
    <row r="65" spans="1:18" x14ac:dyDescent="0.2">
      <c r="A65" s="32" t="s">
        <v>360</v>
      </c>
      <c r="B65" s="33">
        <v>1</v>
      </c>
      <c r="C65" s="33">
        <v>1</v>
      </c>
      <c r="D65" s="33">
        <v>1</v>
      </c>
      <c r="E65" s="33">
        <v>1</v>
      </c>
      <c r="F65" s="33">
        <v>1</v>
      </c>
      <c r="G65" s="33">
        <v>1</v>
      </c>
      <c r="H65" s="33">
        <v>1</v>
      </c>
      <c r="I65" s="33">
        <v>1</v>
      </c>
      <c r="J65" s="33">
        <v>1</v>
      </c>
      <c r="K65" s="33">
        <v>1</v>
      </c>
      <c r="L65" s="33">
        <v>2</v>
      </c>
      <c r="M65" s="33">
        <v>1</v>
      </c>
      <c r="N65" s="33">
        <v>2</v>
      </c>
      <c r="O65" s="33">
        <v>1</v>
      </c>
      <c r="P65" s="33">
        <v>1</v>
      </c>
      <c r="Q65" s="33">
        <v>1</v>
      </c>
      <c r="R65" s="33">
        <f t="shared" si="0"/>
        <v>18</v>
      </c>
    </row>
    <row r="66" spans="1:18" x14ac:dyDescent="0.2">
      <c r="A66" s="32" t="s">
        <v>361</v>
      </c>
      <c r="B66" s="33">
        <v>2</v>
      </c>
      <c r="C66" s="33">
        <v>3</v>
      </c>
      <c r="D66" s="33">
        <v>3</v>
      </c>
      <c r="E66" s="33">
        <v>2</v>
      </c>
      <c r="F66" s="33">
        <v>2</v>
      </c>
      <c r="G66" s="33">
        <v>2</v>
      </c>
      <c r="H66" s="33">
        <v>3</v>
      </c>
      <c r="I66" s="33">
        <v>2</v>
      </c>
      <c r="J66" s="33">
        <v>3</v>
      </c>
      <c r="K66" s="33">
        <v>2</v>
      </c>
      <c r="L66" s="33">
        <v>3</v>
      </c>
      <c r="M66" s="33">
        <v>2</v>
      </c>
      <c r="N66" s="33">
        <v>2</v>
      </c>
      <c r="O66" s="33">
        <v>3</v>
      </c>
      <c r="P66" s="33">
        <v>3</v>
      </c>
      <c r="Q66" s="33">
        <v>2</v>
      </c>
      <c r="R66" s="33">
        <f t="shared" ref="R66:R129" si="1">SUM(B66:Q66)</f>
        <v>39</v>
      </c>
    </row>
    <row r="67" spans="1:18" x14ac:dyDescent="0.2">
      <c r="A67" s="32" t="s">
        <v>362</v>
      </c>
      <c r="B67" s="33">
        <v>1</v>
      </c>
      <c r="C67" s="33">
        <v>1</v>
      </c>
      <c r="D67" s="33">
        <v>1</v>
      </c>
      <c r="E67" s="33">
        <v>1</v>
      </c>
      <c r="F67" s="33">
        <v>1</v>
      </c>
      <c r="G67" s="33">
        <v>1</v>
      </c>
      <c r="H67" s="33">
        <v>2</v>
      </c>
      <c r="I67" s="33">
        <v>1</v>
      </c>
      <c r="J67" s="33">
        <v>2</v>
      </c>
      <c r="K67" s="33">
        <v>2</v>
      </c>
      <c r="L67" s="33">
        <v>3</v>
      </c>
      <c r="M67" s="33">
        <v>1</v>
      </c>
      <c r="N67" s="33">
        <v>1</v>
      </c>
      <c r="O67" s="33">
        <v>3</v>
      </c>
      <c r="P67" s="33">
        <v>2</v>
      </c>
      <c r="Q67" s="33">
        <v>1</v>
      </c>
      <c r="R67" s="33">
        <f t="shared" si="1"/>
        <v>24</v>
      </c>
    </row>
    <row r="68" spans="1:18" x14ac:dyDescent="0.2">
      <c r="A68" s="32" t="s">
        <v>363</v>
      </c>
      <c r="B68" s="33">
        <v>3</v>
      </c>
      <c r="C68" s="33">
        <v>3</v>
      </c>
      <c r="D68" s="33">
        <v>3</v>
      </c>
      <c r="E68" s="33">
        <v>3</v>
      </c>
      <c r="F68" s="33">
        <v>3</v>
      </c>
      <c r="G68" s="33">
        <v>3</v>
      </c>
      <c r="H68" s="33">
        <v>3</v>
      </c>
      <c r="I68" s="33">
        <v>3</v>
      </c>
      <c r="J68" s="33">
        <v>1</v>
      </c>
      <c r="K68" s="33">
        <v>1</v>
      </c>
      <c r="L68" s="33">
        <v>3</v>
      </c>
      <c r="M68" s="33">
        <v>2</v>
      </c>
      <c r="N68" s="33">
        <v>2</v>
      </c>
      <c r="O68" s="33">
        <v>2</v>
      </c>
      <c r="P68" s="33">
        <v>2</v>
      </c>
      <c r="Q68" s="33">
        <v>2</v>
      </c>
      <c r="R68" s="33">
        <f t="shared" si="1"/>
        <v>39</v>
      </c>
    </row>
    <row r="69" spans="1:18" x14ac:dyDescent="0.2">
      <c r="A69" s="32" t="s">
        <v>364</v>
      </c>
      <c r="B69" s="33">
        <v>3</v>
      </c>
      <c r="C69" s="33">
        <v>2</v>
      </c>
      <c r="D69" s="33">
        <v>2</v>
      </c>
      <c r="E69" s="33">
        <v>2</v>
      </c>
      <c r="F69" s="33">
        <v>2</v>
      </c>
      <c r="G69" s="33">
        <v>2</v>
      </c>
      <c r="H69" s="33">
        <v>2</v>
      </c>
      <c r="I69" s="33">
        <v>2</v>
      </c>
      <c r="J69" s="33">
        <v>2</v>
      </c>
      <c r="K69" s="33">
        <v>1</v>
      </c>
      <c r="L69" s="33">
        <v>2</v>
      </c>
      <c r="M69" s="33">
        <v>2</v>
      </c>
      <c r="N69" s="33">
        <v>2</v>
      </c>
      <c r="O69" s="33">
        <v>2</v>
      </c>
      <c r="P69" s="33">
        <v>2</v>
      </c>
      <c r="Q69" s="33">
        <v>2</v>
      </c>
      <c r="R69" s="33">
        <f t="shared" si="1"/>
        <v>32</v>
      </c>
    </row>
    <row r="70" spans="1:18" x14ac:dyDescent="0.2">
      <c r="A70" s="32" t="s">
        <v>365</v>
      </c>
      <c r="B70" s="33">
        <v>1</v>
      </c>
      <c r="C70" s="33">
        <v>1</v>
      </c>
      <c r="D70" s="33">
        <v>1</v>
      </c>
      <c r="E70" s="33">
        <v>1</v>
      </c>
      <c r="F70" s="33">
        <v>3</v>
      </c>
      <c r="G70" s="33">
        <v>1</v>
      </c>
      <c r="H70" s="33">
        <v>1</v>
      </c>
      <c r="I70" s="33">
        <v>2</v>
      </c>
      <c r="J70" s="33">
        <v>2</v>
      </c>
      <c r="K70" s="33">
        <v>3</v>
      </c>
      <c r="L70" s="33">
        <v>3</v>
      </c>
      <c r="M70" s="33">
        <v>3</v>
      </c>
      <c r="N70" s="33">
        <v>3</v>
      </c>
      <c r="O70" s="33">
        <v>3</v>
      </c>
      <c r="P70" s="33">
        <v>3</v>
      </c>
      <c r="Q70" s="33">
        <v>3</v>
      </c>
      <c r="R70" s="33">
        <f t="shared" si="1"/>
        <v>34</v>
      </c>
    </row>
    <row r="71" spans="1:18" x14ac:dyDescent="0.2">
      <c r="A71" s="32" t="s">
        <v>366</v>
      </c>
      <c r="B71" s="33">
        <v>1</v>
      </c>
      <c r="C71" s="33">
        <v>1</v>
      </c>
      <c r="D71" s="33">
        <v>1</v>
      </c>
      <c r="E71" s="33">
        <v>1</v>
      </c>
      <c r="F71" s="33">
        <v>1</v>
      </c>
      <c r="G71" s="33">
        <v>1</v>
      </c>
      <c r="H71" s="33">
        <v>1</v>
      </c>
      <c r="I71" s="33">
        <v>1</v>
      </c>
      <c r="J71" s="33">
        <v>1</v>
      </c>
      <c r="K71" s="33">
        <v>1</v>
      </c>
      <c r="L71" s="33">
        <v>1</v>
      </c>
      <c r="M71" s="33">
        <v>1</v>
      </c>
      <c r="N71" s="33">
        <v>1</v>
      </c>
      <c r="O71" s="33">
        <v>1</v>
      </c>
      <c r="P71" s="33">
        <v>1</v>
      </c>
      <c r="Q71" s="33">
        <v>1</v>
      </c>
      <c r="R71" s="33">
        <f t="shared" si="1"/>
        <v>16</v>
      </c>
    </row>
    <row r="72" spans="1:18" x14ac:dyDescent="0.2">
      <c r="A72" s="32" t="s">
        <v>367</v>
      </c>
      <c r="B72" s="33">
        <v>1</v>
      </c>
      <c r="C72" s="33">
        <v>2</v>
      </c>
      <c r="D72" s="33">
        <v>2</v>
      </c>
      <c r="E72" s="33">
        <v>2</v>
      </c>
      <c r="F72" s="33">
        <v>3</v>
      </c>
      <c r="G72" s="33">
        <v>2</v>
      </c>
      <c r="H72" s="33">
        <v>2</v>
      </c>
      <c r="I72" s="33">
        <v>3</v>
      </c>
      <c r="J72" s="33">
        <v>3</v>
      </c>
      <c r="K72" s="33">
        <v>3</v>
      </c>
      <c r="L72" s="33">
        <v>3</v>
      </c>
      <c r="M72" s="33">
        <v>2</v>
      </c>
      <c r="N72" s="33">
        <v>2</v>
      </c>
      <c r="O72" s="33">
        <v>3</v>
      </c>
      <c r="P72" s="33">
        <v>3</v>
      </c>
      <c r="Q72" s="33">
        <v>2</v>
      </c>
      <c r="R72" s="33">
        <f t="shared" si="1"/>
        <v>38</v>
      </c>
    </row>
    <row r="73" spans="1:18" x14ac:dyDescent="0.2">
      <c r="A73" s="32" t="s">
        <v>368</v>
      </c>
      <c r="B73" s="33">
        <v>1</v>
      </c>
      <c r="C73" s="33">
        <v>1</v>
      </c>
      <c r="D73" s="33">
        <v>1</v>
      </c>
      <c r="E73" s="33">
        <v>1</v>
      </c>
      <c r="F73" s="33">
        <v>1</v>
      </c>
      <c r="G73" s="33">
        <v>1</v>
      </c>
      <c r="H73" s="33">
        <v>1</v>
      </c>
      <c r="I73" s="33">
        <v>1</v>
      </c>
      <c r="J73" s="33">
        <v>1</v>
      </c>
      <c r="K73" s="33">
        <v>1</v>
      </c>
      <c r="L73" s="33">
        <v>1</v>
      </c>
      <c r="M73" s="33">
        <v>1</v>
      </c>
      <c r="N73" s="33">
        <v>1</v>
      </c>
      <c r="O73" s="33">
        <v>1</v>
      </c>
      <c r="P73" s="33">
        <v>1</v>
      </c>
      <c r="Q73" s="33">
        <v>1</v>
      </c>
      <c r="R73" s="33">
        <f t="shared" si="1"/>
        <v>16</v>
      </c>
    </row>
    <row r="74" spans="1:18" x14ac:dyDescent="0.2">
      <c r="A74" s="32" t="s">
        <v>369</v>
      </c>
      <c r="B74" s="33">
        <v>2</v>
      </c>
      <c r="C74" s="33">
        <v>2</v>
      </c>
      <c r="D74" s="33">
        <v>1</v>
      </c>
      <c r="E74" s="33">
        <v>2</v>
      </c>
      <c r="F74" s="33">
        <v>1</v>
      </c>
      <c r="G74" s="33">
        <v>2</v>
      </c>
      <c r="H74" s="33">
        <v>2</v>
      </c>
      <c r="I74" s="33">
        <v>2</v>
      </c>
      <c r="J74" s="33">
        <v>1</v>
      </c>
      <c r="K74" s="33">
        <v>1</v>
      </c>
      <c r="L74" s="33">
        <v>2</v>
      </c>
      <c r="M74" s="33">
        <v>1</v>
      </c>
      <c r="N74" s="33">
        <v>2</v>
      </c>
      <c r="O74" s="33">
        <v>2</v>
      </c>
      <c r="P74" s="33">
        <v>2</v>
      </c>
      <c r="Q74" s="33">
        <v>1</v>
      </c>
      <c r="R74" s="33">
        <f t="shared" si="1"/>
        <v>26</v>
      </c>
    </row>
    <row r="75" spans="1:18" x14ac:dyDescent="0.2">
      <c r="A75" s="32" t="s">
        <v>370</v>
      </c>
      <c r="B75" s="33">
        <v>1</v>
      </c>
      <c r="C75" s="33">
        <v>3</v>
      </c>
      <c r="D75" s="33">
        <v>2</v>
      </c>
      <c r="E75" s="33">
        <v>1</v>
      </c>
      <c r="F75" s="33">
        <v>2</v>
      </c>
      <c r="G75" s="33">
        <v>2</v>
      </c>
      <c r="H75" s="33">
        <v>2</v>
      </c>
      <c r="I75" s="33">
        <v>3</v>
      </c>
      <c r="J75" s="33">
        <v>3</v>
      </c>
      <c r="K75" s="33">
        <v>3</v>
      </c>
      <c r="L75" s="33">
        <v>3</v>
      </c>
      <c r="M75" s="33">
        <v>3</v>
      </c>
      <c r="N75" s="33">
        <v>3</v>
      </c>
      <c r="O75" s="33">
        <v>3</v>
      </c>
      <c r="P75" s="33">
        <v>3</v>
      </c>
      <c r="Q75" s="33">
        <v>3</v>
      </c>
      <c r="R75" s="33">
        <f t="shared" si="1"/>
        <v>40</v>
      </c>
    </row>
    <row r="76" spans="1:18" x14ac:dyDescent="0.2">
      <c r="A76" s="32" t="s">
        <v>371</v>
      </c>
      <c r="B76" s="33">
        <v>2</v>
      </c>
      <c r="C76" s="33">
        <v>3</v>
      </c>
      <c r="D76" s="33">
        <v>3</v>
      </c>
      <c r="E76" s="33">
        <v>2</v>
      </c>
      <c r="F76" s="33">
        <v>2</v>
      </c>
      <c r="G76" s="33">
        <v>2</v>
      </c>
      <c r="H76" s="33">
        <v>2</v>
      </c>
      <c r="I76" s="33">
        <v>2</v>
      </c>
      <c r="J76" s="33">
        <v>3</v>
      </c>
      <c r="K76" s="33">
        <v>3</v>
      </c>
      <c r="L76" s="33">
        <v>3</v>
      </c>
      <c r="M76" s="33">
        <v>2</v>
      </c>
      <c r="N76" s="33">
        <v>2</v>
      </c>
      <c r="O76" s="33">
        <v>3</v>
      </c>
      <c r="P76" s="33">
        <v>3</v>
      </c>
      <c r="Q76" s="33">
        <v>2</v>
      </c>
      <c r="R76" s="33">
        <f t="shared" si="1"/>
        <v>39</v>
      </c>
    </row>
    <row r="77" spans="1:18" x14ac:dyDescent="0.2">
      <c r="A77" s="32" t="s">
        <v>372</v>
      </c>
      <c r="B77" s="33">
        <v>1</v>
      </c>
      <c r="C77" s="33">
        <v>1</v>
      </c>
      <c r="D77" s="33">
        <v>1</v>
      </c>
      <c r="E77" s="33">
        <v>2</v>
      </c>
      <c r="F77" s="33">
        <v>1</v>
      </c>
      <c r="G77" s="33">
        <v>1</v>
      </c>
      <c r="H77" s="33">
        <v>1</v>
      </c>
      <c r="I77" s="33">
        <v>1</v>
      </c>
      <c r="J77" s="33">
        <v>1</v>
      </c>
      <c r="K77" s="33">
        <v>1</v>
      </c>
      <c r="L77" s="33">
        <v>2</v>
      </c>
      <c r="M77" s="33">
        <v>1</v>
      </c>
      <c r="N77" s="33">
        <v>1</v>
      </c>
      <c r="O77" s="33">
        <v>1</v>
      </c>
      <c r="P77" s="33">
        <v>2</v>
      </c>
      <c r="Q77" s="33">
        <v>1</v>
      </c>
      <c r="R77" s="33">
        <f t="shared" si="1"/>
        <v>19</v>
      </c>
    </row>
    <row r="78" spans="1:18" x14ac:dyDescent="0.2">
      <c r="A78" s="32" t="s">
        <v>373</v>
      </c>
      <c r="B78" s="33">
        <v>1</v>
      </c>
      <c r="C78" s="33">
        <v>3</v>
      </c>
      <c r="D78" s="33">
        <v>2</v>
      </c>
      <c r="E78" s="33">
        <v>3</v>
      </c>
      <c r="F78" s="33">
        <v>3</v>
      </c>
      <c r="G78" s="33">
        <v>3</v>
      </c>
      <c r="H78" s="33">
        <v>3</v>
      </c>
      <c r="I78" s="33">
        <v>3</v>
      </c>
      <c r="J78" s="33">
        <v>3</v>
      </c>
      <c r="K78" s="33">
        <v>3</v>
      </c>
      <c r="L78" s="33">
        <v>3</v>
      </c>
      <c r="M78" s="33">
        <v>3</v>
      </c>
      <c r="N78" s="33">
        <v>4</v>
      </c>
      <c r="O78" s="33">
        <v>3</v>
      </c>
      <c r="P78" s="33">
        <v>3</v>
      </c>
      <c r="Q78" s="33">
        <v>3</v>
      </c>
      <c r="R78" s="33">
        <f t="shared" si="1"/>
        <v>46</v>
      </c>
    </row>
    <row r="79" spans="1:18" x14ac:dyDescent="0.2">
      <c r="A79" s="32" t="s">
        <v>374</v>
      </c>
      <c r="B79" s="32">
        <v>4</v>
      </c>
      <c r="C79" s="32">
        <v>3</v>
      </c>
      <c r="D79" s="32">
        <v>3</v>
      </c>
      <c r="E79" s="32">
        <v>3</v>
      </c>
      <c r="F79" s="32">
        <v>3</v>
      </c>
      <c r="G79" s="32">
        <v>3</v>
      </c>
      <c r="H79" s="32">
        <v>3</v>
      </c>
      <c r="I79" s="32">
        <v>3</v>
      </c>
      <c r="J79" s="32">
        <v>3</v>
      </c>
      <c r="K79" s="32">
        <v>3</v>
      </c>
      <c r="L79" s="32">
        <v>3</v>
      </c>
      <c r="M79" s="32">
        <v>3</v>
      </c>
      <c r="N79" s="32">
        <v>3</v>
      </c>
      <c r="O79" s="32">
        <v>3</v>
      </c>
      <c r="P79" s="32">
        <v>3</v>
      </c>
      <c r="Q79" s="32">
        <v>3</v>
      </c>
      <c r="R79" s="33">
        <f t="shared" si="1"/>
        <v>49</v>
      </c>
    </row>
    <row r="80" spans="1:18" x14ac:dyDescent="0.2">
      <c r="A80" s="32" t="s">
        <v>375</v>
      </c>
      <c r="B80" s="32">
        <v>2</v>
      </c>
      <c r="C80" s="32">
        <v>2</v>
      </c>
      <c r="D80" s="32">
        <v>1</v>
      </c>
      <c r="E80" s="32">
        <v>2</v>
      </c>
      <c r="F80" s="32">
        <v>2</v>
      </c>
      <c r="G80" s="32">
        <v>2</v>
      </c>
      <c r="H80" s="32">
        <v>2</v>
      </c>
      <c r="I80" s="32">
        <v>1</v>
      </c>
      <c r="J80" s="32">
        <v>3</v>
      </c>
      <c r="K80" s="32">
        <v>3</v>
      </c>
      <c r="L80" s="32">
        <v>3</v>
      </c>
      <c r="M80" s="32">
        <v>2</v>
      </c>
      <c r="N80" s="32">
        <v>3</v>
      </c>
      <c r="O80" s="32">
        <v>3</v>
      </c>
      <c r="P80" s="32">
        <v>3</v>
      </c>
      <c r="Q80" s="32">
        <v>2</v>
      </c>
      <c r="R80" s="33">
        <f t="shared" si="1"/>
        <v>36</v>
      </c>
    </row>
    <row r="81" spans="1:18" x14ac:dyDescent="0.2">
      <c r="A81" s="32" t="s">
        <v>376</v>
      </c>
      <c r="B81" s="32">
        <v>1</v>
      </c>
      <c r="C81" s="32">
        <v>1</v>
      </c>
      <c r="D81" s="32">
        <v>1</v>
      </c>
      <c r="E81" s="32">
        <v>1</v>
      </c>
      <c r="F81" s="32">
        <v>1</v>
      </c>
      <c r="G81" s="32">
        <v>1</v>
      </c>
      <c r="H81" s="32">
        <v>1</v>
      </c>
      <c r="I81" s="32">
        <v>1</v>
      </c>
      <c r="J81" s="32">
        <v>1</v>
      </c>
      <c r="K81" s="32">
        <v>1</v>
      </c>
      <c r="L81" s="32">
        <v>1</v>
      </c>
      <c r="M81" s="32">
        <v>1</v>
      </c>
      <c r="N81" s="32">
        <v>1</v>
      </c>
      <c r="O81" s="32">
        <v>1</v>
      </c>
      <c r="P81" s="32">
        <v>1</v>
      </c>
      <c r="Q81" s="32">
        <v>1</v>
      </c>
      <c r="R81" s="33">
        <f t="shared" si="1"/>
        <v>16</v>
      </c>
    </row>
    <row r="82" spans="1:18" x14ac:dyDescent="0.2">
      <c r="A82" s="32" t="s">
        <v>377</v>
      </c>
      <c r="B82" s="32">
        <v>1</v>
      </c>
      <c r="C82" s="32">
        <v>2</v>
      </c>
      <c r="D82" s="32">
        <v>1</v>
      </c>
      <c r="E82" s="32">
        <v>2</v>
      </c>
      <c r="F82" s="32">
        <v>1</v>
      </c>
      <c r="G82" s="32">
        <v>2</v>
      </c>
      <c r="H82" s="32">
        <v>3</v>
      </c>
      <c r="I82" s="32">
        <v>1</v>
      </c>
      <c r="J82" s="32">
        <v>2</v>
      </c>
      <c r="K82" s="32">
        <v>1</v>
      </c>
      <c r="L82" s="32">
        <v>3</v>
      </c>
      <c r="M82" s="32">
        <v>1</v>
      </c>
      <c r="N82" s="32">
        <v>2</v>
      </c>
      <c r="O82" s="32">
        <v>3</v>
      </c>
      <c r="P82" s="32">
        <v>3</v>
      </c>
      <c r="Q82" s="32">
        <v>3</v>
      </c>
      <c r="R82" s="33">
        <f t="shared" si="1"/>
        <v>31</v>
      </c>
    </row>
    <row r="83" spans="1:18" x14ac:dyDescent="0.2">
      <c r="A83" s="32" t="s">
        <v>378</v>
      </c>
      <c r="B83" s="32">
        <v>1</v>
      </c>
      <c r="C83" s="32">
        <v>1</v>
      </c>
      <c r="D83" s="32">
        <v>3</v>
      </c>
      <c r="E83" s="32">
        <v>3</v>
      </c>
      <c r="F83" s="32">
        <v>1</v>
      </c>
      <c r="G83" s="32">
        <v>3</v>
      </c>
      <c r="H83" s="32">
        <v>3</v>
      </c>
      <c r="I83" s="32">
        <v>3</v>
      </c>
      <c r="J83" s="32">
        <v>3</v>
      </c>
      <c r="K83" s="32">
        <v>1</v>
      </c>
      <c r="L83" s="32">
        <v>3</v>
      </c>
      <c r="M83" s="32">
        <v>1</v>
      </c>
      <c r="N83" s="32">
        <v>3</v>
      </c>
      <c r="O83" s="32">
        <v>3</v>
      </c>
      <c r="P83" s="32">
        <v>3</v>
      </c>
      <c r="Q83" s="32">
        <v>3</v>
      </c>
      <c r="R83" s="33">
        <f t="shared" si="1"/>
        <v>38</v>
      </c>
    </row>
    <row r="84" spans="1:18" x14ac:dyDescent="0.2">
      <c r="A84" s="32" t="s">
        <v>379</v>
      </c>
      <c r="B84" s="32">
        <v>1</v>
      </c>
      <c r="C84" s="32">
        <v>1</v>
      </c>
      <c r="D84" s="32">
        <v>1</v>
      </c>
      <c r="E84" s="32">
        <v>1</v>
      </c>
      <c r="F84" s="32">
        <v>1</v>
      </c>
      <c r="G84" s="32">
        <v>1</v>
      </c>
      <c r="H84" s="32">
        <v>1</v>
      </c>
      <c r="I84" s="32">
        <v>1</v>
      </c>
      <c r="J84" s="32">
        <v>1</v>
      </c>
      <c r="K84" s="32">
        <v>1</v>
      </c>
      <c r="L84" s="32">
        <v>2</v>
      </c>
      <c r="M84" s="32">
        <v>1</v>
      </c>
      <c r="N84" s="32">
        <v>1</v>
      </c>
      <c r="O84" s="32">
        <v>1</v>
      </c>
      <c r="P84" s="32">
        <v>1</v>
      </c>
      <c r="Q84" s="32">
        <v>1</v>
      </c>
      <c r="R84" s="33">
        <f t="shared" si="1"/>
        <v>17</v>
      </c>
    </row>
    <row r="85" spans="1:18" x14ac:dyDescent="0.2">
      <c r="A85" s="32" t="s">
        <v>380</v>
      </c>
      <c r="B85" s="32">
        <v>1</v>
      </c>
      <c r="C85" s="32">
        <v>1</v>
      </c>
      <c r="D85" s="32">
        <v>1</v>
      </c>
      <c r="E85" s="32">
        <v>1</v>
      </c>
      <c r="F85" s="32">
        <v>1</v>
      </c>
      <c r="G85" s="32">
        <v>1</v>
      </c>
      <c r="H85" s="32">
        <v>1</v>
      </c>
      <c r="I85" s="32">
        <v>1</v>
      </c>
      <c r="J85" s="32">
        <v>1</v>
      </c>
      <c r="K85" s="32">
        <v>1</v>
      </c>
      <c r="L85" s="32">
        <v>2</v>
      </c>
      <c r="M85" s="32">
        <v>1</v>
      </c>
      <c r="N85" s="32">
        <v>1</v>
      </c>
      <c r="O85" s="32">
        <v>2</v>
      </c>
      <c r="P85" s="32">
        <v>1</v>
      </c>
      <c r="Q85" s="32">
        <v>1</v>
      </c>
      <c r="R85" s="33">
        <f t="shared" si="1"/>
        <v>18</v>
      </c>
    </row>
    <row r="86" spans="1:18" x14ac:dyDescent="0.2">
      <c r="A86" s="32" t="s">
        <v>381</v>
      </c>
      <c r="B86" s="33">
        <v>1</v>
      </c>
      <c r="C86" s="33">
        <v>3</v>
      </c>
      <c r="D86" s="33">
        <v>2</v>
      </c>
      <c r="E86" s="33">
        <v>2</v>
      </c>
      <c r="F86" s="33">
        <v>3</v>
      </c>
      <c r="G86" s="33">
        <v>3</v>
      </c>
      <c r="H86" s="33">
        <v>3</v>
      </c>
      <c r="I86" s="33">
        <v>3</v>
      </c>
      <c r="J86" s="33">
        <v>3</v>
      </c>
      <c r="K86" s="33">
        <v>2</v>
      </c>
      <c r="L86" s="33">
        <v>2</v>
      </c>
      <c r="M86" s="33">
        <v>3</v>
      </c>
      <c r="N86" s="33">
        <v>2</v>
      </c>
      <c r="O86" s="33">
        <v>3</v>
      </c>
      <c r="P86" s="33">
        <v>3</v>
      </c>
      <c r="Q86" s="33">
        <v>3</v>
      </c>
      <c r="R86" s="33">
        <f t="shared" si="1"/>
        <v>41</v>
      </c>
    </row>
    <row r="87" spans="1:18" x14ac:dyDescent="0.2">
      <c r="A87" s="32" t="s">
        <v>382</v>
      </c>
      <c r="B87" s="32">
        <v>2</v>
      </c>
      <c r="C87" s="33">
        <v>1</v>
      </c>
      <c r="D87" s="33">
        <v>1</v>
      </c>
      <c r="E87" s="33">
        <v>2</v>
      </c>
      <c r="F87" s="33">
        <v>2</v>
      </c>
      <c r="G87" s="33">
        <v>2</v>
      </c>
      <c r="H87" s="33">
        <v>2</v>
      </c>
      <c r="I87" s="33">
        <v>2</v>
      </c>
      <c r="J87" s="33">
        <v>2</v>
      </c>
      <c r="K87" s="33">
        <v>1</v>
      </c>
      <c r="L87" s="33">
        <v>3</v>
      </c>
      <c r="M87" s="33">
        <v>1</v>
      </c>
      <c r="N87" s="33">
        <v>1</v>
      </c>
      <c r="O87" s="33">
        <v>3</v>
      </c>
      <c r="P87" s="33">
        <v>1</v>
      </c>
      <c r="Q87" s="33">
        <v>2</v>
      </c>
      <c r="R87" s="33">
        <f t="shared" si="1"/>
        <v>28</v>
      </c>
    </row>
    <row r="88" spans="1:18" x14ac:dyDescent="0.2">
      <c r="A88" s="32" t="s">
        <v>383</v>
      </c>
      <c r="B88" s="33">
        <v>1</v>
      </c>
      <c r="C88" s="33">
        <v>1</v>
      </c>
      <c r="D88" s="33">
        <v>1</v>
      </c>
      <c r="E88" s="33">
        <v>2</v>
      </c>
      <c r="F88" s="33">
        <v>1</v>
      </c>
      <c r="G88" s="33">
        <v>1</v>
      </c>
      <c r="H88" s="33">
        <v>2</v>
      </c>
      <c r="I88" s="33">
        <v>1</v>
      </c>
      <c r="J88" s="33">
        <v>1</v>
      </c>
      <c r="K88" s="33">
        <v>1</v>
      </c>
      <c r="L88" s="33">
        <v>2</v>
      </c>
      <c r="M88" s="33">
        <v>1</v>
      </c>
      <c r="N88" s="33">
        <v>1</v>
      </c>
      <c r="O88" s="33">
        <v>1</v>
      </c>
      <c r="P88" s="33">
        <v>2</v>
      </c>
      <c r="Q88" s="33">
        <v>1</v>
      </c>
      <c r="R88" s="33">
        <f t="shared" si="1"/>
        <v>20</v>
      </c>
    </row>
    <row r="89" spans="1:18" x14ac:dyDescent="0.2">
      <c r="A89" s="32" t="s">
        <v>384</v>
      </c>
      <c r="B89" s="33">
        <v>2</v>
      </c>
      <c r="C89" s="33">
        <v>2</v>
      </c>
      <c r="D89" s="33">
        <v>1</v>
      </c>
      <c r="E89" s="33">
        <v>1</v>
      </c>
      <c r="F89" s="33">
        <v>2</v>
      </c>
      <c r="G89" s="33">
        <v>2</v>
      </c>
      <c r="H89" s="33">
        <v>2</v>
      </c>
      <c r="I89" s="33">
        <v>1</v>
      </c>
      <c r="J89" s="33">
        <v>2</v>
      </c>
      <c r="K89" s="33">
        <v>1</v>
      </c>
      <c r="L89" s="33">
        <v>3</v>
      </c>
      <c r="M89" s="33">
        <v>1</v>
      </c>
      <c r="N89" s="33">
        <v>2</v>
      </c>
      <c r="O89" s="33">
        <v>2</v>
      </c>
      <c r="P89" s="33">
        <v>2</v>
      </c>
      <c r="Q89" s="33">
        <v>1</v>
      </c>
      <c r="R89" s="33">
        <f t="shared" si="1"/>
        <v>27</v>
      </c>
    </row>
    <row r="90" spans="1:18" x14ac:dyDescent="0.2">
      <c r="A90" s="32" t="s">
        <v>385</v>
      </c>
      <c r="B90" s="33">
        <v>2</v>
      </c>
      <c r="C90" s="33">
        <v>2</v>
      </c>
      <c r="D90" s="33">
        <v>1</v>
      </c>
      <c r="E90" s="33">
        <v>1</v>
      </c>
      <c r="F90" s="33">
        <v>2</v>
      </c>
      <c r="G90" s="33">
        <v>1</v>
      </c>
      <c r="H90" s="33">
        <v>1</v>
      </c>
      <c r="I90" s="33">
        <v>1</v>
      </c>
      <c r="J90" s="33">
        <v>1</v>
      </c>
      <c r="K90" s="33">
        <v>1</v>
      </c>
      <c r="L90" s="33">
        <v>2</v>
      </c>
      <c r="M90" s="33">
        <v>2</v>
      </c>
      <c r="N90" s="33">
        <v>2</v>
      </c>
      <c r="O90" s="33">
        <v>1</v>
      </c>
      <c r="P90" s="33">
        <v>1</v>
      </c>
      <c r="Q90" s="33">
        <v>2</v>
      </c>
      <c r="R90" s="33">
        <f t="shared" si="1"/>
        <v>23</v>
      </c>
    </row>
    <row r="91" spans="1:18" x14ac:dyDescent="0.2">
      <c r="A91" s="32" t="s">
        <v>386</v>
      </c>
      <c r="B91" s="33">
        <v>1</v>
      </c>
      <c r="C91" s="33">
        <v>1</v>
      </c>
      <c r="D91" s="33">
        <v>2</v>
      </c>
      <c r="E91" s="33">
        <v>1</v>
      </c>
      <c r="F91" s="33">
        <v>2</v>
      </c>
      <c r="G91" s="33">
        <v>2</v>
      </c>
      <c r="H91" s="33">
        <v>3</v>
      </c>
      <c r="I91" s="33">
        <v>2</v>
      </c>
      <c r="J91" s="33">
        <v>1</v>
      </c>
      <c r="K91" s="33">
        <v>3</v>
      </c>
      <c r="L91" s="33">
        <v>2</v>
      </c>
      <c r="M91" s="33">
        <v>2</v>
      </c>
      <c r="N91" s="33">
        <v>3</v>
      </c>
      <c r="O91" s="33">
        <v>2</v>
      </c>
      <c r="P91" s="33">
        <v>2</v>
      </c>
      <c r="Q91" s="33">
        <v>2</v>
      </c>
      <c r="R91" s="33">
        <f t="shared" si="1"/>
        <v>31</v>
      </c>
    </row>
    <row r="92" spans="1:18" x14ac:dyDescent="0.2">
      <c r="A92" s="32" t="s">
        <v>387</v>
      </c>
      <c r="B92" s="33">
        <v>2</v>
      </c>
      <c r="C92" s="33">
        <v>2</v>
      </c>
      <c r="D92" s="33">
        <v>2</v>
      </c>
      <c r="E92" s="33">
        <v>2</v>
      </c>
      <c r="F92" s="33">
        <v>2</v>
      </c>
      <c r="G92" s="33">
        <v>2</v>
      </c>
      <c r="H92" s="33">
        <v>2</v>
      </c>
      <c r="I92" s="33">
        <v>2</v>
      </c>
      <c r="J92" s="33">
        <v>2</v>
      </c>
      <c r="K92" s="33">
        <v>2</v>
      </c>
      <c r="L92" s="33">
        <v>2</v>
      </c>
      <c r="M92" s="33">
        <v>2</v>
      </c>
      <c r="N92" s="33">
        <v>3</v>
      </c>
      <c r="O92" s="33">
        <v>3</v>
      </c>
      <c r="P92" s="33">
        <v>3</v>
      </c>
      <c r="Q92" s="33">
        <v>2</v>
      </c>
      <c r="R92" s="33">
        <f t="shared" si="1"/>
        <v>35</v>
      </c>
    </row>
    <row r="93" spans="1:18" x14ac:dyDescent="0.2">
      <c r="A93" s="32" t="s">
        <v>388</v>
      </c>
      <c r="B93" s="33">
        <v>1</v>
      </c>
      <c r="C93" s="33">
        <v>2</v>
      </c>
      <c r="D93" s="33">
        <v>1</v>
      </c>
      <c r="E93" s="33">
        <v>2</v>
      </c>
      <c r="F93" s="33">
        <v>2</v>
      </c>
      <c r="G93" s="33">
        <v>2</v>
      </c>
      <c r="H93" s="33">
        <v>2</v>
      </c>
      <c r="I93" s="33">
        <v>2</v>
      </c>
      <c r="J93" s="33">
        <v>2</v>
      </c>
      <c r="K93" s="33">
        <v>1</v>
      </c>
      <c r="L93" s="33">
        <v>2</v>
      </c>
      <c r="M93" s="33">
        <v>1</v>
      </c>
      <c r="N93" s="33">
        <v>2</v>
      </c>
      <c r="O93" s="33">
        <v>2</v>
      </c>
      <c r="P93" s="33">
        <v>2</v>
      </c>
      <c r="Q93" s="33">
        <v>2</v>
      </c>
      <c r="R93" s="33">
        <f t="shared" si="1"/>
        <v>28</v>
      </c>
    </row>
    <row r="94" spans="1:18" x14ac:dyDescent="0.2">
      <c r="A94" s="32" t="s">
        <v>389</v>
      </c>
      <c r="B94" s="33">
        <v>4</v>
      </c>
      <c r="C94" s="33">
        <v>4</v>
      </c>
      <c r="D94" s="33">
        <v>4</v>
      </c>
      <c r="E94" s="33">
        <v>4</v>
      </c>
      <c r="F94" s="33">
        <v>4</v>
      </c>
      <c r="G94" s="33">
        <v>4</v>
      </c>
      <c r="H94" s="33">
        <v>4</v>
      </c>
      <c r="I94" s="33">
        <v>4</v>
      </c>
      <c r="J94" s="33">
        <v>4</v>
      </c>
      <c r="K94" s="33">
        <v>4</v>
      </c>
      <c r="L94" s="33">
        <v>4</v>
      </c>
      <c r="M94" s="33">
        <v>4</v>
      </c>
      <c r="N94" s="33">
        <v>4</v>
      </c>
      <c r="O94" s="33">
        <v>4</v>
      </c>
      <c r="P94" s="33">
        <v>4</v>
      </c>
      <c r="Q94" s="33">
        <v>4</v>
      </c>
      <c r="R94" s="33">
        <f t="shared" si="1"/>
        <v>64</v>
      </c>
    </row>
    <row r="95" spans="1:18" x14ac:dyDescent="0.2">
      <c r="A95" s="32" t="s">
        <v>390</v>
      </c>
      <c r="B95" s="33">
        <v>2</v>
      </c>
      <c r="C95" s="33">
        <v>2</v>
      </c>
      <c r="D95" s="33">
        <v>2</v>
      </c>
      <c r="E95" s="33">
        <v>3</v>
      </c>
      <c r="F95" s="33">
        <v>2</v>
      </c>
      <c r="G95" s="33">
        <v>1</v>
      </c>
      <c r="H95" s="33">
        <v>2</v>
      </c>
      <c r="I95" s="33">
        <v>2</v>
      </c>
      <c r="J95" s="33">
        <v>2</v>
      </c>
      <c r="K95" s="33">
        <v>1</v>
      </c>
      <c r="L95" s="33">
        <v>2</v>
      </c>
      <c r="M95" s="33">
        <v>2</v>
      </c>
      <c r="N95" s="33">
        <v>3</v>
      </c>
      <c r="O95" s="33">
        <v>2</v>
      </c>
      <c r="P95" s="33">
        <v>2</v>
      </c>
      <c r="Q95" s="33">
        <v>3</v>
      </c>
      <c r="R95" s="33">
        <f t="shared" si="1"/>
        <v>33</v>
      </c>
    </row>
    <row r="96" spans="1:18" x14ac:dyDescent="0.2">
      <c r="A96" s="32" t="s">
        <v>391</v>
      </c>
      <c r="B96" s="348">
        <v>1</v>
      </c>
      <c r="C96" s="33">
        <v>2</v>
      </c>
      <c r="D96" s="33">
        <v>1</v>
      </c>
      <c r="E96" s="33">
        <v>1</v>
      </c>
      <c r="F96" s="33">
        <v>1</v>
      </c>
      <c r="G96" s="33">
        <v>2</v>
      </c>
      <c r="H96" s="33">
        <v>1</v>
      </c>
      <c r="I96" s="33">
        <v>1</v>
      </c>
      <c r="J96" s="33">
        <v>2</v>
      </c>
      <c r="K96" s="33">
        <v>1</v>
      </c>
      <c r="L96" s="33">
        <v>2</v>
      </c>
      <c r="M96" s="33">
        <v>1</v>
      </c>
      <c r="N96" s="33">
        <v>1</v>
      </c>
      <c r="O96" s="33">
        <v>1</v>
      </c>
      <c r="P96" s="33">
        <v>1</v>
      </c>
      <c r="Q96" s="33">
        <v>1</v>
      </c>
      <c r="R96" s="33">
        <f t="shared" si="1"/>
        <v>20</v>
      </c>
    </row>
    <row r="97" spans="1:18" x14ac:dyDescent="0.2">
      <c r="A97" s="32" t="s">
        <v>392</v>
      </c>
      <c r="B97" s="33">
        <v>1</v>
      </c>
      <c r="C97" s="33">
        <v>1</v>
      </c>
      <c r="D97" s="33">
        <v>1</v>
      </c>
      <c r="E97" s="33">
        <v>1</v>
      </c>
      <c r="F97" s="33">
        <v>1</v>
      </c>
      <c r="G97" s="33">
        <v>1</v>
      </c>
      <c r="H97" s="33">
        <v>1</v>
      </c>
      <c r="I97" s="33">
        <v>1</v>
      </c>
      <c r="J97" s="33">
        <v>1</v>
      </c>
      <c r="K97" s="33">
        <v>1</v>
      </c>
      <c r="L97" s="33">
        <v>2</v>
      </c>
      <c r="M97" s="33">
        <v>1</v>
      </c>
      <c r="N97" s="33">
        <v>2</v>
      </c>
      <c r="O97" s="33">
        <v>2</v>
      </c>
      <c r="P97" s="33">
        <v>1</v>
      </c>
      <c r="Q97" s="33">
        <v>2</v>
      </c>
      <c r="R97" s="33">
        <f t="shared" si="1"/>
        <v>20</v>
      </c>
    </row>
    <row r="98" spans="1:18" x14ac:dyDescent="0.2">
      <c r="A98" s="32" t="s">
        <v>393</v>
      </c>
      <c r="B98" s="33">
        <v>1</v>
      </c>
      <c r="C98" s="33">
        <v>1</v>
      </c>
      <c r="D98" s="33">
        <v>1</v>
      </c>
      <c r="E98" s="33">
        <v>1</v>
      </c>
      <c r="F98" s="33">
        <v>1</v>
      </c>
      <c r="G98" s="33">
        <v>1</v>
      </c>
      <c r="H98" s="33">
        <v>1</v>
      </c>
      <c r="I98" s="33">
        <v>1</v>
      </c>
      <c r="J98" s="33">
        <v>1</v>
      </c>
      <c r="K98" s="33">
        <v>1</v>
      </c>
      <c r="L98" s="33">
        <v>1</v>
      </c>
      <c r="M98" s="33">
        <v>1</v>
      </c>
      <c r="N98" s="33">
        <v>1</v>
      </c>
      <c r="O98" s="33">
        <v>1</v>
      </c>
      <c r="P98" s="33">
        <v>1</v>
      </c>
      <c r="Q98" s="33">
        <v>1</v>
      </c>
      <c r="R98" s="33">
        <f t="shared" si="1"/>
        <v>16</v>
      </c>
    </row>
    <row r="99" spans="1:18" x14ac:dyDescent="0.2">
      <c r="A99" s="32" t="s">
        <v>394</v>
      </c>
      <c r="B99" s="32">
        <v>1</v>
      </c>
      <c r="C99" s="32">
        <v>1</v>
      </c>
      <c r="D99" s="32">
        <v>1</v>
      </c>
      <c r="E99" s="32">
        <v>1</v>
      </c>
      <c r="F99" s="32">
        <v>1</v>
      </c>
      <c r="G99" s="32">
        <v>1</v>
      </c>
      <c r="H99" s="32">
        <v>1</v>
      </c>
      <c r="I99" s="32">
        <v>1</v>
      </c>
      <c r="J99" s="32">
        <v>1</v>
      </c>
      <c r="K99" s="32">
        <v>1</v>
      </c>
      <c r="L99" s="32">
        <v>1</v>
      </c>
      <c r="M99" s="32">
        <v>1</v>
      </c>
      <c r="N99" s="32">
        <v>1</v>
      </c>
      <c r="O99" s="32">
        <v>1</v>
      </c>
      <c r="P99" s="32">
        <v>1</v>
      </c>
      <c r="Q99" s="32">
        <v>1</v>
      </c>
      <c r="R99" s="33">
        <f t="shared" si="1"/>
        <v>16</v>
      </c>
    </row>
    <row r="100" spans="1:18" x14ac:dyDescent="0.2">
      <c r="A100" s="32" t="s">
        <v>395</v>
      </c>
      <c r="B100" s="32">
        <v>1</v>
      </c>
      <c r="C100" s="32">
        <v>1</v>
      </c>
      <c r="D100" s="32">
        <v>1</v>
      </c>
      <c r="E100" s="32">
        <v>1</v>
      </c>
      <c r="F100" s="32">
        <v>1</v>
      </c>
      <c r="G100" s="32">
        <v>1</v>
      </c>
      <c r="H100" s="32">
        <v>1</v>
      </c>
      <c r="I100" s="32">
        <v>1</v>
      </c>
      <c r="J100" s="32">
        <v>1</v>
      </c>
      <c r="K100" s="32">
        <v>1</v>
      </c>
      <c r="L100" s="32">
        <v>1</v>
      </c>
      <c r="M100" s="32">
        <v>1</v>
      </c>
      <c r="N100" s="32">
        <v>1</v>
      </c>
      <c r="O100" s="32">
        <v>1</v>
      </c>
      <c r="P100" s="32">
        <v>1</v>
      </c>
      <c r="Q100" s="32">
        <v>1</v>
      </c>
      <c r="R100" s="33">
        <f t="shared" si="1"/>
        <v>16</v>
      </c>
    </row>
    <row r="101" spans="1:18" x14ac:dyDescent="0.2">
      <c r="A101" s="32" t="s">
        <v>396</v>
      </c>
      <c r="B101" s="33">
        <v>3</v>
      </c>
      <c r="C101" s="33">
        <v>2</v>
      </c>
      <c r="D101" s="33">
        <v>2</v>
      </c>
      <c r="E101" s="33">
        <v>3</v>
      </c>
      <c r="F101" s="33">
        <v>2</v>
      </c>
      <c r="G101" s="33">
        <v>2</v>
      </c>
      <c r="H101" s="33">
        <v>2</v>
      </c>
      <c r="I101" s="33">
        <v>2</v>
      </c>
      <c r="J101" s="33">
        <v>3</v>
      </c>
      <c r="K101" s="33">
        <v>3</v>
      </c>
      <c r="L101" s="33">
        <v>3</v>
      </c>
      <c r="M101" s="33">
        <v>1</v>
      </c>
      <c r="N101" s="33">
        <v>2</v>
      </c>
      <c r="O101" s="33">
        <v>3</v>
      </c>
      <c r="P101" s="33">
        <v>2</v>
      </c>
      <c r="Q101" s="33">
        <v>2</v>
      </c>
      <c r="R101" s="33">
        <f t="shared" si="1"/>
        <v>37</v>
      </c>
    </row>
    <row r="102" spans="1:18" x14ac:dyDescent="0.2">
      <c r="A102" s="32" t="s">
        <v>397</v>
      </c>
      <c r="B102" s="33">
        <v>2</v>
      </c>
      <c r="C102" s="33">
        <v>1</v>
      </c>
      <c r="D102" s="33">
        <v>1</v>
      </c>
      <c r="E102" s="33">
        <v>2</v>
      </c>
      <c r="F102" s="33">
        <v>2</v>
      </c>
      <c r="G102" s="33">
        <v>1</v>
      </c>
      <c r="H102" s="33">
        <v>2</v>
      </c>
      <c r="I102" s="33">
        <v>2</v>
      </c>
      <c r="J102" s="33">
        <v>1</v>
      </c>
      <c r="K102" s="33">
        <v>1</v>
      </c>
      <c r="L102" s="33">
        <v>3</v>
      </c>
      <c r="M102" s="33">
        <v>1</v>
      </c>
      <c r="N102" s="33">
        <v>2</v>
      </c>
      <c r="O102" s="33">
        <v>3</v>
      </c>
      <c r="P102" s="33">
        <v>2</v>
      </c>
      <c r="Q102" s="33">
        <v>2</v>
      </c>
      <c r="R102" s="33">
        <f t="shared" si="1"/>
        <v>28</v>
      </c>
    </row>
    <row r="103" spans="1:18" x14ac:dyDescent="0.2">
      <c r="A103" s="32" t="s">
        <v>398</v>
      </c>
      <c r="B103" s="33">
        <v>1</v>
      </c>
      <c r="C103" s="33">
        <v>2</v>
      </c>
      <c r="D103" s="33">
        <v>1</v>
      </c>
      <c r="E103" s="33">
        <v>1</v>
      </c>
      <c r="F103" s="33">
        <v>1</v>
      </c>
      <c r="G103" s="33">
        <v>2</v>
      </c>
      <c r="H103" s="33">
        <v>3</v>
      </c>
      <c r="I103" s="33">
        <v>1</v>
      </c>
      <c r="J103" s="33">
        <v>1</v>
      </c>
      <c r="K103" s="33">
        <v>1</v>
      </c>
      <c r="L103" s="33">
        <v>1</v>
      </c>
      <c r="M103" s="33">
        <v>1</v>
      </c>
      <c r="N103" s="33">
        <v>1</v>
      </c>
      <c r="O103" s="33">
        <v>1</v>
      </c>
      <c r="P103" s="33">
        <v>1</v>
      </c>
      <c r="Q103" s="33">
        <v>1</v>
      </c>
      <c r="R103" s="33">
        <f t="shared" si="1"/>
        <v>20</v>
      </c>
    </row>
    <row r="104" spans="1:18" x14ac:dyDescent="0.2">
      <c r="A104" s="32" t="s">
        <v>399</v>
      </c>
      <c r="B104" s="32">
        <v>1</v>
      </c>
      <c r="C104" s="93">
        <v>1</v>
      </c>
      <c r="D104" s="33">
        <v>1</v>
      </c>
      <c r="E104" s="93">
        <v>1</v>
      </c>
      <c r="F104" s="93">
        <v>1</v>
      </c>
      <c r="G104" s="93">
        <v>1</v>
      </c>
      <c r="H104" s="93">
        <v>1</v>
      </c>
      <c r="I104" s="93">
        <v>1</v>
      </c>
      <c r="J104" s="33">
        <v>1</v>
      </c>
      <c r="K104" s="33">
        <v>1</v>
      </c>
      <c r="L104" s="33">
        <v>2</v>
      </c>
      <c r="M104" s="33">
        <v>1</v>
      </c>
      <c r="N104" s="33">
        <v>2</v>
      </c>
      <c r="O104" s="33">
        <v>1</v>
      </c>
      <c r="P104" s="33">
        <v>1</v>
      </c>
      <c r="Q104" s="42">
        <v>4</v>
      </c>
      <c r="R104" s="33">
        <f t="shared" si="1"/>
        <v>21</v>
      </c>
    </row>
    <row r="105" spans="1:18" x14ac:dyDescent="0.2">
      <c r="A105" s="32" t="s">
        <v>401</v>
      </c>
      <c r="B105" s="33">
        <v>1</v>
      </c>
      <c r="C105" s="33">
        <v>1</v>
      </c>
      <c r="D105" s="33">
        <v>1</v>
      </c>
      <c r="E105" s="33">
        <v>1</v>
      </c>
      <c r="F105" s="33">
        <v>1</v>
      </c>
      <c r="G105" s="33">
        <v>1</v>
      </c>
      <c r="H105" s="33">
        <v>1</v>
      </c>
      <c r="I105" s="33">
        <v>1</v>
      </c>
      <c r="J105" s="33">
        <v>1</v>
      </c>
      <c r="K105" s="33">
        <v>1</v>
      </c>
      <c r="L105" s="33">
        <v>2</v>
      </c>
      <c r="M105" s="33">
        <v>1</v>
      </c>
      <c r="N105" s="33">
        <v>1</v>
      </c>
      <c r="O105" s="33">
        <v>2</v>
      </c>
      <c r="P105" s="33">
        <v>1</v>
      </c>
      <c r="Q105" s="33">
        <v>1</v>
      </c>
      <c r="R105" s="33">
        <f t="shared" si="1"/>
        <v>18</v>
      </c>
    </row>
    <row r="106" spans="1:18" x14ac:dyDescent="0.2">
      <c r="A106" s="32" t="s">
        <v>402</v>
      </c>
      <c r="B106" s="33">
        <v>1</v>
      </c>
      <c r="C106" s="33">
        <v>1</v>
      </c>
      <c r="D106" s="33">
        <v>1</v>
      </c>
      <c r="E106" s="33">
        <v>1</v>
      </c>
      <c r="F106" s="33">
        <v>1</v>
      </c>
      <c r="G106" s="33">
        <v>1</v>
      </c>
      <c r="H106" s="33">
        <v>1</v>
      </c>
      <c r="I106" s="33">
        <v>1</v>
      </c>
      <c r="J106" s="33">
        <v>1</v>
      </c>
      <c r="K106" s="33">
        <v>1</v>
      </c>
      <c r="L106" s="33">
        <v>2</v>
      </c>
      <c r="M106" s="33">
        <v>1</v>
      </c>
      <c r="N106" s="33">
        <v>1</v>
      </c>
      <c r="O106" s="33">
        <v>2</v>
      </c>
      <c r="P106" s="33">
        <v>1</v>
      </c>
      <c r="Q106" s="33">
        <v>1</v>
      </c>
      <c r="R106" s="33">
        <f t="shared" si="1"/>
        <v>18</v>
      </c>
    </row>
    <row r="107" spans="1:18" x14ac:dyDescent="0.2">
      <c r="A107" s="43" t="s">
        <v>403</v>
      </c>
      <c r="B107" s="33">
        <v>1</v>
      </c>
      <c r="C107" s="33">
        <v>2</v>
      </c>
      <c r="D107" s="33">
        <v>2</v>
      </c>
      <c r="E107" s="33">
        <v>1</v>
      </c>
      <c r="F107" s="33">
        <v>2</v>
      </c>
      <c r="G107" s="33">
        <v>2</v>
      </c>
      <c r="H107" s="33">
        <v>2</v>
      </c>
      <c r="I107" s="33">
        <v>2</v>
      </c>
      <c r="J107" s="33">
        <v>2</v>
      </c>
      <c r="K107" s="33">
        <v>1</v>
      </c>
      <c r="L107" s="33">
        <v>2</v>
      </c>
      <c r="M107" s="33">
        <v>1</v>
      </c>
      <c r="N107" s="33">
        <v>2</v>
      </c>
      <c r="O107" s="33">
        <v>2</v>
      </c>
      <c r="P107" s="33">
        <v>2</v>
      </c>
      <c r="Q107" s="33">
        <v>2</v>
      </c>
      <c r="R107" s="33">
        <f t="shared" si="1"/>
        <v>28</v>
      </c>
    </row>
    <row r="108" spans="1:18" ht="16" x14ac:dyDescent="0.2">
      <c r="A108" s="44" t="s">
        <v>404</v>
      </c>
      <c r="B108" s="102">
        <v>4</v>
      </c>
      <c r="C108" s="103">
        <v>4</v>
      </c>
      <c r="D108" s="103">
        <v>4</v>
      </c>
      <c r="E108" s="103">
        <v>4</v>
      </c>
      <c r="F108" s="103">
        <v>3</v>
      </c>
      <c r="G108" s="103">
        <v>4</v>
      </c>
      <c r="H108" s="103">
        <v>3</v>
      </c>
      <c r="I108" s="103">
        <v>3</v>
      </c>
      <c r="J108" s="103">
        <v>4</v>
      </c>
      <c r="K108" s="103">
        <v>3</v>
      </c>
      <c r="L108" s="103">
        <v>4</v>
      </c>
      <c r="M108" s="103">
        <v>3</v>
      </c>
      <c r="N108" s="103">
        <v>3</v>
      </c>
      <c r="O108" s="103">
        <v>4</v>
      </c>
      <c r="P108" s="103">
        <v>3</v>
      </c>
      <c r="Q108" s="103">
        <v>3</v>
      </c>
      <c r="R108" s="33">
        <f t="shared" si="1"/>
        <v>56</v>
      </c>
    </row>
    <row r="109" spans="1:18" x14ac:dyDescent="0.2">
      <c r="A109" s="50" t="s">
        <v>405</v>
      </c>
      <c r="B109" s="76">
        <v>4</v>
      </c>
      <c r="C109" s="75">
        <v>2</v>
      </c>
      <c r="D109" s="75">
        <v>3</v>
      </c>
      <c r="E109" s="75">
        <v>3</v>
      </c>
      <c r="F109" s="75">
        <v>2</v>
      </c>
      <c r="G109" s="75">
        <v>2</v>
      </c>
      <c r="H109" s="75">
        <v>2</v>
      </c>
      <c r="I109" s="75">
        <v>3</v>
      </c>
      <c r="J109" s="75">
        <v>4</v>
      </c>
      <c r="K109" s="75">
        <v>3</v>
      </c>
      <c r="L109" s="75">
        <v>4</v>
      </c>
      <c r="M109" s="75">
        <v>3</v>
      </c>
      <c r="N109" s="75">
        <v>4</v>
      </c>
      <c r="O109" s="75">
        <v>4</v>
      </c>
      <c r="P109" s="75">
        <v>3</v>
      </c>
      <c r="Q109" s="75">
        <v>4</v>
      </c>
      <c r="R109" s="33">
        <f t="shared" si="1"/>
        <v>50</v>
      </c>
    </row>
    <row r="110" spans="1:18" x14ac:dyDescent="0.2">
      <c r="A110" s="50" t="s">
        <v>406</v>
      </c>
      <c r="B110" s="76">
        <v>1</v>
      </c>
      <c r="C110" s="75">
        <v>4</v>
      </c>
      <c r="D110" s="75">
        <v>1</v>
      </c>
      <c r="E110" s="75">
        <v>1</v>
      </c>
      <c r="F110" s="75">
        <v>4</v>
      </c>
      <c r="G110" s="75">
        <v>4</v>
      </c>
      <c r="H110" s="75">
        <v>4</v>
      </c>
      <c r="I110" s="75">
        <v>1</v>
      </c>
      <c r="J110" s="75">
        <v>4</v>
      </c>
      <c r="K110" s="75">
        <v>1</v>
      </c>
      <c r="L110" s="75">
        <v>4</v>
      </c>
      <c r="M110" s="75">
        <v>1</v>
      </c>
      <c r="N110" s="75">
        <v>4</v>
      </c>
      <c r="O110" s="75">
        <v>4</v>
      </c>
      <c r="P110" s="75">
        <v>4</v>
      </c>
      <c r="Q110" s="75">
        <v>1</v>
      </c>
      <c r="R110" s="33">
        <f t="shared" si="1"/>
        <v>43</v>
      </c>
    </row>
    <row r="111" spans="1:18" x14ac:dyDescent="0.2">
      <c r="A111" s="50" t="s">
        <v>407</v>
      </c>
      <c r="B111" s="76">
        <v>1</v>
      </c>
      <c r="C111" s="75">
        <v>2</v>
      </c>
      <c r="D111" s="75">
        <v>1</v>
      </c>
      <c r="E111" s="75">
        <v>1</v>
      </c>
      <c r="F111" s="75">
        <v>2</v>
      </c>
      <c r="G111" s="75">
        <v>2</v>
      </c>
      <c r="H111" s="75">
        <v>1</v>
      </c>
      <c r="I111" s="75">
        <v>1</v>
      </c>
      <c r="J111" s="75">
        <v>2</v>
      </c>
      <c r="K111" s="75">
        <v>1</v>
      </c>
      <c r="L111" s="75">
        <v>2</v>
      </c>
      <c r="M111" s="75">
        <v>1</v>
      </c>
      <c r="N111" s="75">
        <v>1</v>
      </c>
      <c r="O111" s="75">
        <v>2</v>
      </c>
      <c r="P111" s="75">
        <v>1</v>
      </c>
      <c r="Q111" s="75">
        <v>1</v>
      </c>
      <c r="R111" s="33">
        <f t="shared" si="1"/>
        <v>22</v>
      </c>
    </row>
    <row r="112" spans="1:18" ht="16" x14ac:dyDescent="0.2">
      <c r="A112" s="53" t="s">
        <v>408</v>
      </c>
      <c r="B112" s="76">
        <v>1</v>
      </c>
      <c r="C112" s="75">
        <v>1</v>
      </c>
      <c r="D112" s="75">
        <v>1</v>
      </c>
      <c r="E112" s="75">
        <v>1</v>
      </c>
      <c r="F112" s="75">
        <v>1</v>
      </c>
      <c r="G112" s="75">
        <v>1</v>
      </c>
      <c r="H112" s="75">
        <v>1</v>
      </c>
      <c r="I112" s="75">
        <v>1</v>
      </c>
      <c r="J112" s="75">
        <v>1</v>
      </c>
      <c r="K112" s="75">
        <v>1</v>
      </c>
      <c r="L112" s="75">
        <v>2</v>
      </c>
      <c r="M112" s="75">
        <v>1</v>
      </c>
      <c r="N112" s="75">
        <v>1</v>
      </c>
      <c r="O112" s="75">
        <v>1</v>
      </c>
      <c r="P112" s="75">
        <v>1</v>
      </c>
      <c r="Q112" s="75">
        <v>1</v>
      </c>
      <c r="R112" s="33">
        <f t="shared" si="1"/>
        <v>17</v>
      </c>
    </row>
    <row r="113" spans="1:18" x14ac:dyDescent="0.2">
      <c r="A113" s="50" t="s">
        <v>409</v>
      </c>
      <c r="B113" s="76">
        <v>1</v>
      </c>
      <c r="C113" s="75">
        <v>1</v>
      </c>
      <c r="D113" s="75">
        <v>1</v>
      </c>
      <c r="E113" s="75">
        <v>1</v>
      </c>
      <c r="F113" s="75">
        <v>1</v>
      </c>
      <c r="G113" s="75">
        <v>1</v>
      </c>
      <c r="H113" s="75">
        <v>1</v>
      </c>
      <c r="I113" s="75">
        <v>2</v>
      </c>
      <c r="J113" s="75">
        <v>1</v>
      </c>
      <c r="K113" s="75">
        <v>1</v>
      </c>
      <c r="L113" s="75">
        <v>1</v>
      </c>
      <c r="M113" s="75">
        <v>1</v>
      </c>
      <c r="N113" s="75">
        <v>1</v>
      </c>
      <c r="O113" s="75">
        <v>1</v>
      </c>
      <c r="P113" s="75">
        <v>1</v>
      </c>
      <c r="Q113" s="75">
        <v>1</v>
      </c>
      <c r="R113" s="33">
        <f t="shared" si="1"/>
        <v>17</v>
      </c>
    </row>
    <row r="114" spans="1:18" x14ac:dyDescent="0.2">
      <c r="A114" s="50" t="s">
        <v>410</v>
      </c>
      <c r="B114" s="76">
        <v>1</v>
      </c>
      <c r="C114" s="75">
        <v>1</v>
      </c>
      <c r="D114" s="75">
        <v>1</v>
      </c>
      <c r="E114" s="75">
        <v>1</v>
      </c>
      <c r="F114" s="75">
        <v>1</v>
      </c>
      <c r="G114" s="75">
        <v>1</v>
      </c>
      <c r="H114" s="75">
        <v>1</v>
      </c>
      <c r="I114" s="75">
        <v>1</v>
      </c>
      <c r="J114" s="75">
        <v>1</v>
      </c>
      <c r="K114" s="75">
        <v>1</v>
      </c>
      <c r="L114" s="75">
        <v>1</v>
      </c>
      <c r="M114" s="75">
        <v>1</v>
      </c>
      <c r="N114" s="75">
        <v>1</v>
      </c>
      <c r="O114" s="75">
        <v>1</v>
      </c>
      <c r="P114" s="75">
        <v>1</v>
      </c>
      <c r="Q114" s="75">
        <v>1</v>
      </c>
      <c r="R114" s="33">
        <f t="shared" si="1"/>
        <v>16</v>
      </c>
    </row>
    <row r="115" spans="1:18" ht="16" x14ac:dyDescent="0.2">
      <c r="A115" s="55" t="s">
        <v>411</v>
      </c>
      <c r="B115" s="102">
        <v>1</v>
      </c>
      <c r="C115" s="103">
        <v>1</v>
      </c>
      <c r="D115" s="103">
        <v>1</v>
      </c>
      <c r="E115" s="103">
        <v>1</v>
      </c>
      <c r="F115" s="103">
        <v>1</v>
      </c>
      <c r="G115" s="103">
        <v>4</v>
      </c>
      <c r="H115" s="103">
        <v>2</v>
      </c>
      <c r="I115" s="103">
        <v>1</v>
      </c>
      <c r="J115" s="103">
        <v>2</v>
      </c>
      <c r="K115" s="103">
        <v>1</v>
      </c>
      <c r="L115" s="103">
        <v>2</v>
      </c>
      <c r="M115" s="103">
        <v>1</v>
      </c>
      <c r="N115" s="103">
        <v>2</v>
      </c>
      <c r="O115" s="103">
        <v>2</v>
      </c>
      <c r="P115" s="103">
        <v>1</v>
      </c>
      <c r="Q115" s="103">
        <v>1</v>
      </c>
      <c r="R115" s="33">
        <f t="shared" si="1"/>
        <v>24</v>
      </c>
    </row>
    <row r="116" spans="1:18" x14ac:dyDescent="0.2">
      <c r="A116" s="54" t="s">
        <v>412</v>
      </c>
      <c r="B116" s="102">
        <v>3</v>
      </c>
      <c r="C116" s="103">
        <v>2</v>
      </c>
      <c r="D116" s="103">
        <v>2</v>
      </c>
      <c r="E116" s="103">
        <v>2</v>
      </c>
      <c r="F116" s="103">
        <v>2</v>
      </c>
      <c r="G116" s="103">
        <v>3</v>
      </c>
      <c r="H116" s="103">
        <v>3</v>
      </c>
      <c r="I116" s="103">
        <v>2</v>
      </c>
      <c r="J116" s="103">
        <v>3</v>
      </c>
      <c r="K116" s="103">
        <v>2</v>
      </c>
      <c r="L116" s="103">
        <v>3</v>
      </c>
      <c r="M116" s="103">
        <v>2</v>
      </c>
      <c r="N116" s="103">
        <v>2</v>
      </c>
      <c r="O116" s="103">
        <v>3</v>
      </c>
      <c r="P116" s="103">
        <v>2</v>
      </c>
      <c r="Q116" s="103">
        <v>2</v>
      </c>
      <c r="R116" s="33">
        <f t="shared" si="1"/>
        <v>38</v>
      </c>
    </row>
    <row r="117" spans="1:18" x14ac:dyDescent="0.2">
      <c r="A117" s="54" t="s">
        <v>413</v>
      </c>
      <c r="B117" s="76">
        <v>4</v>
      </c>
      <c r="C117" s="75">
        <v>4</v>
      </c>
      <c r="D117" s="75">
        <v>4</v>
      </c>
      <c r="E117" s="75">
        <v>4</v>
      </c>
      <c r="F117" s="75">
        <v>4</v>
      </c>
      <c r="G117" s="75">
        <v>4</v>
      </c>
      <c r="H117" s="75">
        <v>4</v>
      </c>
      <c r="I117" s="75">
        <v>4</v>
      </c>
      <c r="J117" s="75">
        <v>4</v>
      </c>
      <c r="K117" s="75">
        <v>4</v>
      </c>
      <c r="L117" s="75">
        <v>4</v>
      </c>
      <c r="M117" s="75">
        <v>4</v>
      </c>
      <c r="N117" s="75">
        <v>4</v>
      </c>
      <c r="O117" s="75">
        <v>4</v>
      </c>
      <c r="P117" s="75">
        <v>4</v>
      </c>
      <c r="Q117" s="75">
        <v>4</v>
      </c>
      <c r="R117" s="33">
        <f t="shared" si="1"/>
        <v>64</v>
      </c>
    </row>
    <row r="118" spans="1:18" x14ac:dyDescent="0.2">
      <c r="A118" s="54" t="s">
        <v>414</v>
      </c>
      <c r="B118" s="102">
        <v>2</v>
      </c>
      <c r="C118" s="103">
        <v>2</v>
      </c>
      <c r="D118" s="103">
        <v>1</v>
      </c>
      <c r="E118" s="103">
        <v>2</v>
      </c>
      <c r="F118" s="103">
        <v>1</v>
      </c>
      <c r="G118" s="103">
        <v>1</v>
      </c>
      <c r="H118" s="103">
        <v>1</v>
      </c>
      <c r="I118" s="103">
        <v>1</v>
      </c>
      <c r="J118" s="103">
        <v>1</v>
      </c>
      <c r="K118" s="103">
        <v>1</v>
      </c>
      <c r="L118" s="103">
        <v>2</v>
      </c>
      <c r="M118" s="103">
        <v>1</v>
      </c>
      <c r="N118" s="103">
        <v>2</v>
      </c>
      <c r="O118" s="103">
        <v>2</v>
      </c>
      <c r="P118" s="103">
        <v>2</v>
      </c>
      <c r="Q118" s="103">
        <v>1</v>
      </c>
      <c r="R118" s="33">
        <f t="shared" si="1"/>
        <v>23</v>
      </c>
    </row>
    <row r="119" spans="1:18" x14ac:dyDescent="0.2">
      <c r="A119" s="56" t="s">
        <v>415</v>
      </c>
      <c r="B119" s="102">
        <v>2</v>
      </c>
      <c r="C119" s="103">
        <v>2</v>
      </c>
      <c r="D119" s="103">
        <v>2</v>
      </c>
      <c r="E119" s="103">
        <v>3</v>
      </c>
      <c r="F119" s="103">
        <v>2</v>
      </c>
      <c r="G119" s="103">
        <v>2</v>
      </c>
      <c r="H119" s="103">
        <v>3</v>
      </c>
      <c r="I119" s="103">
        <v>2</v>
      </c>
      <c r="J119" s="103">
        <v>2</v>
      </c>
      <c r="K119" s="103">
        <v>2</v>
      </c>
      <c r="L119" s="103">
        <v>2</v>
      </c>
      <c r="M119" s="103">
        <v>2</v>
      </c>
      <c r="N119" s="103">
        <v>2</v>
      </c>
      <c r="O119" s="103">
        <v>3</v>
      </c>
      <c r="P119" s="103">
        <v>2</v>
      </c>
      <c r="Q119" s="103">
        <v>2</v>
      </c>
      <c r="R119" s="33">
        <f t="shared" si="1"/>
        <v>35</v>
      </c>
    </row>
    <row r="120" spans="1:18" x14ac:dyDescent="0.2">
      <c r="A120" s="56" t="s">
        <v>416</v>
      </c>
      <c r="B120" s="76">
        <v>3</v>
      </c>
      <c r="C120" s="75">
        <v>2</v>
      </c>
      <c r="D120" s="75">
        <v>2</v>
      </c>
      <c r="E120" s="75">
        <v>3</v>
      </c>
      <c r="F120" s="75">
        <v>3</v>
      </c>
      <c r="G120" s="75">
        <v>2</v>
      </c>
      <c r="H120" s="75">
        <v>2</v>
      </c>
      <c r="I120" s="75">
        <v>2</v>
      </c>
      <c r="J120" s="75">
        <v>3</v>
      </c>
      <c r="K120" s="75">
        <v>2</v>
      </c>
      <c r="L120" s="75">
        <v>3</v>
      </c>
      <c r="M120" s="75">
        <v>2</v>
      </c>
      <c r="N120" s="75">
        <v>2</v>
      </c>
      <c r="O120" s="75">
        <v>2</v>
      </c>
      <c r="P120" s="75">
        <v>2</v>
      </c>
      <c r="Q120" s="75">
        <v>2</v>
      </c>
      <c r="R120" s="33">
        <f t="shared" si="1"/>
        <v>37</v>
      </c>
    </row>
    <row r="121" spans="1:18" x14ac:dyDescent="0.2">
      <c r="A121" s="56" t="s">
        <v>417</v>
      </c>
      <c r="B121" s="76">
        <v>2</v>
      </c>
      <c r="C121" s="75">
        <v>2</v>
      </c>
      <c r="D121" s="75">
        <v>1</v>
      </c>
      <c r="E121" s="75">
        <v>2</v>
      </c>
      <c r="F121" s="75">
        <v>1</v>
      </c>
      <c r="G121" s="75">
        <v>1</v>
      </c>
      <c r="H121" s="75">
        <v>2</v>
      </c>
      <c r="I121" s="75">
        <v>1</v>
      </c>
      <c r="J121" s="75">
        <v>1</v>
      </c>
      <c r="K121" s="75">
        <v>1</v>
      </c>
      <c r="L121" s="75">
        <v>2</v>
      </c>
      <c r="M121" s="75">
        <v>1</v>
      </c>
      <c r="N121" s="75">
        <v>1</v>
      </c>
      <c r="O121" s="75">
        <v>2</v>
      </c>
      <c r="P121" s="75">
        <v>2</v>
      </c>
      <c r="Q121" s="75">
        <v>1</v>
      </c>
      <c r="R121" s="33">
        <f t="shared" si="1"/>
        <v>23</v>
      </c>
    </row>
    <row r="122" spans="1:18" x14ac:dyDescent="0.2">
      <c r="A122" s="56" t="s">
        <v>418</v>
      </c>
      <c r="B122" s="76">
        <v>2</v>
      </c>
      <c r="C122" s="75">
        <v>2</v>
      </c>
      <c r="D122" s="75">
        <v>2</v>
      </c>
      <c r="E122" s="75">
        <v>2</v>
      </c>
      <c r="F122" s="75">
        <v>2</v>
      </c>
      <c r="G122" s="75">
        <v>2</v>
      </c>
      <c r="H122" s="75">
        <v>2</v>
      </c>
      <c r="I122" s="75">
        <v>2</v>
      </c>
      <c r="J122" s="75">
        <v>2</v>
      </c>
      <c r="K122" s="75">
        <v>2</v>
      </c>
      <c r="L122" s="75">
        <v>2</v>
      </c>
      <c r="M122" s="75">
        <v>2</v>
      </c>
      <c r="N122" s="75">
        <v>2</v>
      </c>
      <c r="O122" s="75">
        <v>2</v>
      </c>
      <c r="P122" s="75">
        <v>2</v>
      </c>
      <c r="Q122" s="75">
        <v>2</v>
      </c>
      <c r="R122" s="33">
        <f t="shared" si="1"/>
        <v>32</v>
      </c>
    </row>
    <row r="123" spans="1:18" x14ac:dyDescent="0.2">
      <c r="A123" s="56" t="s">
        <v>419</v>
      </c>
      <c r="B123" s="76">
        <v>3</v>
      </c>
      <c r="C123" s="75">
        <v>3</v>
      </c>
      <c r="D123" s="75">
        <v>2</v>
      </c>
      <c r="E123" s="75">
        <v>3</v>
      </c>
      <c r="F123" s="75">
        <v>3</v>
      </c>
      <c r="G123" s="75">
        <v>2</v>
      </c>
      <c r="H123" s="75">
        <v>2</v>
      </c>
      <c r="I123" s="75">
        <v>3</v>
      </c>
      <c r="J123" s="75">
        <v>3</v>
      </c>
      <c r="K123" s="75">
        <v>1</v>
      </c>
      <c r="L123" s="75">
        <v>3</v>
      </c>
      <c r="M123" s="75">
        <v>3</v>
      </c>
      <c r="N123" s="75">
        <v>2</v>
      </c>
      <c r="O123" s="75">
        <v>3</v>
      </c>
      <c r="P123" s="75">
        <v>2</v>
      </c>
      <c r="Q123" s="75">
        <v>3</v>
      </c>
      <c r="R123" s="33">
        <f t="shared" si="1"/>
        <v>41</v>
      </c>
    </row>
    <row r="124" spans="1:18" x14ac:dyDescent="0.2">
      <c r="A124" s="56" t="s">
        <v>420</v>
      </c>
      <c r="B124" s="76">
        <v>2</v>
      </c>
      <c r="C124" s="75">
        <v>2</v>
      </c>
      <c r="D124" s="75">
        <v>3</v>
      </c>
      <c r="E124" s="75">
        <v>3</v>
      </c>
      <c r="F124" s="75">
        <v>2</v>
      </c>
      <c r="G124" s="75">
        <v>3</v>
      </c>
      <c r="H124" s="75">
        <v>2</v>
      </c>
      <c r="I124" s="75">
        <v>2</v>
      </c>
      <c r="J124" s="75">
        <v>3</v>
      </c>
      <c r="K124" s="75">
        <v>2</v>
      </c>
      <c r="L124" s="75">
        <v>3</v>
      </c>
      <c r="M124" s="75">
        <v>2</v>
      </c>
      <c r="N124" s="75">
        <v>2</v>
      </c>
      <c r="O124" s="75">
        <v>3</v>
      </c>
      <c r="P124" s="75">
        <v>2</v>
      </c>
      <c r="Q124" s="75">
        <v>2</v>
      </c>
      <c r="R124" s="33">
        <f t="shared" si="1"/>
        <v>38</v>
      </c>
    </row>
    <row r="125" spans="1:18" x14ac:dyDescent="0.2">
      <c r="A125" s="56" t="s">
        <v>421</v>
      </c>
      <c r="B125" s="76">
        <v>2</v>
      </c>
      <c r="C125" s="75">
        <v>3</v>
      </c>
      <c r="D125" s="75">
        <v>1</v>
      </c>
      <c r="E125" s="75">
        <v>3</v>
      </c>
      <c r="F125" s="75">
        <v>2</v>
      </c>
      <c r="G125" s="75">
        <v>2</v>
      </c>
      <c r="H125" s="75">
        <v>2</v>
      </c>
      <c r="I125" s="75">
        <v>1</v>
      </c>
      <c r="J125" s="75">
        <v>1</v>
      </c>
      <c r="K125" s="75">
        <v>1</v>
      </c>
      <c r="L125" s="75">
        <v>2</v>
      </c>
      <c r="M125" s="75">
        <v>1</v>
      </c>
      <c r="N125" s="75">
        <v>2</v>
      </c>
      <c r="O125" s="75">
        <v>3</v>
      </c>
      <c r="P125" s="75">
        <v>2</v>
      </c>
      <c r="Q125" s="75">
        <v>1</v>
      </c>
      <c r="R125" s="33">
        <f t="shared" si="1"/>
        <v>29</v>
      </c>
    </row>
    <row r="126" spans="1:18" x14ac:dyDescent="0.2">
      <c r="A126" s="56" t="s">
        <v>422</v>
      </c>
      <c r="B126" s="76">
        <v>2</v>
      </c>
      <c r="C126" s="75">
        <v>3</v>
      </c>
      <c r="D126" s="75">
        <v>2</v>
      </c>
      <c r="E126" s="75">
        <v>3</v>
      </c>
      <c r="F126" s="75">
        <v>3</v>
      </c>
      <c r="G126" s="75">
        <v>3</v>
      </c>
      <c r="H126" s="75">
        <v>3</v>
      </c>
      <c r="I126" s="75">
        <v>2</v>
      </c>
      <c r="J126" s="75">
        <v>3</v>
      </c>
      <c r="K126" s="75">
        <v>2</v>
      </c>
      <c r="L126" s="75">
        <v>3</v>
      </c>
      <c r="M126" s="75">
        <v>2</v>
      </c>
      <c r="N126" s="75">
        <v>3</v>
      </c>
      <c r="O126" s="75">
        <v>3</v>
      </c>
      <c r="P126" s="75">
        <v>3</v>
      </c>
      <c r="Q126" s="75">
        <v>2</v>
      </c>
      <c r="R126" s="33">
        <f t="shared" si="1"/>
        <v>42</v>
      </c>
    </row>
    <row r="127" spans="1:18" x14ac:dyDescent="0.2">
      <c r="A127" s="56" t="s">
        <v>423</v>
      </c>
      <c r="B127" s="76">
        <v>3</v>
      </c>
      <c r="C127" s="75">
        <v>2</v>
      </c>
      <c r="D127" s="75">
        <v>2</v>
      </c>
      <c r="E127" s="75">
        <v>3</v>
      </c>
      <c r="F127" s="75">
        <v>3</v>
      </c>
      <c r="G127" s="75">
        <v>3</v>
      </c>
      <c r="H127" s="75">
        <v>3</v>
      </c>
      <c r="I127" s="75">
        <v>2</v>
      </c>
      <c r="J127" s="75">
        <v>2</v>
      </c>
      <c r="K127" s="75">
        <v>2</v>
      </c>
      <c r="L127" s="75">
        <v>3</v>
      </c>
      <c r="M127" s="75">
        <v>2</v>
      </c>
      <c r="N127" s="75">
        <v>2</v>
      </c>
      <c r="O127" s="75">
        <v>3</v>
      </c>
      <c r="P127" s="75">
        <v>3</v>
      </c>
      <c r="Q127" s="75">
        <v>2</v>
      </c>
      <c r="R127" s="33">
        <f t="shared" si="1"/>
        <v>40</v>
      </c>
    </row>
    <row r="128" spans="1:18" ht="16" x14ac:dyDescent="0.2">
      <c r="A128" s="44" t="s">
        <v>424</v>
      </c>
      <c r="B128" s="102">
        <v>2</v>
      </c>
      <c r="C128" s="103">
        <v>2</v>
      </c>
      <c r="D128" s="103">
        <v>2</v>
      </c>
      <c r="E128" s="103">
        <v>2</v>
      </c>
      <c r="F128" s="103">
        <v>1</v>
      </c>
      <c r="G128" s="103">
        <v>2</v>
      </c>
      <c r="H128" s="103">
        <v>2</v>
      </c>
      <c r="I128" s="103">
        <v>2</v>
      </c>
      <c r="J128" s="103">
        <v>1</v>
      </c>
      <c r="K128" s="103">
        <v>1</v>
      </c>
      <c r="L128" s="103">
        <v>2</v>
      </c>
      <c r="M128" s="103">
        <v>1</v>
      </c>
      <c r="N128" s="103">
        <v>1</v>
      </c>
      <c r="O128" s="103">
        <v>2</v>
      </c>
      <c r="P128" s="103">
        <v>2</v>
      </c>
      <c r="Q128" s="103">
        <v>1</v>
      </c>
      <c r="R128" s="33">
        <f t="shared" si="1"/>
        <v>26</v>
      </c>
    </row>
    <row r="129" spans="1:18" x14ac:dyDescent="0.2">
      <c r="A129" s="56" t="s">
        <v>425</v>
      </c>
      <c r="B129" s="76">
        <v>2</v>
      </c>
      <c r="C129" s="75">
        <v>2</v>
      </c>
      <c r="D129" s="75">
        <v>2</v>
      </c>
      <c r="E129" s="75">
        <v>2</v>
      </c>
      <c r="F129" s="75">
        <v>2</v>
      </c>
      <c r="G129" s="75">
        <v>2</v>
      </c>
      <c r="H129" s="75">
        <v>2</v>
      </c>
      <c r="I129" s="75">
        <v>2</v>
      </c>
      <c r="J129" s="75">
        <v>2</v>
      </c>
      <c r="K129" s="75">
        <v>2</v>
      </c>
      <c r="L129" s="75">
        <v>2</v>
      </c>
      <c r="M129" s="75">
        <v>2</v>
      </c>
      <c r="N129" s="75">
        <v>2</v>
      </c>
      <c r="O129" s="75">
        <v>2</v>
      </c>
      <c r="P129" s="75">
        <v>2</v>
      </c>
      <c r="Q129" s="75">
        <v>2</v>
      </c>
      <c r="R129" s="33">
        <f t="shared" si="1"/>
        <v>32</v>
      </c>
    </row>
    <row r="130" spans="1:18" x14ac:dyDescent="0.2">
      <c r="A130" s="56" t="s">
        <v>426</v>
      </c>
      <c r="B130" s="76">
        <v>1</v>
      </c>
      <c r="C130" s="75">
        <v>1</v>
      </c>
      <c r="D130" s="75">
        <v>1</v>
      </c>
      <c r="E130" s="75">
        <v>1</v>
      </c>
      <c r="F130" s="75">
        <v>1</v>
      </c>
      <c r="G130" s="75">
        <v>1</v>
      </c>
      <c r="H130" s="75">
        <v>1</v>
      </c>
      <c r="I130" s="75">
        <v>1</v>
      </c>
      <c r="J130" s="75">
        <v>1</v>
      </c>
      <c r="K130" s="75">
        <v>1</v>
      </c>
      <c r="L130" s="75">
        <v>1</v>
      </c>
      <c r="M130" s="75">
        <v>1</v>
      </c>
      <c r="N130" s="75">
        <v>1</v>
      </c>
      <c r="O130" s="75">
        <v>1</v>
      </c>
      <c r="P130" s="75">
        <v>1</v>
      </c>
      <c r="Q130" s="75">
        <v>1</v>
      </c>
      <c r="R130" s="33">
        <f t="shared" ref="R130:R184" si="2">SUM(B130:Q130)</f>
        <v>16</v>
      </c>
    </row>
    <row r="131" spans="1:18" x14ac:dyDescent="0.2">
      <c r="A131" s="64" t="s">
        <v>427</v>
      </c>
      <c r="B131" s="76">
        <v>2</v>
      </c>
      <c r="C131" s="75">
        <v>3</v>
      </c>
      <c r="D131" s="75">
        <v>1</v>
      </c>
      <c r="E131" s="75">
        <v>3</v>
      </c>
      <c r="F131" s="75">
        <v>2</v>
      </c>
      <c r="G131" s="75">
        <v>2</v>
      </c>
      <c r="H131" s="75">
        <v>3</v>
      </c>
      <c r="I131" s="75">
        <v>2</v>
      </c>
      <c r="J131" s="75">
        <v>3</v>
      </c>
      <c r="K131" s="75">
        <v>1</v>
      </c>
      <c r="L131" s="75">
        <v>3</v>
      </c>
      <c r="M131" s="75">
        <v>2</v>
      </c>
      <c r="N131" s="75">
        <v>3</v>
      </c>
      <c r="O131" s="75">
        <v>3</v>
      </c>
      <c r="P131" s="75">
        <v>3</v>
      </c>
      <c r="Q131" s="75">
        <v>2</v>
      </c>
      <c r="R131" s="33">
        <f t="shared" si="2"/>
        <v>38</v>
      </c>
    </row>
    <row r="132" spans="1:18" ht="16" x14ac:dyDescent="0.2">
      <c r="A132" s="65" t="s">
        <v>429</v>
      </c>
      <c r="B132" s="76">
        <v>3</v>
      </c>
      <c r="C132" s="75">
        <v>2</v>
      </c>
      <c r="D132" s="75">
        <v>1</v>
      </c>
      <c r="E132" s="75">
        <v>2</v>
      </c>
      <c r="F132" s="75">
        <v>1</v>
      </c>
      <c r="G132" s="75">
        <v>2</v>
      </c>
      <c r="H132" s="75">
        <v>2</v>
      </c>
      <c r="I132" s="75">
        <v>1</v>
      </c>
      <c r="J132" s="75">
        <v>2</v>
      </c>
      <c r="K132" s="75">
        <v>1</v>
      </c>
      <c r="L132" s="75">
        <v>3</v>
      </c>
      <c r="M132" s="75">
        <v>1</v>
      </c>
      <c r="N132" s="75">
        <v>2</v>
      </c>
      <c r="O132" s="75">
        <v>3</v>
      </c>
      <c r="P132" s="75">
        <v>2</v>
      </c>
      <c r="Q132" s="75">
        <v>1</v>
      </c>
      <c r="R132" s="33">
        <f t="shared" si="2"/>
        <v>29</v>
      </c>
    </row>
    <row r="133" spans="1:18" ht="16" x14ac:dyDescent="0.2">
      <c r="A133" s="68" t="s">
        <v>430</v>
      </c>
      <c r="B133" s="105">
        <v>2</v>
      </c>
      <c r="C133" s="106">
        <v>3</v>
      </c>
      <c r="D133" s="106">
        <v>3</v>
      </c>
      <c r="E133" s="106">
        <v>3</v>
      </c>
      <c r="F133" s="106">
        <v>3</v>
      </c>
      <c r="G133" s="106">
        <v>3</v>
      </c>
      <c r="H133" s="106">
        <v>2</v>
      </c>
      <c r="I133" s="106">
        <v>2</v>
      </c>
      <c r="J133" s="106">
        <v>3</v>
      </c>
      <c r="K133" s="106">
        <v>2</v>
      </c>
      <c r="L133" s="106">
        <v>3</v>
      </c>
      <c r="M133" s="106">
        <v>3</v>
      </c>
      <c r="N133" s="106">
        <v>3</v>
      </c>
      <c r="O133" s="106">
        <v>3</v>
      </c>
      <c r="P133" s="106">
        <v>3</v>
      </c>
      <c r="Q133" s="106">
        <v>2</v>
      </c>
      <c r="R133" s="33">
        <f t="shared" si="2"/>
        <v>43</v>
      </c>
    </row>
    <row r="134" spans="1:18" ht="16" x14ac:dyDescent="0.2">
      <c r="A134" s="68" t="s">
        <v>431</v>
      </c>
      <c r="B134" s="76">
        <v>3</v>
      </c>
      <c r="C134" s="75">
        <v>2</v>
      </c>
      <c r="D134" s="75">
        <v>2</v>
      </c>
      <c r="E134" s="75">
        <v>2</v>
      </c>
      <c r="F134" s="75">
        <v>2</v>
      </c>
      <c r="G134" s="75">
        <v>3</v>
      </c>
      <c r="H134" s="75">
        <v>2</v>
      </c>
      <c r="I134" s="75">
        <v>2</v>
      </c>
      <c r="J134" s="75">
        <v>3</v>
      </c>
      <c r="K134" s="75">
        <v>2</v>
      </c>
      <c r="L134" s="75">
        <v>3</v>
      </c>
      <c r="M134" s="75">
        <v>2</v>
      </c>
      <c r="N134" s="75">
        <v>2</v>
      </c>
      <c r="O134" s="75">
        <v>3</v>
      </c>
      <c r="P134" s="75">
        <v>2</v>
      </c>
      <c r="Q134" s="75">
        <v>2</v>
      </c>
      <c r="R134" s="33">
        <f t="shared" si="2"/>
        <v>37</v>
      </c>
    </row>
    <row r="135" spans="1:18" x14ac:dyDescent="0.2">
      <c r="A135" s="54" t="s">
        <v>432</v>
      </c>
      <c r="B135" s="102">
        <v>2</v>
      </c>
      <c r="C135" s="103">
        <v>3</v>
      </c>
      <c r="D135" s="103">
        <v>3</v>
      </c>
      <c r="E135" s="103">
        <v>4</v>
      </c>
      <c r="F135" s="103">
        <v>2</v>
      </c>
      <c r="G135" s="103">
        <v>2</v>
      </c>
      <c r="H135" s="103">
        <v>3</v>
      </c>
      <c r="I135" s="103">
        <v>2</v>
      </c>
      <c r="J135" s="103">
        <v>3</v>
      </c>
      <c r="K135" s="103">
        <v>1</v>
      </c>
      <c r="L135" s="103">
        <v>4</v>
      </c>
      <c r="M135" s="103">
        <v>1</v>
      </c>
      <c r="N135" s="103">
        <v>3</v>
      </c>
      <c r="O135" s="103">
        <v>4</v>
      </c>
      <c r="P135" s="103">
        <v>3</v>
      </c>
      <c r="Q135" s="103">
        <v>1</v>
      </c>
      <c r="R135" s="33">
        <f t="shared" si="2"/>
        <v>41</v>
      </c>
    </row>
    <row r="136" spans="1:18" x14ac:dyDescent="0.2">
      <c r="A136" s="54" t="s">
        <v>433</v>
      </c>
      <c r="B136" s="76">
        <v>1</v>
      </c>
      <c r="C136" s="75">
        <v>3</v>
      </c>
      <c r="D136" s="75">
        <v>1</v>
      </c>
      <c r="E136" s="75">
        <v>3</v>
      </c>
      <c r="F136" s="75">
        <v>1</v>
      </c>
      <c r="G136" s="75">
        <v>2</v>
      </c>
      <c r="H136" s="75">
        <v>2</v>
      </c>
      <c r="I136" s="75">
        <v>3</v>
      </c>
      <c r="J136" s="75">
        <v>1</v>
      </c>
      <c r="K136" s="75">
        <v>1</v>
      </c>
      <c r="L136" s="75">
        <v>3</v>
      </c>
      <c r="M136" s="75">
        <v>1</v>
      </c>
      <c r="N136" s="75">
        <v>2</v>
      </c>
      <c r="O136" s="75">
        <v>2</v>
      </c>
      <c r="P136" s="75">
        <v>2</v>
      </c>
      <c r="Q136" s="75">
        <v>2</v>
      </c>
      <c r="R136" s="33">
        <f t="shared" si="2"/>
        <v>30</v>
      </c>
    </row>
    <row r="137" spans="1:18" x14ac:dyDescent="0.2">
      <c r="A137" s="54" t="s">
        <v>435</v>
      </c>
      <c r="B137" s="76">
        <v>3</v>
      </c>
      <c r="C137" s="75">
        <v>2</v>
      </c>
      <c r="D137" s="75">
        <v>2</v>
      </c>
      <c r="E137" s="75">
        <v>2</v>
      </c>
      <c r="F137" s="75">
        <v>1</v>
      </c>
      <c r="G137" s="75">
        <v>2</v>
      </c>
      <c r="H137" s="75">
        <v>2</v>
      </c>
      <c r="I137" s="75">
        <v>1</v>
      </c>
      <c r="J137" s="75">
        <v>1</v>
      </c>
      <c r="K137" s="75">
        <v>1</v>
      </c>
      <c r="L137" s="75">
        <v>3</v>
      </c>
      <c r="M137" s="75">
        <v>1</v>
      </c>
      <c r="N137" s="75">
        <v>3</v>
      </c>
      <c r="O137" s="75">
        <v>3</v>
      </c>
      <c r="P137" s="75">
        <v>2</v>
      </c>
      <c r="Q137" s="75">
        <v>1</v>
      </c>
      <c r="R137" s="33">
        <f t="shared" si="2"/>
        <v>30</v>
      </c>
    </row>
    <row r="138" spans="1:18" x14ac:dyDescent="0.2">
      <c r="A138" s="54" t="s">
        <v>438</v>
      </c>
      <c r="B138" s="107">
        <v>1</v>
      </c>
      <c r="C138" s="108">
        <v>3</v>
      </c>
      <c r="D138" s="108">
        <v>1</v>
      </c>
      <c r="E138" s="108">
        <v>2</v>
      </c>
      <c r="F138" s="108">
        <v>1</v>
      </c>
      <c r="G138" s="108">
        <v>2</v>
      </c>
      <c r="H138" s="108">
        <v>3</v>
      </c>
      <c r="I138" s="108">
        <v>3</v>
      </c>
      <c r="J138" s="108">
        <v>2</v>
      </c>
      <c r="K138" s="108">
        <v>1</v>
      </c>
      <c r="L138" s="108">
        <v>3</v>
      </c>
      <c r="M138" s="108">
        <v>2</v>
      </c>
      <c r="N138" s="108">
        <v>2</v>
      </c>
      <c r="O138" s="108">
        <v>3</v>
      </c>
      <c r="P138" s="108">
        <v>3</v>
      </c>
      <c r="Q138" s="108">
        <v>2</v>
      </c>
      <c r="R138" s="33">
        <f t="shared" si="2"/>
        <v>34</v>
      </c>
    </row>
    <row r="139" spans="1:18" x14ac:dyDescent="0.2">
      <c r="A139" s="54" t="s">
        <v>443</v>
      </c>
      <c r="B139" s="74">
        <v>1</v>
      </c>
      <c r="C139" s="109">
        <v>1</v>
      </c>
      <c r="D139" s="74">
        <v>1</v>
      </c>
      <c r="E139" s="74">
        <v>1</v>
      </c>
      <c r="F139" s="74">
        <v>1</v>
      </c>
      <c r="G139" s="74">
        <v>2</v>
      </c>
      <c r="H139" s="74">
        <v>2</v>
      </c>
      <c r="I139" s="74">
        <v>1</v>
      </c>
      <c r="J139" s="74">
        <v>2</v>
      </c>
      <c r="K139" s="74">
        <v>1</v>
      </c>
      <c r="L139" s="74">
        <v>2</v>
      </c>
      <c r="M139" s="74">
        <v>1</v>
      </c>
      <c r="N139" s="74">
        <v>1</v>
      </c>
      <c r="O139" s="74">
        <v>2</v>
      </c>
      <c r="P139" s="74">
        <v>2</v>
      </c>
      <c r="Q139" s="74">
        <v>1</v>
      </c>
      <c r="R139" s="33">
        <f t="shared" si="2"/>
        <v>22</v>
      </c>
    </row>
    <row r="140" spans="1:18" x14ac:dyDescent="0.2">
      <c r="A140" s="54" t="s">
        <v>444</v>
      </c>
      <c r="B140" s="76">
        <v>1</v>
      </c>
      <c r="C140" s="104">
        <v>1</v>
      </c>
      <c r="D140" s="74">
        <v>1</v>
      </c>
      <c r="E140" s="74">
        <v>1</v>
      </c>
      <c r="F140" s="74">
        <v>1</v>
      </c>
      <c r="G140" s="74">
        <v>2</v>
      </c>
      <c r="H140" s="74">
        <v>1</v>
      </c>
      <c r="I140" s="74">
        <v>1</v>
      </c>
      <c r="J140" s="74">
        <v>1</v>
      </c>
      <c r="K140" s="74">
        <v>1</v>
      </c>
      <c r="L140" s="74">
        <v>2</v>
      </c>
      <c r="M140" s="74">
        <v>1</v>
      </c>
      <c r="N140" s="74">
        <v>1</v>
      </c>
      <c r="O140" s="74">
        <v>2</v>
      </c>
      <c r="P140" s="74">
        <v>1</v>
      </c>
      <c r="Q140" s="74">
        <v>1</v>
      </c>
      <c r="R140" s="33">
        <f t="shared" si="2"/>
        <v>19</v>
      </c>
    </row>
    <row r="141" spans="1:18" x14ac:dyDescent="0.2">
      <c r="A141" s="54" t="s">
        <v>445</v>
      </c>
      <c r="B141" s="76">
        <v>1</v>
      </c>
      <c r="C141" s="104">
        <v>1</v>
      </c>
      <c r="D141" s="74">
        <v>1</v>
      </c>
      <c r="E141" s="74">
        <v>1</v>
      </c>
      <c r="F141" s="74">
        <v>1</v>
      </c>
      <c r="G141" s="74">
        <v>3</v>
      </c>
      <c r="H141" s="74">
        <v>2</v>
      </c>
      <c r="I141" s="74">
        <v>1</v>
      </c>
      <c r="J141" s="74">
        <v>2</v>
      </c>
      <c r="K141" s="74">
        <v>1</v>
      </c>
      <c r="L141" s="74">
        <v>2</v>
      </c>
      <c r="M141" s="74">
        <v>1</v>
      </c>
      <c r="N141" s="74">
        <v>1</v>
      </c>
      <c r="O141" s="74">
        <v>2</v>
      </c>
      <c r="P141" s="74">
        <v>1</v>
      </c>
      <c r="Q141" s="74">
        <v>1</v>
      </c>
      <c r="R141" s="33">
        <f t="shared" si="2"/>
        <v>22</v>
      </c>
    </row>
    <row r="142" spans="1:18" ht="16" x14ac:dyDescent="0.2">
      <c r="A142" s="53" t="s">
        <v>446</v>
      </c>
      <c r="B142" s="102">
        <v>1</v>
      </c>
      <c r="C142" s="103">
        <v>1</v>
      </c>
      <c r="D142" s="75">
        <v>1</v>
      </c>
      <c r="E142" s="75">
        <v>1</v>
      </c>
      <c r="F142" s="75">
        <v>1</v>
      </c>
      <c r="G142" s="75">
        <v>3</v>
      </c>
      <c r="H142" s="75">
        <v>2</v>
      </c>
      <c r="I142" s="75">
        <v>1</v>
      </c>
      <c r="J142" s="75">
        <v>1</v>
      </c>
      <c r="K142" s="75">
        <v>1</v>
      </c>
      <c r="L142" s="75">
        <v>3</v>
      </c>
      <c r="M142" s="75">
        <v>1</v>
      </c>
      <c r="N142" s="75">
        <v>2</v>
      </c>
      <c r="O142" s="75">
        <v>2</v>
      </c>
      <c r="P142" s="75">
        <v>1</v>
      </c>
      <c r="Q142" s="75">
        <v>1</v>
      </c>
      <c r="R142" s="33">
        <f t="shared" si="2"/>
        <v>23</v>
      </c>
    </row>
    <row r="143" spans="1:18" x14ac:dyDescent="0.2">
      <c r="A143" s="50" t="s">
        <v>447</v>
      </c>
      <c r="B143" s="102">
        <v>1</v>
      </c>
      <c r="C143" s="103">
        <v>2</v>
      </c>
      <c r="D143" s="103">
        <v>1</v>
      </c>
      <c r="E143" s="103">
        <v>2</v>
      </c>
      <c r="F143" s="103">
        <v>1</v>
      </c>
      <c r="G143" s="103">
        <v>3</v>
      </c>
      <c r="H143" s="103">
        <v>3</v>
      </c>
      <c r="I143" s="103">
        <v>1</v>
      </c>
      <c r="J143" s="103">
        <v>2</v>
      </c>
      <c r="K143" s="103">
        <v>1</v>
      </c>
      <c r="L143" s="103">
        <v>3</v>
      </c>
      <c r="M143" s="103">
        <v>1</v>
      </c>
      <c r="N143" s="103">
        <v>2</v>
      </c>
      <c r="O143" s="103">
        <v>3</v>
      </c>
      <c r="P143" s="103">
        <v>2</v>
      </c>
      <c r="Q143" s="103">
        <v>1</v>
      </c>
      <c r="R143" s="33">
        <f t="shared" si="2"/>
        <v>29</v>
      </c>
    </row>
    <row r="144" spans="1:18" x14ac:dyDescent="0.2">
      <c r="A144" s="50" t="s">
        <v>448</v>
      </c>
      <c r="B144" s="102">
        <v>2</v>
      </c>
      <c r="C144" s="103">
        <v>2</v>
      </c>
      <c r="D144" s="103">
        <v>1</v>
      </c>
      <c r="E144" s="103">
        <v>2</v>
      </c>
      <c r="F144" s="103">
        <v>1</v>
      </c>
      <c r="G144" s="103">
        <v>3</v>
      </c>
      <c r="H144" s="103">
        <v>2</v>
      </c>
      <c r="I144" s="103">
        <v>1</v>
      </c>
      <c r="J144" s="103">
        <v>2</v>
      </c>
      <c r="K144" s="103">
        <v>1</v>
      </c>
      <c r="L144" s="103">
        <v>3</v>
      </c>
      <c r="M144" s="103">
        <v>1</v>
      </c>
      <c r="N144" s="103">
        <v>2</v>
      </c>
      <c r="O144" s="103">
        <v>3</v>
      </c>
      <c r="P144" s="103">
        <v>2</v>
      </c>
      <c r="Q144" s="103">
        <v>1</v>
      </c>
      <c r="R144" s="33">
        <f t="shared" si="2"/>
        <v>29</v>
      </c>
    </row>
    <row r="145" spans="1:18" x14ac:dyDescent="0.2">
      <c r="A145" s="50" t="s">
        <v>449</v>
      </c>
      <c r="B145" s="76">
        <v>1</v>
      </c>
      <c r="C145" s="75">
        <v>1</v>
      </c>
      <c r="D145" s="75">
        <v>1</v>
      </c>
      <c r="E145" s="75">
        <v>1</v>
      </c>
      <c r="F145" s="75">
        <v>1</v>
      </c>
      <c r="G145" s="75">
        <v>2</v>
      </c>
      <c r="H145" s="75">
        <v>1</v>
      </c>
      <c r="I145" s="75">
        <v>1</v>
      </c>
      <c r="J145" s="75">
        <v>1</v>
      </c>
      <c r="K145" s="75">
        <v>1</v>
      </c>
      <c r="L145" s="75">
        <v>2</v>
      </c>
      <c r="M145" s="75">
        <v>1</v>
      </c>
      <c r="N145" s="75">
        <v>1</v>
      </c>
      <c r="O145" s="75">
        <v>2</v>
      </c>
      <c r="P145" s="75">
        <v>1</v>
      </c>
      <c r="Q145" s="75">
        <v>1</v>
      </c>
      <c r="R145" s="33">
        <f t="shared" si="2"/>
        <v>19</v>
      </c>
    </row>
    <row r="146" spans="1:18" x14ac:dyDescent="0.2">
      <c r="A146" s="77" t="s">
        <v>450</v>
      </c>
      <c r="B146" s="103">
        <v>3</v>
      </c>
      <c r="C146" s="103">
        <v>3</v>
      </c>
      <c r="D146" s="103">
        <v>3</v>
      </c>
      <c r="E146" s="103">
        <v>4</v>
      </c>
      <c r="F146" s="103">
        <v>3</v>
      </c>
      <c r="G146" s="103">
        <v>4</v>
      </c>
      <c r="H146" s="103">
        <v>3</v>
      </c>
      <c r="I146" s="103">
        <v>3</v>
      </c>
      <c r="J146" s="103">
        <v>3</v>
      </c>
      <c r="K146" s="103">
        <v>2</v>
      </c>
      <c r="L146" s="103">
        <v>3</v>
      </c>
      <c r="M146" s="103">
        <v>3</v>
      </c>
      <c r="N146" s="103">
        <v>3</v>
      </c>
      <c r="O146" s="103">
        <v>3</v>
      </c>
      <c r="P146" s="103">
        <v>3</v>
      </c>
      <c r="Q146" s="103">
        <v>3</v>
      </c>
      <c r="R146" s="33">
        <f t="shared" si="2"/>
        <v>49</v>
      </c>
    </row>
    <row r="147" spans="1:18" x14ac:dyDescent="0.2">
      <c r="A147" s="77" t="s">
        <v>451</v>
      </c>
      <c r="B147" s="110">
        <v>2</v>
      </c>
      <c r="C147" s="110">
        <v>2</v>
      </c>
      <c r="D147" s="110">
        <v>1</v>
      </c>
      <c r="E147" s="110">
        <v>2</v>
      </c>
      <c r="F147" s="110">
        <v>2</v>
      </c>
      <c r="G147" s="110">
        <v>3</v>
      </c>
      <c r="H147" s="110">
        <v>2</v>
      </c>
      <c r="I147" s="110">
        <v>2</v>
      </c>
      <c r="J147" s="110">
        <v>1</v>
      </c>
      <c r="K147" s="110">
        <v>1</v>
      </c>
      <c r="L147" s="110">
        <v>2</v>
      </c>
      <c r="M147" s="110">
        <v>2</v>
      </c>
      <c r="N147" s="110">
        <v>2</v>
      </c>
      <c r="O147" s="110">
        <v>2</v>
      </c>
      <c r="P147" s="110">
        <v>2</v>
      </c>
      <c r="Q147" s="110">
        <v>2</v>
      </c>
      <c r="R147" s="33">
        <f t="shared" si="2"/>
        <v>30</v>
      </c>
    </row>
    <row r="148" spans="1:18" x14ac:dyDescent="0.2">
      <c r="A148" s="77" t="s">
        <v>452</v>
      </c>
      <c r="B148" s="102">
        <v>2</v>
      </c>
      <c r="C148" s="103">
        <v>2</v>
      </c>
      <c r="D148" s="103">
        <v>1</v>
      </c>
      <c r="E148" s="103">
        <v>3</v>
      </c>
      <c r="F148" s="103">
        <v>2</v>
      </c>
      <c r="G148" s="103">
        <v>2</v>
      </c>
      <c r="H148" s="103">
        <v>2</v>
      </c>
      <c r="I148" s="103">
        <v>1</v>
      </c>
      <c r="J148" s="103">
        <v>1</v>
      </c>
      <c r="K148" s="103">
        <v>1</v>
      </c>
      <c r="L148" s="103">
        <v>3</v>
      </c>
      <c r="M148" s="103">
        <v>1</v>
      </c>
      <c r="N148" s="103">
        <v>2</v>
      </c>
      <c r="O148" s="103">
        <v>3</v>
      </c>
      <c r="P148" s="103">
        <v>2</v>
      </c>
      <c r="Q148" s="103">
        <v>1</v>
      </c>
      <c r="R148" s="33">
        <f t="shared" si="2"/>
        <v>29</v>
      </c>
    </row>
    <row r="149" spans="1:18" x14ac:dyDescent="0.2">
      <c r="A149" s="77" t="s">
        <v>453</v>
      </c>
      <c r="B149" s="76">
        <v>3</v>
      </c>
      <c r="C149" s="75">
        <v>3</v>
      </c>
      <c r="D149" s="75">
        <v>2</v>
      </c>
      <c r="E149" s="75">
        <v>4</v>
      </c>
      <c r="F149" s="75">
        <v>3</v>
      </c>
      <c r="G149" s="75">
        <v>4</v>
      </c>
      <c r="H149" s="75">
        <v>3</v>
      </c>
      <c r="I149" s="75">
        <v>2</v>
      </c>
      <c r="J149" s="75">
        <v>2</v>
      </c>
      <c r="K149" s="75">
        <v>2</v>
      </c>
      <c r="L149" s="75">
        <v>3</v>
      </c>
      <c r="M149" s="75">
        <v>2</v>
      </c>
      <c r="N149" s="75">
        <v>3</v>
      </c>
      <c r="O149" s="75">
        <v>3</v>
      </c>
      <c r="P149" s="75">
        <v>2</v>
      </c>
      <c r="Q149" s="75">
        <v>3</v>
      </c>
      <c r="R149" s="33">
        <f t="shared" si="2"/>
        <v>44</v>
      </c>
    </row>
    <row r="150" spans="1:18" x14ac:dyDescent="0.2">
      <c r="A150" s="77" t="s">
        <v>454</v>
      </c>
      <c r="B150" s="62">
        <v>1</v>
      </c>
      <c r="C150" s="63">
        <v>1</v>
      </c>
      <c r="D150" s="63">
        <v>1</v>
      </c>
      <c r="E150" s="63">
        <v>1</v>
      </c>
      <c r="F150" s="63">
        <v>1</v>
      </c>
      <c r="G150" s="63">
        <v>2</v>
      </c>
      <c r="H150" s="63">
        <v>1</v>
      </c>
      <c r="I150" s="63">
        <v>1</v>
      </c>
      <c r="J150" s="63">
        <v>1</v>
      </c>
      <c r="K150" s="63">
        <v>1</v>
      </c>
      <c r="L150" s="63">
        <v>2</v>
      </c>
      <c r="M150" s="63">
        <v>1</v>
      </c>
      <c r="N150" s="63">
        <v>1</v>
      </c>
      <c r="O150" s="63">
        <v>2</v>
      </c>
      <c r="P150" s="63">
        <v>1</v>
      </c>
      <c r="Q150" s="63">
        <v>1</v>
      </c>
      <c r="R150" s="33">
        <f t="shared" si="2"/>
        <v>19</v>
      </c>
    </row>
    <row r="151" spans="1:18" ht="16" x14ac:dyDescent="0.2">
      <c r="A151" s="82" t="s">
        <v>455</v>
      </c>
      <c r="B151" s="102">
        <v>3</v>
      </c>
      <c r="C151" s="103">
        <v>3</v>
      </c>
      <c r="D151" s="103">
        <v>2</v>
      </c>
      <c r="E151" s="103">
        <v>3</v>
      </c>
      <c r="F151" s="103">
        <v>1</v>
      </c>
      <c r="G151" s="103">
        <v>3</v>
      </c>
      <c r="H151" s="103">
        <v>2</v>
      </c>
      <c r="I151" s="103">
        <v>1</v>
      </c>
      <c r="J151" s="103">
        <v>2</v>
      </c>
      <c r="K151" s="103">
        <v>1</v>
      </c>
      <c r="L151" s="103">
        <v>3</v>
      </c>
      <c r="M151" s="103">
        <v>1</v>
      </c>
      <c r="N151" s="103">
        <v>2</v>
      </c>
      <c r="O151" s="103">
        <v>2</v>
      </c>
      <c r="P151" s="103">
        <v>1</v>
      </c>
      <c r="Q151" s="76">
        <v>1</v>
      </c>
      <c r="R151" s="33">
        <f t="shared" si="2"/>
        <v>31</v>
      </c>
    </row>
    <row r="152" spans="1:18" ht="16" x14ac:dyDescent="0.2">
      <c r="A152" s="82" t="s">
        <v>456</v>
      </c>
      <c r="B152" s="76">
        <v>2</v>
      </c>
      <c r="C152" s="75">
        <v>1</v>
      </c>
      <c r="D152" s="75">
        <v>1</v>
      </c>
      <c r="E152" s="75">
        <v>2</v>
      </c>
      <c r="F152" s="75">
        <v>1</v>
      </c>
      <c r="G152" s="75">
        <v>2</v>
      </c>
      <c r="H152" s="75">
        <v>1</v>
      </c>
      <c r="I152" s="75">
        <v>1</v>
      </c>
      <c r="J152" s="75">
        <v>1</v>
      </c>
      <c r="K152" s="75">
        <v>1</v>
      </c>
      <c r="L152" s="75">
        <v>2</v>
      </c>
      <c r="M152" s="75">
        <v>1</v>
      </c>
      <c r="N152" s="75">
        <v>1</v>
      </c>
      <c r="O152" s="75">
        <v>2</v>
      </c>
      <c r="P152" s="75">
        <v>1</v>
      </c>
      <c r="Q152" s="76">
        <v>1</v>
      </c>
      <c r="R152" s="33">
        <f t="shared" si="2"/>
        <v>21</v>
      </c>
    </row>
    <row r="153" spans="1:18" ht="16" x14ac:dyDescent="0.2">
      <c r="A153" s="82" t="s">
        <v>457</v>
      </c>
      <c r="B153" s="81">
        <v>3</v>
      </c>
      <c r="C153" s="61">
        <v>3</v>
      </c>
      <c r="D153" s="61">
        <v>1</v>
      </c>
      <c r="E153" s="61">
        <v>4</v>
      </c>
      <c r="F153" s="61">
        <v>3</v>
      </c>
      <c r="G153" s="61">
        <v>4</v>
      </c>
      <c r="H153" s="61">
        <v>3</v>
      </c>
      <c r="I153" s="61">
        <v>3</v>
      </c>
      <c r="J153" s="61">
        <v>3</v>
      </c>
      <c r="K153" s="61">
        <v>2</v>
      </c>
      <c r="L153" s="61">
        <v>4</v>
      </c>
      <c r="M153" s="61">
        <v>3</v>
      </c>
      <c r="N153" s="61">
        <v>3</v>
      </c>
      <c r="O153" s="61">
        <v>4</v>
      </c>
      <c r="P153" s="61">
        <v>3</v>
      </c>
      <c r="Q153" s="81">
        <v>3</v>
      </c>
      <c r="R153" s="33">
        <f t="shared" si="2"/>
        <v>49</v>
      </c>
    </row>
    <row r="154" spans="1:18" ht="16" x14ac:dyDescent="0.2">
      <c r="A154" s="82" t="s">
        <v>458</v>
      </c>
      <c r="B154" s="70">
        <v>1</v>
      </c>
      <c r="C154" s="60">
        <v>1</v>
      </c>
      <c r="D154" s="60">
        <v>1</v>
      </c>
      <c r="E154" s="60">
        <v>2</v>
      </c>
      <c r="F154" s="60">
        <v>1</v>
      </c>
      <c r="G154" s="60">
        <v>2</v>
      </c>
      <c r="H154" s="60">
        <v>2</v>
      </c>
      <c r="I154" s="60">
        <v>1</v>
      </c>
      <c r="J154" s="60">
        <v>1</v>
      </c>
      <c r="K154" s="60">
        <v>1</v>
      </c>
      <c r="L154" s="60">
        <v>2</v>
      </c>
      <c r="M154" s="60">
        <v>1</v>
      </c>
      <c r="N154" s="60">
        <v>2</v>
      </c>
      <c r="O154" s="60">
        <v>2</v>
      </c>
      <c r="P154" s="60">
        <v>1</v>
      </c>
      <c r="Q154" s="81">
        <v>1</v>
      </c>
      <c r="R154" s="33">
        <f t="shared" si="2"/>
        <v>22</v>
      </c>
    </row>
    <row r="155" spans="1:18" ht="16" x14ac:dyDescent="0.2">
      <c r="A155" s="82" t="s">
        <v>459</v>
      </c>
      <c r="B155" s="81">
        <v>2</v>
      </c>
      <c r="C155" s="61">
        <v>2</v>
      </c>
      <c r="D155" s="61">
        <v>1</v>
      </c>
      <c r="E155" s="61">
        <v>2</v>
      </c>
      <c r="F155" s="61">
        <v>2</v>
      </c>
      <c r="G155" s="61">
        <v>3</v>
      </c>
      <c r="H155" s="61">
        <v>2</v>
      </c>
      <c r="I155" s="61">
        <v>2</v>
      </c>
      <c r="J155" s="61">
        <v>2</v>
      </c>
      <c r="K155" s="61">
        <v>1</v>
      </c>
      <c r="L155" s="61">
        <v>3</v>
      </c>
      <c r="M155" s="61">
        <v>1</v>
      </c>
      <c r="N155" s="61">
        <v>2</v>
      </c>
      <c r="O155" s="61">
        <v>3</v>
      </c>
      <c r="P155" s="61">
        <v>2</v>
      </c>
      <c r="Q155" s="81">
        <v>1</v>
      </c>
      <c r="R155" s="33">
        <f t="shared" si="2"/>
        <v>31</v>
      </c>
    </row>
    <row r="156" spans="1:18" ht="16" x14ac:dyDescent="0.2">
      <c r="A156" s="82" t="s">
        <v>460</v>
      </c>
      <c r="B156" s="81">
        <v>2</v>
      </c>
      <c r="C156" s="61">
        <v>2</v>
      </c>
      <c r="D156" s="61">
        <v>2</v>
      </c>
      <c r="E156" s="61">
        <v>3</v>
      </c>
      <c r="F156" s="61">
        <v>3</v>
      </c>
      <c r="G156" s="61">
        <v>4</v>
      </c>
      <c r="H156" s="61">
        <v>3</v>
      </c>
      <c r="I156" s="61">
        <v>3</v>
      </c>
      <c r="J156" s="61">
        <v>3</v>
      </c>
      <c r="K156" s="61">
        <v>2</v>
      </c>
      <c r="L156" s="61">
        <v>4</v>
      </c>
      <c r="M156" s="61">
        <v>3</v>
      </c>
      <c r="N156" s="61">
        <v>3</v>
      </c>
      <c r="O156" s="61">
        <v>4</v>
      </c>
      <c r="P156" s="61">
        <v>3</v>
      </c>
      <c r="Q156" s="81">
        <v>3</v>
      </c>
      <c r="R156" s="33">
        <f t="shared" si="2"/>
        <v>47</v>
      </c>
    </row>
    <row r="157" spans="1:18" ht="17" thickBot="1" x14ac:dyDescent="0.25">
      <c r="A157" s="83" t="s">
        <v>461</v>
      </c>
      <c r="B157" s="84">
        <v>3</v>
      </c>
      <c r="C157" s="85">
        <v>3</v>
      </c>
      <c r="D157" s="85">
        <v>2</v>
      </c>
      <c r="E157" s="85">
        <v>3</v>
      </c>
      <c r="F157" s="85">
        <v>2</v>
      </c>
      <c r="G157" s="85">
        <v>3</v>
      </c>
      <c r="H157" s="85">
        <v>3</v>
      </c>
      <c r="I157" s="85">
        <v>2</v>
      </c>
      <c r="J157" s="85">
        <v>2</v>
      </c>
      <c r="K157" s="85">
        <v>2</v>
      </c>
      <c r="L157" s="85">
        <v>3</v>
      </c>
      <c r="M157" s="85">
        <v>2</v>
      </c>
      <c r="N157" s="85">
        <v>3</v>
      </c>
      <c r="O157" s="85">
        <v>3</v>
      </c>
      <c r="P157" s="85">
        <v>3</v>
      </c>
      <c r="Q157" s="85">
        <v>2</v>
      </c>
      <c r="R157" s="33">
        <f t="shared" si="2"/>
        <v>41</v>
      </c>
    </row>
    <row r="158" spans="1:18" x14ac:dyDescent="0.2">
      <c r="A158" s="86" t="s">
        <v>462</v>
      </c>
      <c r="B158" s="102">
        <v>2</v>
      </c>
      <c r="C158" s="103">
        <v>2</v>
      </c>
      <c r="D158" s="103">
        <v>1</v>
      </c>
      <c r="E158" s="103">
        <v>2</v>
      </c>
      <c r="F158" s="103">
        <v>1</v>
      </c>
      <c r="G158" s="103">
        <v>3</v>
      </c>
      <c r="H158" s="103">
        <v>2</v>
      </c>
      <c r="I158" s="103">
        <v>1</v>
      </c>
      <c r="J158" s="103">
        <v>1</v>
      </c>
      <c r="K158" s="103">
        <v>1</v>
      </c>
      <c r="L158" s="103">
        <v>3</v>
      </c>
      <c r="M158" s="103">
        <v>1</v>
      </c>
      <c r="N158" s="103">
        <v>2</v>
      </c>
      <c r="O158" s="103">
        <v>2</v>
      </c>
      <c r="P158" s="103">
        <v>1</v>
      </c>
      <c r="Q158" s="103">
        <v>1</v>
      </c>
      <c r="R158" s="33">
        <f t="shared" si="2"/>
        <v>26</v>
      </c>
    </row>
    <row r="159" spans="1:18" ht="16" x14ac:dyDescent="0.2">
      <c r="A159" s="53" t="s">
        <v>463</v>
      </c>
      <c r="B159" s="62">
        <v>1</v>
      </c>
      <c r="C159" s="63">
        <v>1</v>
      </c>
      <c r="D159" s="63">
        <v>1</v>
      </c>
      <c r="E159" s="63">
        <v>1</v>
      </c>
      <c r="F159" s="63">
        <v>1</v>
      </c>
      <c r="G159" s="63">
        <v>1</v>
      </c>
      <c r="H159" s="63">
        <v>1</v>
      </c>
      <c r="I159" s="63">
        <v>1</v>
      </c>
      <c r="J159" s="63">
        <v>1</v>
      </c>
      <c r="K159" s="63">
        <v>1</v>
      </c>
      <c r="L159" s="63">
        <v>1</v>
      </c>
      <c r="M159" s="63">
        <v>1</v>
      </c>
      <c r="N159" s="63">
        <v>1</v>
      </c>
      <c r="O159" s="63">
        <v>1</v>
      </c>
      <c r="P159" s="63">
        <v>1</v>
      </c>
      <c r="Q159" s="63">
        <v>1</v>
      </c>
      <c r="R159" s="33">
        <f t="shared" si="2"/>
        <v>16</v>
      </c>
    </row>
    <row r="160" spans="1:18" ht="17" thickBot="1" x14ac:dyDescent="0.25">
      <c r="A160" s="53" t="s">
        <v>464</v>
      </c>
      <c r="B160" s="89">
        <v>2</v>
      </c>
      <c r="C160" s="90">
        <v>2</v>
      </c>
      <c r="D160" s="90">
        <v>2</v>
      </c>
      <c r="E160" s="90">
        <v>2</v>
      </c>
      <c r="F160" s="90">
        <v>1</v>
      </c>
      <c r="G160" s="90">
        <v>2</v>
      </c>
      <c r="H160" s="90">
        <v>2</v>
      </c>
      <c r="I160" s="90">
        <v>1</v>
      </c>
      <c r="J160" s="90">
        <v>1</v>
      </c>
      <c r="K160" s="90">
        <v>1</v>
      </c>
      <c r="L160" s="90">
        <v>2</v>
      </c>
      <c r="M160" s="90">
        <v>1</v>
      </c>
      <c r="N160" s="90">
        <v>1</v>
      </c>
      <c r="O160" s="90">
        <v>2</v>
      </c>
      <c r="P160" s="90">
        <v>1</v>
      </c>
      <c r="Q160" s="90">
        <v>1</v>
      </c>
      <c r="R160" s="33">
        <f t="shared" si="2"/>
        <v>24</v>
      </c>
    </row>
    <row r="161" spans="1:18" x14ac:dyDescent="0.2">
      <c r="A161" s="50" t="s">
        <v>465</v>
      </c>
      <c r="B161" s="102">
        <v>1</v>
      </c>
      <c r="C161" s="103">
        <v>1</v>
      </c>
      <c r="D161" s="103">
        <v>1</v>
      </c>
      <c r="E161" s="103">
        <v>1</v>
      </c>
      <c r="F161" s="103">
        <v>1</v>
      </c>
      <c r="G161" s="103">
        <v>2</v>
      </c>
      <c r="H161" s="103">
        <v>1</v>
      </c>
      <c r="I161" s="103">
        <v>1</v>
      </c>
      <c r="J161" s="103">
        <v>1</v>
      </c>
      <c r="K161" s="103">
        <v>1</v>
      </c>
      <c r="L161" s="103">
        <v>2</v>
      </c>
      <c r="M161" s="103">
        <v>1</v>
      </c>
      <c r="N161" s="103">
        <v>1</v>
      </c>
      <c r="O161" s="103">
        <v>2</v>
      </c>
      <c r="P161" s="103">
        <v>1</v>
      </c>
      <c r="Q161" s="103">
        <v>1</v>
      </c>
      <c r="R161" s="33">
        <f t="shared" si="2"/>
        <v>19</v>
      </c>
    </row>
    <row r="162" spans="1:18" x14ac:dyDescent="0.2">
      <c r="A162" s="50" t="s">
        <v>466</v>
      </c>
      <c r="B162" s="76">
        <v>2</v>
      </c>
      <c r="C162" s="75">
        <v>2</v>
      </c>
      <c r="D162" s="75">
        <v>2</v>
      </c>
      <c r="E162" s="75">
        <v>2</v>
      </c>
      <c r="F162" s="75">
        <v>2</v>
      </c>
      <c r="G162" s="75">
        <v>2</v>
      </c>
      <c r="H162" s="75">
        <v>2</v>
      </c>
      <c r="I162" s="75">
        <v>2</v>
      </c>
      <c r="J162" s="75">
        <v>2</v>
      </c>
      <c r="K162" s="75">
        <v>2</v>
      </c>
      <c r="L162" s="75">
        <v>2</v>
      </c>
      <c r="M162" s="75">
        <v>2</v>
      </c>
      <c r="N162" s="75">
        <v>2</v>
      </c>
      <c r="O162" s="75">
        <v>2</v>
      </c>
      <c r="P162" s="75">
        <v>2</v>
      </c>
      <c r="Q162" s="75">
        <v>2</v>
      </c>
      <c r="R162" s="33">
        <f t="shared" si="2"/>
        <v>32</v>
      </c>
    </row>
    <row r="163" spans="1:18" ht="16" x14ac:dyDescent="0.2">
      <c r="A163" s="53" t="s">
        <v>467</v>
      </c>
      <c r="B163" s="102">
        <v>1</v>
      </c>
      <c r="C163" s="103">
        <v>1</v>
      </c>
      <c r="D163" s="103">
        <v>1</v>
      </c>
      <c r="E163" s="103">
        <v>1</v>
      </c>
      <c r="F163" s="103">
        <v>1</v>
      </c>
      <c r="G163" s="103">
        <v>2</v>
      </c>
      <c r="H163" s="103">
        <v>2</v>
      </c>
      <c r="I163" s="103">
        <v>1</v>
      </c>
      <c r="J163" s="103">
        <v>1</v>
      </c>
      <c r="K163" s="103">
        <v>1</v>
      </c>
      <c r="L163" s="103">
        <v>2</v>
      </c>
      <c r="M163" s="103">
        <v>1</v>
      </c>
      <c r="N163" s="103">
        <v>1</v>
      </c>
      <c r="O163" s="103">
        <v>2</v>
      </c>
      <c r="P163" s="103">
        <v>2</v>
      </c>
      <c r="Q163" s="103">
        <v>1</v>
      </c>
      <c r="R163" s="33">
        <f t="shared" si="2"/>
        <v>21</v>
      </c>
    </row>
    <row r="164" spans="1:18" ht="16" x14ac:dyDescent="0.2">
      <c r="A164" s="53" t="s">
        <v>468</v>
      </c>
      <c r="B164" s="102">
        <v>2</v>
      </c>
      <c r="C164" s="103">
        <v>2</v>
      </c>
      <c r="D164" s="103">
        <v>1</v>
      </c>
      <c r="E164" s="103">
        <v>2</v>
      </c>
      <c r="F164" s="103">
        <v>1</v>
      </c>
      <c r="G164" s="103">
        <v>3</v>
      </c>
      <c r="H164" s="103">
        <v>2</v>
      </c>
      <c r="I164" s="103">
        <v>1</v>
      </c>
      <c r="J164" s="103">
        <v>1</v>
      </c>
      <c r="K164" s="103">
        <v>1</v>
      </c>
      <c r="L164" s="103">
        <v>3</v>
      </c>
      <c r="M164" s="103">
        <v>1</v>
      </c>
      <c r="N164" s="103">
        <v>2</v>
      </c>
      <c r="O164" s="103">
        <v>2</v>
      </c>
      <c r="P164" s="103">
        <v>1</v>
      </c>
      <c r="Q164" s="103">
        <v>1</v>
      </c>
      <c r="R164" s="33">
        <f t="shared" si="2"/>
        <v>26</v>
      </c>
    </row>
    <row r="165" spans="1:18" ht="16" x14ac:dyDescent="0.2">
      <c r="A165" s="53" t="s">
        <v>469</v>
      </c>
      <c r="B165" s="102">
        <v>4</v>
      </c>
      <c r="C165" s="103">
        <v>4</v>
      </c>
      <c r="D165" s="103">
        <v>3</v>
      </c>
      <c r="E165" s="103">
        <v>3</v>
      </c>
      <c r="F165" s="103">
        <v>3</v>
      </c>
      <c r="G165" s="103">
        <v>4</v>
      </c>
      <c r="H165" s="103">
        <v>4</v>
      </c>
      <c r="I165" s="103">
        <v>3</v>
      </c>
      <c r="J165" s="103">
        <v>3</v>
      </c>
      <c r="K165" s="103">
        <v>2</v>
      </c>
      <c r="L165" s="103">
        <v>4</v>
      </c>
      <c r="M165" s="103">
        <v>3</v>
      </c>
      <c r="N165" s="103">
        <v>3</v>
      </c>
      <c r="O165" s="103">
        <v>4</v>
      </c>
      <c r="P165" s="103">
        <v>3</v>
      </c>
      <c r="Q165" s="103">
        <v>3</v>
      </c>
      <c r="R165" s="33">
        <f t="shared" si="2"/>
        <v>53</v>
      </c>
    </row>
    <row r="166" spans="1:18" ht="16" x14ac:dyDescent="0.2">
      <c r="A166" s="53" t="s">
        <v>470</v>
      </c>
      <c r="B166" s="76">
        <v>3</v>
      </c>
      <c r="C166" s="75">
        <v>3</v>
      </c>
      <c r="D166" s="75">
        <v>3</v>
      </c>
      <c r="E166" s="75">
        <v>2</v>
      </c>
      <c r="F166" s="75">
        <v>3</v>
      </c>
      <c r="G166" s="75">
        <v>3</v>
      </c>
      <c r="H166" s="75">
        <v>3</v>
      </c>
      <c r="I166" s="75">
        <v>3</v>
      </c>
      <c r="J166" s="75">
        <v>3</v>
      </c>
      <c r="K166" s="75">
        <v>3</v>
      </c>
      <c r="L166" s="75">
        <v>3</v>
      </c>
      <c r="M166" s="75">
        <v>3</v>
      </c>
      <c r="N166" s="75">
        <v>3</v>
      </c>
      <c r="O166" s="75">
        <v>3</v>
      </c>
      <c r="P166" s="75">
        <v>3</v>
      </c>
      <c r="Q166" s="75">
        <v>3</v>
      </c>
      <c r="R166" s="33">
        <f t="shared" si="2"/>
        <v>47</v>
      </c>
    </row>
    <row r="167" spans="1:18" ht="16" x14ac:dyDescent="0.2">
      <c r="A167" s="53" t="s">
        <v>471</v>
      </c>
      <c r="B167" s="76">
        <v>0</v>
      </c>
      <c r="C167" s="75">
        <v>1</v>
      </c>
      <c r="D167" s="75">
        <v>1</v>
      </c>
      <c r="E167" s="75">
        <v>1</v>
      </c>
      <c r="F167" s="75">
        <v>2</v>
      </c>
      <c r="G167" s="75">
        <v>3</v>
      </c>
      <c r="H167" s="75">
        <v>1</v>
      </c>
      <c r="I167" s="75">
        <v>2</v>
      </c>
      <c r="J167" s="75">
        <v>1</v>
      </c>
      <c r="K167" s="75">
        <v>1</v>
      </c>
      <c r="L167" s="75">
        <v>2</v>
      </c>
      <c r="M167" s="75">
        <v>1</v>
      </c>
      <c r="N167" s="75">
        <v>2</v>
      </c>
      <c r="O167" s="75">
        <v>2</v>
      </c>
      <c r="P167" s="75">
        <v>1</v>
      </c>
      <c r="Q167" s="75">
        <v>1</v>
      </c>
      <c r="R167" s="33">
        <f t="shared" si="2"/>
        <v>22</v>
      </c>
    </row>
    <row r="168" spans="1:18" ht="16" x14ac:dyDescent="0.2">
      <c r="A168" s="53" t="s">
        <v>472</v>
      </c>
      <c r="B168" s="76">
        <v>1</v>
      </c>
      <c r="C168" s="75">
        <v>1</v>
      </c>
      <c r="D168" s="75">
        <v>1</v>
      </c>
      <c r="E168" s="75">
        <v>1</v>
      </c>
      <c r="F168" s="75">
        <v>1</v>
      </c>
      <c r="G168" s="75">
        <v>2</v>
      </c>
      <c r="H168" s="75">
        <v>1</v>
      </c>
      <c r="I168" s="75">
        <v>1</v>
      </c>
      <c r="J168" s="75">
        <v>1</v>
      </c>
      <c r="K168" s="75">
        <v>1</v>
      </c>
      <c r="L168" s="75">
        <v>2</v>
      </c>
      <c r="M168" s="75">
        <v>1</v>
      </c>
      <c r="N168" s="75">
        <v>1</v>
      </c>
      <c r="O168" s="75">
        <v>2</v>
      </c>
      <c r="P168" s="75">
        <v>1</v>
      </c>
      <c r="Q168" s="75">
        <v>1</v>
      </c>
      <c r="R168" s="33">
        <f t="shared" si="2"/>
        <v>19</v>
      </c>
    </row>
    <row r="169" spans="1:18" ht="16" x14ac:dyDescent="0.2">
      <c r="A169" s="53" t="s">
        <v>473</v>
      </c>
      <c r="B169" s="76">
        <v>1</v>
      </c>
      <c r="C169" s="75">
        <v>1</v>
      </c>
      <c r="D169" s="75">
        <v>1</v>
      </c>
      <c r="E169" s="75">
        <v>1</v>
      </c>
      <c r="F169" s="75">
        <v>1</v>
      </c>
      <c r="G169" s="75">
        <v>2</v>
      </c>
      <c r="H169" s="75">
        <v>1</v>
      </c>
      <c r="I169" s="75">
        <v>1</v>
      </c>
      <c r="J169" s="75">
        <v>1</v>
      </c>
      <c r="K169" s="75">
        <v>1</v>
      </c>
      <c r="L169" s="75">
        <v>2</v>
      </c>
      <c r="M169" s="75">
        <v>1</v>
      </c>
      <c r="N169" s="75">
        <v>2</v>
      </c>
      <c r="O169" s="75">
        <v>2</v>
      </c>
      <c r="P169" s="75">
        <v>1</v>
      </c>
      <c r="Q169" s="75">
        <v>1</v>
      </c>
      <c r="R169" s="33">
        <f t="shared" si="2"/>
        <v>20</v>
      </c>
    </row>
    <row r="170" spans="1:18" ht="16" x14ac:dyDescent="0.2">
      <c r="A170" s="53" t="s">
        <v>474</v>
      </c>
      <c r="B170" s="76">
        <v>2</v>
      </c>
      <c r="C170" s="75">
        <v>2</v>
      </c>
      <c r="D170" s="75">
        <v>1</v>
      </c>
      <c r="E170" s="75">
        <v>3</v>
      </c>
      <c r="F170" s="75">
        <v>2</v>
      </c>
      <c r="G170" s="75">
        <v>3</v>
      </c>
      <c r="H170" s="75">
        <v>3</v>
      </c>
      <c r="I170" s="75">
        <v>1</v>
      </c>
      <c r="J170" s="75">
        <v>2</v>
      </c>
      <c r="K170" s="75">
        <v>1</v>
      </c>
      <c r="L170" s="75">
        <v>2</v>
      </c>
      <c r="M170" s="75">
        <v>1</v>
      </c>
      <c r="N170" s="75">
        <v>2</v>
      </c>
      <c r="O170" s="75">
        <v>2</v>
      </c>
      <c r="P170" s="75">
        <v>2</v>
      </c>
      <c r="Q170" s="75">
        <v>1</v>
      </c>
      <c r="R170" s="33">
        <f t="shared" si="2"/>
        <v>30</v>
      </c>
    </row>
    <row r="171" spans="1:18" ht="16" x14ac:dyDescent="0.2">
      <c r="A171" s="91" t="s">
        <v>475</v>
      </c>
      <c r="B171" s="76">
        <v>3</v>
      </c>
      <c r="C171" s="75">
        <v>3</v>
      </c>
      <c r="D171" s="75">
        <v>1</v>
      </c>
      <c r="E171" s="75">
        <v>3</v>
      </c>
      <c r="F171" s="75">
        <v>3</v>
      </c>
      <c r="G171" s="75">
        <v>4</v>
      </c>
      <c r="H171" s="75">
        <v>3</v>
      </c>
      <c r="I171" s="75">
        <v>3</v>
      </c>
      <c r="J171" s="75">
        <v>3</v>
      </c>
      <c r="K171" s="75">
        <v>2</v>
      </c>
      <c r="L171" s="75">
        <v>3</v>
      </c>
      <c r="M171" s="75">
        <v>2</v>
      </c>
      <c r="N171" s="75">
        <v>3</v>
      </c>
      <c r="O171" s="75">
        <v>3</v>
      </c>
      <c r="P171" s="75">
        <v>2</v>
      </c>
      <c r="Q171" s="75">
        <v>2</v>
      </c>
      <c r="R171" s="33">
        <f t="shared" si="2"/>
        <v>43</v>
      </c>
    </row>
    <row r="172" spans="1:18" ht="16" x14ac:dyDescent="0.2">
      <c r="A172" s="82" t="s">
        <v>476</v>
      </c>
      <c r="B172" s="76">
        <v>1</v>
      </c>
      <c r="C172" s="75">
        <v>1</v>
      </c>
      <c r="D172" s="75">
        <v>1</v>
      </c>
      <c r="E172" s="75">
        <v>1</v>
      </c>
      <c r="F172" s="75">
        <v>1</v>
      </c>
      <c r="G172" s="75">
        <v>2</v>
      </c>
      <c r="H172" s="75">
        <v>2</v>
      </c>
      <c r="I172" s="75">
        <v>1</v>
      </c>
      <c r="J172" s="75">
        <v>2</v>
      </c>
      <c r="K172" s="75">
        <v>1</v>
      </c>
      <c r="L172" s="75">
        <v>2</v>
      </c>
      <c r="M172" s="75">
        <v>1</v>
      </c>
      <c r="N172" s="75">
        <v>1</v>
      </c>
      <c r="O172" s="75">
        <v>2</v>
      </c>
      <c r="P172" s="75">
        <v>1</v>
      </c>
      <c r="Q172" s="75">
        <v>1</v>
      </c>
      <c r="R172" s="33">
        <f t="shared" si="2"/>
        <v>21</v>
      </c>
    </row>
    <row r="173" spans="1:18" ht="16" x14ac:dyDescent="0.2">
      <c r="A173" s="82" t="s">
        <v>477</v>
      </c>
      <c r="B173" s="76">
        <v>1</v>
      </c>
      <c r="C173" s="75">
        <v>1</v>
      </c>
      <c r="D173" s="75">
        <v>1</v>
      </c>
      <c r="E173" s="75">
        <v>1</v>
      </c>
      <c r="F173" s="75">
        <v>1</v>
      </c>
      <c r="G173" s="75">
        <v>3</v>
      </c>
      <c r="H173" s="75">
        <v>1</v>
      </c>
      <c r="I173" s="75">
        <v>1</v>
      </c>
      <c r="J173" s="75">
        <v>1</v>
      </c>
      <c r="K173" s="75">
        <v>1</v>
      </c>
      <c r="L173" s="75">
        <v>2</v>
      </c>
      <c r="M173" s="75">
        <v>1</v>
      </c>
      <c r="N173" s="75">
        <v>1</v>
      </c>
      <c r="O173" s="75">
        <v>2</v>
      </c>
      <c r="P173" s="75">
        <v>1</v>
      </c>
      <c r="Q173" s="75">
        <v>1</v>
      </c>
      <c r="R173" s="33">
        <f t="shared" si="2"/>
        <v>20</v>
      </c>
    </row>
    <row r="174" spans="1:18" ht="16" x14ac:dyDescent="0.2">
      <c r="A174" s="82" t="s">
        <v>478</v>
      </c>
      <c r="B174" s="76">
        <v>3</v>
      </c>
      <c r="C174" s="75">
        <v>4</v>
      </c>
      <c r="D174" s="75">
        <v>2</v>
      </c>
      <c r="E174" s="75">
        <v>3</v>
      </c>
      <c r="F174" s="75">
        <v>4</v>
      </c>
      <c r="G174" s="75">
        <v>4</v>
      </c>
      <c r="H174" s="75">
        <v>4</v>
      </c>
      <c r="I174" s="75">
        <v>4</v>
      </c>
      <c r="J174" s="75">
        <v>3</v>
      </c>
      <c r="K174" s="75">
        <v>3</v>
      </c>
      <c r="L174" s="75">
        <v>4</v>
      </c>
      <c r="M174" s="75">
        <v>4</v>
      </c>
      <c r="N174" s="75">
        <v>4</v>
      </c>
      <c r="O174" s="75">
        <v>4</v>
      </c>
      <c r="P174" s="75">
        <v>4</v>
      </c>
      <c r="Q174" s="75">
        <v>4</v>
      </c>
      <c r="R174" s="33">
        <f t="shared" si="2"/>
        <v>58</v>
      </c>
    </row>
    <row r="175" spans="1:18" ht="16" x14ac:dyDescent="0.2">
      <c r="A175" s="82" t="s">
        <v>479</v>
      </c>
      <c r="B175" s="67">
        <v>4</v>
      </c>
      <c r="C175" s="46">
        <v>3</v>
      </c>
      <c r="D175" s="46">
        <v>1</v>
      </c>
      <c r="E175" s="46">
        <v>3</v>
      </c>
      <c r="F175" s="46">
        <v>3</v>
      </c>
      <c r="G175" s="46">
        <v>3</v>
      </c>
      <c r="H175" s="46">
        <v>3</v>
      </c>
      <c r="I175" s="46">
        <v>3</v>
      </c>
      <c r="J175" s="46">
        <v>3</v>
      </c>
      <c r="K175" s="46">
        <v>3</v>
      </c>
      <c r="L175" s="46">
        <v>3</v>
      </c>
      <c r="M175" s="46">
        <v>1</v>
      </c>
      <c r="N175" s="46">
        <v>3</v>
      </c>
      <c r="O175" s="46">
        <v>3</v>
      </c>
      <c r="P175" s="46">
        <v>3</v>
      </c>
      <c r="Q175" s="46">
        <v>1</v>
      </c>
      <c r="R175" s="33">
        <f t="shared" si="2"/>
        <v>43</v>
      </c>
    </row>
    <row r="176" spans="1:18" ht="16" x14ac:dyDescent="0.2">
      <c r="A176" s="82" t="s">
        <v>480</v>
      </c>
      <c r="B176" s="67">
        <v>2</v>
      </c>
      <c r="C176" s="46">
        <v>1</v>
      </c>
      <c r="D176" s="46">
        <v>1</v>
      </c>
      <c r="E176" s="46">
        <v>1</v>
      </c>
      <c r="F176" s="46">
        <v>1</v>
      </c>
      <c r="G176" s="46">
        <v>2</v>
      </c>
      <c r="H176" s="46">
        <v>1</v>
      </c>
      <c r="I176" s="46">
        <v>1</v>
      </c>
      <c r="J176" s="46">
        <v>1</v>
      </c>
      <c r="K176" s="46">
        <v>1</v>
      </c>
      <c r="L176" s="46">
        <v>2</v>
      </c>
      <c r="M176" s="46">
        <v>1</v>
      </c>
      <c r="N176" s="46">
        <v>1</v>
      </c>
      <c r="O176" s="46">
        <v>2</v>
      </c>
      <c r="P176" s="46">
        <v>1</v>
      </c>
      <c r="Q176" s="46">
        <v>1</v>
      </c>
      <c r="R176" s="33">
        <f t="shared" si="2"/>
        <v>20</v>
      </c>
    </row>
    <row r="177" spans="1:18" ht="16" x14ac:dyDescent="0.2">
      <c r="A177" s="82" t="s">
        <v>481</v>
      </c>
      <c r="B177" s="67">
        <v>4</v>
      </c>
      <c r="C177" s="46">
        <v>3</v>
      </c>
      <c r="D177" s="46">
        <v>2</v>
      </c>
      <c r="E177" s="46">
        <v>3</v>
      </c>
      <c r="F177" s="46">
        <v>2</v>
      </c>
      <c r="G177" s="46">
        <v>3</v>
      </c>
      <c r="H177" s="46">
        <v>2</v>
      </c>
      <c r="I177" s="46">
        <v>2</v>
      </c>
      <c r="J177" s="46">
        <v>3</v>
      </c>
      <c r="K177" s="46">
        <v>2</v>
      </c>
      <c r="L177" s="46">
        <v>3</v>
      </c>
      <c r="M177" s="46">
        <v>2</v>
      </c>
      <c r="N177" s="46">
        <v>3</v>
      </c>
      <c r="O177" s="46">
        <v>3</v>
      </c>
      <c r="P177" s="46">
        <v>3</v>
      </c>
      <c r="Q177" s="46">
        <v>1</v>
      </c>
      <c r="R177" s="33">
        <f t="shared" si="2"/>
        <v>41</v>
      </c>
    </row>
    <row r="178" spans="1:18" ht="16" x14ac:dyDescent="0.2">
      <c r="A178" s="82" t="s">
        <v>482</v>
      </c>
      <c r="B178" s="46">
        <v>1</v>
      </c>
      <c r="C178" s="46">
        <v>1</v>
      </c>
      <c r="D178" s="46">
        <v>1</v>
      </c>
      <c r="E178" s="46">
        <v>1</v>
      </c>
      <c r="F178" s="46">
        <v>1</v>
      </c>
      <c r="G178" s="46">
        <v>2</v>
      </c>
      <c r="H178" s="46">
        <v>1</v>
      </c>
      <c r="I178" s="46">
        <v>1</v>
      </c>
      <c r="J178" s="46">
        <v>1</v>
      </c>
      <c r="K178" s="46">
        <v>1</v>
      </c>
      <c r="L178" s="46">
        <v>2</v>
      </c>
      <c r="M178" s="46">
        <v>1</v>
      </c>
      <c r="N178" s="46">
        <v>1</v>
      </c>
      <c r="O178" s="46">
        <v>2</v>
      </c>
      <c r="P178" s="46">
        <v>1</v>
      </c>
      <c r="Q178" s="46">
        <v>1</v>
      </c>
      <c r="R178" s="33">
        <f t="shared" si="2"/>
        <v>19</v>
      </c>
    </row>
    <row r="179" spans="1:18" ht="16" x14ac:dyDescent="0.2">
      <c r="A179" s="82" t="s">
        <v>483</v>
      </c>
      <c r="B179" s="67">
        <v>1</v>
      </c>
      <c r="C179" s="46">
        <v>2</v>
      </c>
      <c r="D179" s="46">
        <v>1</v>
      </c>
      <c r="E179" s="46">
        <v>2</v>
      </c>
      <c r="F179" s="46">
        <v>2</v>
      </c>
      <c r="G179" s="46">
        <v>3</v>
      </c>
      <c r="H179" s="46">
        <v>2</v>
      </c>
      <c r="I179" s="46">
        <v>2</v>
      </c>
      <c r="J179" s="46">
        <v>2</v>
      </c>
      <c r="K179" s="46">
        <v>1</v>
      </c>
      <c r="L179" s="46">
        <v>3</v>
      </c>
      <c r="M179" s="46">
        <v>2</v>
      </c>
      <c r="N179" s="46">
        <v>3</v>
      </c>
      <c r="O179" s="46">
        <v>3</v>
      </c>
      <c r="P179" s="46">
        <v>2</v>
      </c>
      <c r="Q179" s="46">
        <v>2</v>
      </c>
      <c r="R179" s="33">
        <f t="shared" si="2"/>
        <v>33</v>
      </c>
    </row>
    <row r="180" spans="1:18" ht="16" x14ac:dyDescent="0.2">
      <c r="A180" s="82" t="s">
        <v>484</v>
      </c>
      <c r="B180" s="81">
        <v>3</v>
      </c>
      <c r="C180" s="61">
        <v>3</v>
      </c>
      <c r="D180" s="61">
        <v>2</v>
      </c>
      <c r="E180" s="61">
        <v>4</v>
      </c>
      <c r="F180" s="61">
        <v>3</v>
      </c>
      <c r="G180" s="61">
        <v>4</v>
      </c>
      <c r="H180" s="61">
        <v>3</v>
      </c>
      <c r="I180" s="61">
        <v>2</v>
      </c>
      <c r="J180" s="61">
        <v>3</v>
      </c>
      <c r="K180" s="61">
        <v>2</v>
      </c>
      <c r="L180" s="61">
        <v>3</v>
      </c>
      <c r="M180" s="61">
        <v>2</v>
      </c>
      <c r="N180" s="61">
        <v>3</v>
      </c>
      <c r="O180" s="61">
        <v>3</v>
      </c>
      <c r="P180" s="61">
        <v>2</v>
      </c>
      <c r="Q180" s="61">
        <v>2</v>
      </c>
      <c r="R180" s="33">
        <f t="shared" si="2"/>
        <v>44</v>
      </c>
    </row>
    <row r="181" spans="1:18" ht="16" x14ac:dyDescent="0.2">
      <c r="A181" s="82" t="s">
        <v>485</v>
      </c>
      <c r="B181" s="81">
        <v>2</v>
      </c>
      <c r="C181" s="61">
        <v>2</v>
      </c>
      <c r="D181" s="61">
        <v>1</v>
      </c>
      <c r="E181" s="61">
        <v>2</v>
      </c>
      <c r="F181" s="61">
        <v>2</v>
      </c>
      <c r="G181" s="61">
        <v>2</v>
      </c>
      <c r="H181" s="61">
        <v>2</v>
      </c>
      <c r="I181" s="61">
        <v>2</v>
      </c>
      <c r="J181" s="61">
        <v>2</v>
      </c>
      <c r="K181" s="61">
        <v>1</v>
      </c>
      <c r="L181" s="61">
        <v>2</v>
      </c>
      <c r="M181" s="61">
        <v>1</v>
      </c>
      <c r="N181" s="61">
        <v>2</v>
      </c>
      <c r="O181" s="61">
        <v>2</v>
      </c>
      <c r="P181" s="61">
        <v>2</v>
      </c>
      <c r="Q181" s="61">
        <v>1</v>
      </c>
      <c r="R181" s="33">
        <f t="shared" si="2"/>
        <v>28</v>
      </c>
    </row>
    <row r="182" spans="1:18" ht="16" x14ac:dyDescent="0.2">
      <c r="A182" s="82" t="s">
        <v>486</v>
      </c>
      <c r="B182" s="81">
        <v>2</v>
      </c>
      <c r="C182" s="61">
        <v>2</v>
      </c>
      <c r="D182" s="61">
        <v>1</v>
      </c>
      <c r="E182" s="61">
        <v>2</v>
      </c>
      <c r="F182" s="61">
        <v>3</v>
      </c>
      <c r="G182" s="61">
        <v>4</v>
      </c>
      <c r="H182" s="61">
        <v>3</v>
      </c>
      <c r="I182" s="61">
        <v>3</v>
      </c>
      <c r="J182" s="61">
        <v>3</v>
      </c>
      <c r="K182" s="61">
        <v>2</v>
      </c>
      <c r="L182" s="61">
        <v>3</v>
      </c>
      <c r="M182" s="61">
        <v>2</v>
      </c>
      <c r="N182" s="61">
        <v>3</v>
      </c>
      <c r="O182" s="61">
        <v>3</v>
      </c>
      <c r="P182" s="61">
        <v>2</v>
      </c>
      <c r="Q182" s="61">
        <v>2</v>
      </c>
      <c r="R182" s="33">
        <f t="shared" si="2"/>
        <v>40</v>
      </c>
    </row>
    <row r="183" spans="1:18" ht="16" x14ac:dyDescent="0.2">
      <c r="A183" s="82" t="s">
        <v>487</v>
      </c>
      <c r="B183" s="67">
        <v>3</v>
      </c>
      <c r="C183" s="46">
        <v>2</v>
      </c>
      <c r="D183" s="46">
        <v>2</v>
      </c>
      <c r="E183" s="46">
        <v>3</v>
      </c>
      <c r="F183" s="46">
        <v>2</v>
      </c>
      <c r="G183" s="46">
        <v>3</v>
      </c>
      <c r="H183" s="46">
        <v>2</v>
      </c>
      <c r="I183" s="46">
        <v>2</v>
      </c>
      <c r="J183" s="46">
        <v>3</v>
      </c>
      <c r="K183" s="46">
        <v>3</v>
      </c>
      <c r="L183" s="46">
        <v>3</v>
      </c>
      <c r="M183" s="46">
        <v>2</v>
      </c>
      <c r="N183" s="46">
        <v>3</v>
      </c>
      <c r="O183" s="46">
        <v>3</v>
      </c>
      <c r="P183" s="46">
        <v>3</v>
      </c>
      <c r="Q183" s="46">
        <v>2</v>
      </c>
      <c r="R183" s="33">
        <f t="shared" si="2"/>
        <v>41</v>
      </c>
    </row>
    <row r="184" spans="1:18" ht="16" x14ac:dyDescent="0.2">
      <c r="A184" s="82" t="s">
        <v>488</v>
      </c>
      <c r="B184" s="60">
        <v>1</v>
      </c>
      <c r="C184" s="60">
        <v>1</v>
      </c>
      <c r="D184" s="60">
        <v>1</v>
      </c>
      <c r="E184" s="60">
        <v>1</v>
      </c>
      <c r="F184" s="60">
        <v>1</v>
      </c>
      <c r="G184" s="60">
        <v>2</v>
      </c>
      <c r="H184" s="60">
        <v>1</v>
      </c>
      <c r="I184" s="60">
        <v>1</v>
      </c>
      <c r="J184" s="60">
        <v>1</v>
      </c>
      <c r="K184" s="60">
        <v>1</v>
      </c>
      <c r="L184" s="60">
        <v>2</v>
      </c>
      <c r="M184" s="60">
        <v>1</v>
      </c>
      <c r="N184" s="60">
        <v>2</v>
      </c>
      <c r="O184" s="60">
        <v>2</v>
      </c>
      <c r="P184" s="60">
        <v>1</v>
      </c>
      <c r="Q184" s="60">
        <v>1</v>
      </c>
      <c r="R184" s="33">
        <f t="shared" si="2"/>
        <v>20</v>
      </c>
    </row>
  </sheetData>
  <autoFilter ref="A1:R184" xr:uid="{00000000-0001-0000-0300-000000000000}"/>
  <pageMargins left="0.7" right="0.7" top="0.75" bottom="0.75" header="0.3" footer="0.3"/>
  <headerFooter>
    <oddFooter>&amp;C_x000D_&amp;1#&amp;"Calibri"&amp;10&amp;K000000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94"/>
  <sheetViews>
    <sheetView workbookViewId="0">
      <pane xSplit="1" topLeftCell="B1" activePane="topRight" state="frozen"/>
      <selection pane="topRight" activeCell="A2" sqref="A2"/>
    </sheetView>
  </sheetViews>
  <sheetFormatPr baseColWidth="10" defaultColWidth="8.83203125" defaultRowHeight="15" x14ac:dyDescent="0.2"/>
  <cols>
    <col min="1" max="1" width="24" style="10" bestFit="1" customWidth="1"/>
    <col min="2" max="2" width="15" style="10" customWidth="1"/>
    <col min="3" max="4" width="12.5" style="10" customWidth="1"/>
    <col min="5" max="6" width="17.6640625" style="10" customWidth="1"/>
    <col min="7" max="7" width="11.6640625" style="10" customWidth="1"/>
    <col min="8" max="8" width="16.1640625" style="10" customWidth="1"/>
    <col min="9" max="9" width="15.83203125" style="10" customWidth="1"/>
    <col min="10" max="11" width="13.5" style="10" customWidth="1"/>
    <col min="12" max="12" width="17.33203125" style="10" customWidth="1"/>
    <col min="13" max="13" width="14.83203125" style="10" customWidth="1"/>
    <col min="14" max="15" width="8.83203125" style="10"/>
  </cols>
  <sheetData>
    <row r="1" spans="1:15" s="12" customFormat="1" ht="48" x14ac:dyDescent="0.2">
      <c r="A1" s="323" t="s">
        <v>497</v>
      </c>
      <c r="B1" s="1" t="s">
        <v>44</v>
      </c>
      <c r="C1" s="1" t="s">
        <v>45</v>
      </c>
      <c r="D1" s="1" t="s">
        <v>45</v>
      </c>
      <c r="E1" s="1" t="s">
        <v>46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</row>
    <row r="2" spans="1:15" ht="16" x14ac:dyDescent="0.2">
      <c r="A2" s="323" t="s">
        <v>497</v>
      </c>
      <c r="B2" s="341" t="str">
        <f>_xlfn.XLOOKUP(B1,BARTHEL[Pregunta],BARTHEL[ITEM_CODE],"XXXXXX")</f>
        <v>FEEDING</v>
      </c>
      <c r="C2" s="341" t="s">
        <v>779</v>
      </c>
      <c r="D2" s="341" t="str">
        <f>_xlfn.XLOOKUP(D1,BARTHEL[Pregunta],BARTHEL[ITEM_CODE],"XXXXXX")</f>
        <v>BATHING</v>
      </c>
      <c r="E2" s="341" t="s">
        <v>781</v>
      </c>
      <c r="F2" s="341" t="str">
        <f>_xlfn.XLOOKUP(F1,BARTHEL[Pregunta],BARTHEL[ITEM_CODE],"XXXXXX")</f>
        <v>GROOMING</v>
      </c>
      <c r="G2" s="341" t="str">
        <f>_xlfn.XLOOKUP(G1,BARTHEL[Pregunta],BARTHEL[ITEM_CODE],"XXXXXX")</f>
        <v>DRESSING</v>
      </c>
      <c r="H2" s="341" t="str">
        <f>_xlfn.XLOOKUP(H1,BARTHEL[Pregunta],BARTHEL[ITEM_CODE],"XXXXXX")</f>
        <v>BOWELS</v>
      </c>
      <c r="I2" s="341" t="str">
        <f>_xlfn.XLOOKUP(I1,BARTHEL[Pregunta],BARTHEL[ITEM_CODE],"XXXXXX")</f>
        <v>BLADDER</v>
      </c>
      <c r="J2" s="341" t="s">
        <v>780</v>
      </c>
      <c r="K2" s="341" t="str">
        <f>_xlfn.XLOOKUP(K1,BARTHEL[Pregunta],BARTHEL[ITEM_CODE],"XXXXXX")</f>
        <v>TOILET_USE</v>
      </c>
      <c r="L2" s="341" t="str">
        <f>_xlfn.XLOOKUP(L1,BARTHEL[Pregunta],BARTHEL[ITEM_CODE],"XXXXXX")</f>
        <v>TRANSFER</v>
      </c>
      <c r="M2" s="341" t="str">
        <f>_xlfn.XLOOKUP(M1,BARTHEL[Pregunta],BARTHEL[ITEM_CODE],"XXXXXX")</f>
        <v>MOBILITY</v>
      </c>
      <c r="N2" s="341" t="str">
        <f>_xlfn.XLOOKUP(N1,BARTHEL[Pregunta],BARTHEL[ITEM_CODE],"XXXXXX")</f>
        <v>STAIRS</v>
      </c>
      <c r="O2" s="341" t="s">
        <v>788</v>
      </c>
    </row>
    <row r="3" spans="1:15" s="6" customFormat="1" x14ac:dyDescent="0.2">
      <c r="A3" s="112" t="s">
        <v>297</v>
      </c>
      <c r="B3" s="26">
        <v>10</v>
      </c>
      <c r="C3" s="27">
        <v>5</v>
      </c>
      <c r="D3" s="379">
        <v>5</v>
      </c>
      <c r="E3" s="26">
        <v>5</v>
      </c>
      <c r="F3" s="379">
        <v>5</v>
      </c>
      <c r="G3" s="26">
        <v>5</v>
      </c>
      <c r="H3" s="26">
        <v>10</v>
      </c>
      <c r="I3" s="26">
        <v>10</v>
      </c>
      <c r="J3" s="376">
        <v>15</v>
      </c>
      <c r="K3" s="379">
        <v>10</v>
      </c>
      <c r="L3" s="26">
        <v>10</v>
      </c>
      <c r="M3" s="26">
        <v>15</v>
      </c>
      <c r="N3" s="26">
        <v>5</v>
      </c>
      <c r="O3" s="26">
        <f>SUM(B3:N3)</f>
        <v>110</v>
      </c>
    </row>
    <row r="4" spans="1:15" x14ac:dyDescent="0.2">
      <c r="A4" s="112" t="s">
        <v>298</v>
      </c>
      <c r="B4" s="26">
        <v>10</v>
      </c>
      <c r="C4" s="27">
        <v>5</v>
      </c>
      <c r="D4" s="379">
        <v>5</v>
      </c>
      <c r="E4" s="26">
        <v>5</v>
      </c>
      <c r="F4" s="379">
        <v>5</v>
      </c>
      <c r="G4" s="26">
        <v>5</v>
      </c>
      <c r="H4" s="26">
        <v>10</v>
      </c>
      <c r="I4" s="26">
        <v>10</v>
      </c>
      <c r="J4" s="376">
        <v>15</v>
      </c>
      <c r="K4" s="379">
        <v>10</v>
      </c>
      <c r="L4" s="26">
        <v>10</v>
      </c>
      <c r="M4" s="26">
        <v>15</v>
      </c>
      <c r="N4" s="26">
        <v>10</v>
      </c>
      <c r="O4" s="26">
        <f t="shared" ref="O4:O67" si="0">SUM(B4:N4)</f>
        <v>115</v>
      </c>
    </row>
    <row r="5" spans="1:15" x14ac:dyDescent="0.2">
      <c r="A5" s="112" t="s">
        <v>299</v>
      </c>
      <c r="B5" s="26">
        <v>10</v>
      </c>
      <c r="C5" s="27">
        <v>5</v>
      </c>
      <c r="D5" s="379">
        <v>5</v>
      </c>
      <c r="E5" s="26">
        <v>5</v>
      </c>
      <c r="F5" s="379">
        <v>5</v>
      </c>
      <c r="G5" s="26">
        <v>5</v>
      </c>
      <c r="H5" s="26">
        <v>10</v>
      </c>
      <c r="I5" s="26">
        <v>10</v>
      </c>
      <c r="J5" s="376">
        <v>15</v>
      </c>
      <c r="K5" s="379">
        <v>10</v>
      </c>
      <c r="L5" s="26">
        <v>10</v>
      </c>
      <c r="M5" s="26">
        <v>15</v>
      </c>
      <c r="N5" s="26">
        <v>5</v>
      </c>
      <c r="O5" s="26">
        <f t="shared" si="0"/>
        <v>110</v>
      </c>
    </row>
    <row r="6" spans="1:15" x14ac:dyDescent="0.2">
      <c r="A6" s="112" t="s">
        <v>300</v>
      </c>
      <c r="B6" s="26">
        <v>5</v>
      </c>
      <c r="C6" s="27">
        <v>0</v>
      </c>
      <c r="D6" s="379">
        <v>0</v>
      </c>
      <c r="E6" s="26">
        <v>0</v>
      </c>
      <c r="F6" s="379">
        <v>0</v>
      </c>
      <c r="G6" s="26">
        <v>0</v>
      </c>
      <c r="H6" s="26">
        <v>0</v>
      </c>
      <c r="I6" s="26">
        <v>0</v>
      </c>
      <c r="J6" s="26">
        <v>10</v>
      </c>
      <c r="K6" s="379">
        <v>10</v>
      </c>
      <c r="L6" s="26">
        <v>0</v>
      </c>
      <c r="M6" s="26">
        <v>10</v>
      </c>
      <c r="N6" s="26">
        <v>0</v>
      </c>
      <c r="O6" s="26">
        <f t="shared" si="0"/>
        <v>35</v>
      </c>
    </row>
    <row r="7" spans="1:15" x14ac:dyDescent="0.2">
      <c r="A7" s="112" t="s">
        <v>301</v>
      </c>
      <c r="B7" s="26">
        <v>10</v>
      </c>
      <c r="C7" s="27">
        <v>5</v>
      </c>
      <c r="D7" s="379">
        <v>5</v>
      </c>
      <c r="E7" s="26">
        <v>5</v>
      </c>
      <c r="F7" s="379">
        <v>5</v>
      </c>
      <c r="G7" s="26">
        <v>10</v>
      </c>
      <c r="H7" s="26">
        <v>10</v>
      </c>
      <c r="I7" s="26">
        <v>10</v>
      </c>
      <c r="J7" s="26">
        <v>10</v>
      </c>
      <c r="K7" s="379">
        <v>10</v>
      </c>
      <c r="L7" s="26">
        <v>15</v>
      </c>
      <c r="M7" s="26">
        <v>15</v>
      </c>
      <c r="N7" s="26">
        <v>5</v>
      </c>
      <c r="O7" s="26">
        <f t="shared" si="0"/>
        <v>115</v>
      </c>
    </row>
    <row r="8" spans="1:15" x14ac:dyDescent="0.2">
      <c r="A8" s="112" t="s">
        <v>302</v>
      </c>
      <c r="B8" s="26">
        <v>10</v>
      </c>
      <c r="C8" s="27">
        <v>5</v>
      </c>
      <c r="D8" s="379">
        <v>5</v>
      </c>
      <c r="E8" s="26">
        <v>5</v>
      </c>
      <c r="F8" s="379">
        <v>5</v>
      </c>
      <c r="G8" s="26">
        <v>5</v>
      </c>
      <c r="H8" s="26">
        <v>10</v>
      </c>
      <c r="I8" s="26">
        <v>10</v>
      </c>
      <c r="J8" s="376">
        <v>15</v>
      </c>
      <c r="K8" s="379">
        <v>10</v>
      </c>
      <c r="L8" s="26">
        <v>10</v>
      </c>
      <c r="M8" s="26">
        <v>15</v>
      </c>
      <c r="N8" s="26">
        <v>10</v>
      </c>
      <c r="O8" s="26">
        <f t="shared" si="0"/>
        <v>115</v>
      </c>
    </row>
    <row r="9" spans="1:15" x14ac:dyDescent="0.2">
      <c r="A9" s="112" t="s">
        <v>303</v>
      </c>
      <c r="B9" s="26">
        <v>10</v>
      </c>
      <c r="C9" s="27">
        <v>5</v>
      </c>
      <c r="D9" s="379">
        <v>5</v>
      </c>
      <c r="E9" s="26">
        <v>5</v>
      </c>
      <c r="F9" s="379">
        <v>5</v>
      </c>
      <c r="G9" s="26">
        <v>5</v>
      </c>
      <c r="H9" s="26">
        <v>10</v>
      </c>
      <c r="I9" s="26">
        <v>10</v>
      </c>
      <c r="J9" s="376">
        <v>15</v>
      </c>
      <c r="K9" s="379">
        <v>10</v>
      </c>
      <c r="L9" s="26">
        <v>10</v>
      </c>
      <c r="M9" s="26">
        <v>10</v>
      </c>
      <c r="N9" s="26">
        <v>5</v>
      </c>
      <c r="O9" s="26">
        <f t="shared" si="0"/>
        <v>105</v>
      </c>
    </row>
    <row r="10" spans="1:15" x14ac:dyDescent="0.2">
      <c r="A10" s="112" t="s">
        <v>304</v>
      </c>
      <c r="B10" s="26">
        <v>10</v>
      </c>
      <c r="C10" s="27">
        <v>5</v>
      </c>
      <c r="D10" s="379">
        <v>5</v>
      </c>
      <c r="E10" s="26">
        <v>5</v>
      </c>
      <c r="F10" s="379">
        <v>5</v>
      </c>
      <c r="G10" s="26">
        <v>5</v>
      </c>
      <c r="H10" s="26">
        <v>10</v>
      </c>
      <c r="I10" s="26">
        <v>10</v>
      </c>
      <c r="J10" s="376">
        <v>15</v>
      </c>
      <c r="K10" s="379">
        <v>10</v>
      </c>
      <c r="L10" s="26">
        <v>10</v>
      </c>
      <c r="M10" s="26">
        <v>10</v>
      </c>
      <c r="N10" s="26">
        <v>5</v>
      </c>
      <c r="O10" s="26">
        <f t="shared" si="0"/>
        <v>105</v>
      </c>
    </row>
    <row r="11" spans="1:15" x14ac:dyDescent="0.2">
      <c r="A11" s="112" t="s">
        <v>305</v>
      </c>
      <c r="B11" s="26">
        <v>5</v>
      </c>
      <c r="C11" s="27">
        <v>5</v>
      </c>
      <c r="D11" s="379">
        <v>5</v>
      </c>
      <c r="E11" s="26">
        <v>0</v>
      </c>
      <c r="F11" s="379">
        <v>0</v>
      </c>
      <c r="G11" s="26">
        <v>0</v>
      </c>
      <c r="H11" s="26">
        <v>5</v>
      </c>
      <c r="I11" s="26">
        <v>5</v>
      </c>
      <c r="J11" s="26">
        <v>10</v>
      </c>
      <c r="K11" s="379">
        <v>10</v>
      </c>
      <c r="L11" s="26">
        <v>5</v>
      </c>
      <c r="M11" s="26">
        <v>10</v>
      </c>
      <c r="N11" s="26">
        <v>0</v>
      </c>
      <c r="O11" s="26">
        <f t="shared" si="0"/>
        <v>60</v>
      </c>
    </row>
    <row r="12" spans="1:15" x14ac:dyDescent="0.2">
      <c r="A12" s="112" t="s">
        <v>306</v>
      </c>
      <c r="B12" s="26">
        <v>10</v>
      </c>
      <c r="C12" s="27">
        <v>5</v>
      </c>
      <c r="D12" s="379">
        <v>5</v>
      </c>
      <c r="E12" s="26">
        <v>5</v>
      </c>
      <c r="F12" s="379">
        <v>5</v>
      </c>
      <c r="G12" s="26">
        <v>5</v>
      </c>
      <c r="H12" s="26">
        <v>10</v>
      </c>
      <c r="I12" s="26">
        <v>10</v>
      </c>
      <c r="J12" s="376">
        <v>15</v>
      </c>
      <c r="K12" s="379">
        <v>10</v>
      </c>
      <c r="L12" s="26">
        <v>10</v>
      </c>
      <c r="M12" s="26">
        <v>15</v>
      </c>
      <c r="N12" s="26">
        <v>10</v>
      </c>
      <c r="O12" s="26">
        <f t="shared" si="0"/>
        <v>115</v>
      </c>
    </row>
    <row r="13" spans="1:15" x14ac:dyDescent="0.2">
      <c r="A13" s="112" t="s">
        <v>307</v>
      </c>
      <c r="B13" s="26">
        <v>10</v>
      </c>
      <c r="C13" s="27">
        <v>5</v>
      </c>
      <c r="D13" s="379">
        <v>5</v>
      </c>
      <c r="E13" s="26">
        <v>5</v>
      </c>
      <c r="F13" s="379">
        <v>5</v>
      </c>
      <c r="G13" s="26">
        <v>5</v>
      </c>
      <c r="H13" s="26">
        <v>10</v>
      </c>
      <c r="I13" s="26">
        <v>10</v>
      </c>
      <c r="J13" s="376">
        <v>15</v>
      </c>
      <c r="K13" s="379">
        <v>10</v>
      </c>
      <c r="L13" s="26">
        <v>10</v>
      </c>
      <c r="M13" s="26">
        <v>15</v>
      </c>
      <c r="N13" s="26">
        <v>5</v>
      </c>
      <c r="O13" s="26">
        <f t="shared" si="0"/>
        <v>110</v>
      </c>
    </row>
    <row r="14" spans="1:15" x14ac:dyDescent="0.2">
      <c r="A14" s="112" t="s">
        <v>308</v>
      </c>
      <c r="B14" s="26">
        <v>10</v>
      </c>
      <c r="C14" s="27">
        <v>5</v>
      </c>
      <c r="D14" s="379">
        <v>5</v>
      </c>
      <c r="E14" s="26">
        <v>5</v>
      </c>
      <c r="F14" s="379">
        <v>5</v>
      </c>
      <c r="G14" s="26">
        <v>5</v>
      </c>
      <c r="H14" s="26">
        <v>10</v>
      </c>
      <c r="I14" s="26">
        <v>10</v>
      </c>
      <c r="J14" s="26">
        <v>10</v>
      </c>
      <c r="K14" s="379">
        <v>10</v>
      </c>
      <c r="L14" s="26">
        <v>5</v>
      </c>
      <c r="M14" s="26">
        <v>10</v>
      </c>
      <c r="N14" s="26">
        <v>5</v>
      </c>
      <c r="O14" s="26">
        <f t="shared" si="0"/>
        <v>95</v>
      </c>
    </row>
    <row r="15" spans="1:15" x14ac:dyDescent="0.2">
      <c r="A15" s="112" t="s">
        <v>309</v>
      </c>
      <c r="B15" s="26">
        <v>5</v>
      </c>
      <c r="C15" s="27">
        <v>5</v>
      </c>
      <c r="D15" s="379">
        <v>5</v>
      </c>
      <c r="E15" s="26">
        <v>0</v>
      </c>
      <c r="F15" s="379">
        <v>0</v>
      </c>
      <c r="G15" s="26">
        <v>0</v>
      </c>
      <c r="H15" s="26">
        <v>5</v>
      </c>
      <c r="I15" s="26">
        <v>5</v>
      </c>
      <c r="J15" s="26">
        <v>10</v>
      </c>
      <c r="K15" s="379">
        <v>10</v>
      </c>
      <c r="L15" s="26">
        <v>0</v>
      </c>
      <c r="M15" s="26">
        <v>10</v>
      </c>
      <c r="N15" s="26">
        <v>0</v>
      </c>
      <c r="O15" s="26">
        <f t="shared" si="0"/>
        <v>55</v>
      </c>
    </row>
    <row r="16" spans="1:15" x14ac:dyDescent="0.2">
      <c r="A16" s="112" t="s">
        <v>310</v>
      </c>
      <c r="B16" s="26">
        <v>10</v>
      </c>
      <c r="C16" s="27">
        <v>5</v>
      </c>
      <c r="D16" s="379">
        <v>5</v>
      </c>
      <c r="E16" s="26">
        <v>5</v>
      </c>
      <c r="F16" s="379">
        <v>5</v>
      </c>
      <c r="G16" s="26">
        <v>10</v>
      </c>
      <c r="H16" s="26">
        <v>10</v>
      </c>
      <c r="I16" s="26">
        <v>10</v>
      </c>
      <c r="J16" s="26">
        <v>10</v>
      </c>
      <c r="K16" s="379">
        <v>10</v>
      </c>
      <c r="L16" s="26">
        <v>15</v>
      </c>
      <c r="M16" s="26">
        <v>10</v>
      </c>
      <c r="N16" s="26">
        <v>5</v>
      </c>
      <c r="O16" s="26">
        <f t="shared" si="0"/>
        <v>110</v>
      </c>
    </row>
    <row r="17" spans="1:15" x14ac:dyDescent="0.2">
      <c r="A17" s="112" t="s">
        <v>311</v>
      </c>
      <c r="B17" s="26">
        <v>10</v>
      </c>
      <c r="C17" s="27">
        <v>5</v>
      </c>
      <c r="D17" s="379">
        <v>5</v>
      </c>
      <c r="E17" s="26">
        <v>5</v>
      </c>
      <c r="F17" s="379">
        <v>5</v>
      </c>
      <c r="G17" s="26">
        <v>10</v>
      </c>
      <c r="H17" s="26">
        <v>10</v>
      </c>
      <c r="I17" s="26">
        <v>10</v>
      </c>
      <c r="J17" s="26">
        <v>10</v>
      </c>
      <c r="K17" s="379">
        <v>10</v>
      </c>
      <c r="L17" s="26">
        <v>15</v>
      </c>
      <c r="M17" s="26">
        <v>15</v>
      </c>
      <c r="N17" s="26">
        <v>10</v>
      </c>
      <c r="O17" s="26">
        <f t="shared" si="0"/>
        <v>120</v>
      </c>
    </row>
    <row r="18" spans="1:15" x14ac:dyDescent="0.2">
      <c r="A18" s="112" t="s">
        <v>312</v>
      </c>
      <c r="B18" s="26">
        <v>10</v>
      </c>
      <c r="C18" s="27">
        <v>5</v>
      </c>
      <c r="D18" s="379">
        <v>5</v>
      </c>
      <c r="E18" s="26">
        <v>5</v>
      </c>
      <c r="F18" s="379">
        <v>5</v>
      </c>
      <c r="G18" s="26">
        <v>10</v>
      </c>
      <c r="H18" s="26">
        <v>10</v>
      </c>
      <c r="I18" s="26">
        <v>10</v>
      </c>
      <c r="J18" s="26">
        <v>10</v>
      </c>
      <c r="K18" s="379">
        <v>10</v>
      </c>
      <c r="L18" s="26">
        <v>15</v>
      </c>
      <c r="M18" s="26">
        <v>10</v>
      </c>
      <c r="N18" s="26">
        <v>5</v>
      </c>
      <c r="O18" s="26">
        <f t="shared" si="0"/>
        <v>110</v>
      </c>
    </row>
    <row r="19" spans="1:15" x14ac:dyDescent="0.2">
      <c r="A19" s="112" t="s">
        <v>313</v>
      </c>
      <c r="B19" s="26">
        <v>10</v>
      </c>
      <c r="C19" s="27">
        <v>0</v>
      </c>
      <c r="D19" s="379">
        <v>0</v>
      </c>
      <c r="E19" s="26">
        <v>5</v>
      </c>
      <c r="F19" s="379">
        <v>5</v>
      </c>
      <c r="G19" s="26">
        <v>10</v>
      </c>
      <c r="H19" s="26">
        <v>5</v>
      </c>
      <c r="I19" s="26">
        <v>0</v>
      </c>
      <c r="J19" s="26">
        <v>5</v>
      </c>
      <c r="K19" s="379">
        <v>5</v>
      </c>
      <c r="L19" s="26">
        <v>10</v>
      </c>
      <c r="M19" s="26">
        <v>10</v>
      </c>
      <c r="N19" s="26">
        <v>0</v>
      </c>
      <c r="O19" s="26">
        <f t="shared" si="0"/>
        <v>65</v>
      </c>
    </row>
    <row r="20" spans="1:15" x14ac:dyDescent="0.2">
      <c r="A20" s="112" t="s">
        <v>314</v>
      </c>
      <c r="B20" s="26">
        <v>10</v>
      </c>
      <c r="C20" s="27">
        <v>5</v>
      </c>
      <c r="D20" s="379">
        <v>5</v>
      </c>
      <c r="E20" s="26">
        <v>5</v>
      </c>
      <c r="F20" s="379">
        <v>5</v>
      </c>
      <c r="G20" s="26">
        <v>10</v>
      </c>
      <c r="H20" s="26">
        <v>10</v>
      </c>
      <c r="I20" s="26">
        <v>10</v>
      </c>
      <c r="J20" s="26">
        <v>10</v>
      </c>
      <c r="K20" s="379">
        <v>10</v>
      </c>
      <c r="L20" s="26">
        <v>15</v>
      </c>
      <c r="M20" s="26">
        <v>15</v>
      </c>
      <c r="N20" s="26">
        <v>10</v>
      </c>
      <c r="O20" s="26">
        <f t="shared" si="0"/>
        <v>120</v>
      </c>
    </row>
    <row r="21" spans="1:15" x14ac:dyDescent="0.2">
      <c r="A21" s="112" t="s">
        <v>315</v>
      </c>
      <c r="B21" s="26">
        <v>10</v>
      </c>
      <c r="C21" s="27">
        <v>5</v>
      </c>
      <c r="D21" s="379">
        <v>5</v>
      </c>
      <c r="E21" s="26">
        <v>5</v>
      </c>
      <c r="F21" s="379">
        <v>5</v>
      </c>
      <c r="G21" s="26">
        <v>10</v>
      </c>
      <c r="H21" s="26">
        <v>10</v>
      </c>
      <c r="I21" s="26">
        <v>10</v>
      </c>
      <c r="J21" s="26">
        <v>10</v>
      </c>
      <c r="K21" s="379">
        <v>10</v>
      </c>
      <c r="L21" s="26">
        <v>15</v>
      </c>
      <c r="M21" s="26">
        <v>15</v>
      </c>
      <c r="N21" s="26">
        <v>5</v>
      </c>
      <c r="O21" s="26">
        <f t="shared" si="0"/>
        <v>115</v>
      </c>
    </row>
    <row r="22" spans="1:15" x14ac:dyDescent="0.2">
      <c r="A22" s="112" t="s">
        <v>316</v>
      </c>
      <c r="B22" s="26">
        <v>5</v>
      </c>
      <c r="C22" s="27">
        <v>0</v>
      </c>
      <c r="D22" s="379">
        <v>0</v>
      </c>
      <c r="E22" s="26">
        <v>0</v>
      </c>
      <c r="F22" s="379">
        <v>0</v>
      </c>
      <c r="G22" s="26">
        <v>5</v>
      </c>
      <c r="H22" s="26">
        <v>5</v>
      </c>
      <c r="I22" s="26">
        <v>5</v>
      </c>
      <c r="J22" s="26">
        <v>0</v>
      </c>
      <c r="K22" s="379">
        <v>0</v>
      </c>
      <c r="L22" s="26">
        <v>0</v>
      </c>
      <c r="M22" s="26">
        <v>0</v>
      </c>
      <c r="N22" s="26">
        <v>0</v>
      </c>
      <c r="O22" s="26">
        <f t="shared" si="0"/>
        <v>20</v>
      </c>
    </row>
    <row r="23" spans="1:15" x14ac:dyDescent="0.2">
      <c r="A23" s="112" t="s">
        <v>317</v>
      </c>
      <c r="B23" s="26">
        <v>10</v>
      </c>
      <c r="C23" s="27">
        <v>5</v>
      </c>
      <c r="D23" s="379">
        <v>5</v>
      </c>
      <c r="E23" s="26">
        <v>5</v>
      </c>
      <c r="F23" s="379">
        <v>5</v>
      </c>
      <c r="G23" s="26">
        <v>5</v>
      </c>
      <c r="H23" s="26">
        <v>10</v>
      </c>
      <c r="I23" s="26">
        <v>5</v>
      </c>
      <c r="J23" s="376">
        <v>15</v>
      </c>
      <c r="K23" s="379">
        <v>10</v>
      </c>
      <c r="L23" s="26">
        <v>10</v>
      </c>
      <c r="M23" s="26">
        <v>15</v>
      </c>
      <c r="N23" s="26">
        <v>10</v>
      </c>
      <c r="O23" s="26">
        <f t="shared" si="0"/>
        <v>110</v>
      </c>
    </row>
    <row r="24" spans="1:15" x14ac:dyDescent="0.2">
      <c r="A24" s="112" t="s">
        <v>318</v>
      </c>
      <c r="B24" s="26">
        <v>10</v>
      </c>
      <c r="C24" s="27">
        <v>5</v>
      </c>
      <c r="D24" s="379">
        <v>5</v>
      </c>
      <c r="E24" s="26">
        <v>5</v>
      </c>
      <c r="F24" s="379">
        <v>5</v>
      </c>
      <c r="G24" s="26">
        <v>5</v>
      </c>
      <c r="H24" s="26">
        <v>5</v>
      </c>
      <c r="I24" s="26">
        <v>5</v>
      </c>
      <c r="J24" s="376">
        <v>15</v>
      </c>
      <c r="K24" s="379">
        <v>10</v>
      </c>
      <c r="L24" s="26">
        <v>10</v>
      </c>
      <c r="M24" s="26">
        <v>15</v>
      </c>
      <c r="N24" s="26">
        <v>10</v>
      </c>
      <c r="O24" s="26">
        <f t="shared" si="0"/>
        <v>105</v>
      </c>
    </row>
    <row r="25" spans="1:15" x14ac:dyDescent="0.2">
      <c r="A25" s="112" t="s">
        <v>319</v>
      </c>
      <c r="B25" s="26">
        <v>10</v>
      </c>
      <c r="C25" s="27">
        <v>5</v>
      </c>
      <c r="D25" s="379">
        <v>5</v>
      </c>
      <c r="E25" s="26">
        <v>5</v>
      </c>
      <c r="F25" s="379">
        <v>5</v>
      </c>
      <c r="G25" s="26">
        <v>5</v>
      </c>
      <c r="H25" s="26">
        <v>10</v>
      </c>
      <c r="I25" s="26">
        <v>10</v>
      </c>
      <c r="J25" s="376">
        <v>15</v>
      </c>
      <c r="K25" s="379">
        <v>10</v>
      </c>
      <c r="L25" s="26">
        <v>10</v>
      </c>
      <c r="M25" s="26">
        <v>15</v>
      </c>
      <c r="N25" s="26">
        <v>10</v>
      </c>
      <c r="O25" s="26">
        <f t="shared" si="0"/>
        <v>115</v>
      </c>
    </row>
    <row r="26" spans="1:15" x14ac:dyDescent="0.2">
      <c r="A26" s="112" t="s">
        <v>489</v>
      </c>
      <c r="B26" s="26">
        <v>5</v>
      </c>
      <c r="C26" s="27">
        <v>5</v>
      </c>
      <c r="D26" s="379">
        <v>5</v>
      </c>
      <c r="E26" s="26">
        <v>5</v>
      </c>
      <c r="F26" s="379">
        <v>5</v>
      </c>
      <c r="G26" s="26">
        <v>5</v>
      </c>
      <c r="H26" s="26">
        <v>5</v>
      </c>
      <c r="I26" s="26">
        <v>5</v>
      </c>
      <c r="J26" s="26">
        <v>10</v>
      </c>
      <c r="K26" s="379">
        <v>10</v>
      </c>
      <c r="L26" s="26">
        <v>10</v>
      </c>
      <c r="M26" s="26">
        <v>10</v>
      </c>
      <c r="N26" s="26">
        <v>10</v>
      </c>
      <c r="O26" s="26">
        <f t="shared" si="0"/>
        <v>90</v>
      </c>
    </row>
    <row r="27" spans="1:15" x14ac:dyDescent="0.2">
      <c r="A27" s="112" t="s">
        <v>320</v>
      </c>
      <c r="B27" s="26">
        <v>10</v>
      </c>
      <c r="C27" s="27">
        <v>5</v>
      </c>
      <c r="D27" s="379">
        <v>5</v>
      </c>
      <c r="E27" s="26">
        <v>5</v>
      </c>
      <c r="F27" s="379">
        <v>5</v>
      </c>
      <c r="G27" s="26">
        <v>5</v>
      </c>
      <c r="H27" s="26">
        <v>10</v>
      </c>
      <c r="I27" s="26">
        <v>5</v>
      </c>
      <c r="J27" s="376">
        <v>15</v>
      </c>
      <c r="K27" s="379">
        <v>10</v>
      </c>
      <c r="L27" s="26">
        <v>10</v>
      </c>
      <c r="M27" s="26">
        <v>15</v>
      </c>
      <c r="N27" s="26">
        <v>10</v>
      </c>
      <c r="O27" s="26">
        <f t="shared" si="0"/>
        <v>110</v>
      </c>
    </row>
    <row r="28" spans="1:15" x14ac:dyDescent="0.2">
      <c r="A28" s="112" t="s">
        <v>321</v>
      </c>
      <c r="B28" s="26">
        <v>10</v>
      </c>
      <c r="C28" s="27">
        <v>5</v>
      </c>
      <c r="D28" s="379">
        <v>5</v>
      </c>
      <c r="E28" s="26">
        <v>5</v>
      </c>
      <c r="F28" s="379">
        <v>5</v>
      </c>
      <c r="G28" s="26">
        <v>10</v>
      </c>
      <c r="H28" s="26">
        <v>10</v>
      </c>
      <c r="I28" s="26">
        <v>10</v>
      </c>
      <c r="J28" s="26">
        <v>10</v>
      </c>
      <c r="K28" s="379">
        <v>10</v>
      </c>
      <c r="L28" s="26">
        <v>15</v>
      </c>
      <c r="M28" s="26">
        <v>15</v>
      </c>
      <c r="N28" s="26">
        <v>5</v>
      </c>
      <c r="O28" s="26">
        <f t="shared" si="0"/>
        <v>115</v>
      </c>
    </row>
    <row r="29" spans="1:15" x14ac:dyDescent="0.2">
      <c r="A29" s="112" t="s">
        <v>322</v>
      </c>
      <c r="B29" s="26">
        <v>10</v>
      </c>
      <c r="C29" s="27">
        <v>5</v>
      </c>
      <c r="D29" s="379">
        <v>5</v>
      </c>
      <c r="E29" s="26">
        <v>5</v>
      </c>
      <c r="F29" s="379">
        <v>5</v>
      </c>
      <c r="G29" s="26">
        <v>10</v>
      </c>
      <c r="H29" s="26">
        <v>10</v>
      </c>
      <c r="I29" s="26">
        <v>10</v>
      </c>
      <c r="J29" s="26">
        <v>10</v>
      </c>
      <c r="K29" s="379">
        <v>10</v>
      </c>
      <c r="L29" s="26">
        <v>15</v>
      </c>
      <c r="M29" s="26">
        <v>15</v>
      </c>
      <c r="N29" s="26">
        <v>10</v>
      </c>
      <c r="O29" s="26">
        <f t="shared" si="0"/>
        <v>120</v>
      </c>
    </row>
    <row r="30" spans="1:15" x14ac:dyDescent="0.2">
      <c r="A30" s="112" t="s">
        <v>323</v>
      </c>
      <c r="B30" s="26">
        <v>5</v>
      </c>
      <c r="C30" s="27">
        <v>0</v>
      </c>
      <c r="D30" s="379">
        <v>0</v>
      </c>
      <c r="E30" s="26">
        <v>0</v>
      </c>
      <c r="F30" s="379">
        <v>0</v>
      </c>
      <c r="G30" s="26">
        <v>5</v>
      </c>
      <c r="H30" s="26">
        <v>5</v>
      </c>
      <c r="I30" s="26">
        <v>5</v>
      </c>
      <c r="J30" s="26">
        <v>5</v>
      </c>
      <c r="K30" s="379">
        <v>5</v>
      </c>
      <c r="L30" s="26">
        <v>10</v>
      </c>
      <c r="M30" s="26">
        <v>10</v>
      </c>
      <c r="N30" s="26">
        <v>0</v>
      </c>
      <c r="O30" s="26">
        <f t="shared" si="0"/>
        <v>50</v>
      </c>
    </row>
    <row r="31" spans="1:15" x14ac:dyDescent="0.2">
      <c r="A31" s="112" t="s">
        <v>324</v>
      </c>
      <c r="B31" s="26">
        <v>10</v>
      </c>
      <c r="C31" s="27">
        <v>5</v>
      </c>
      <c r="D31" s="379">
        <v>5</v>
      </c>
      <c r="E31" s="26">
        <v>5</v>
      </c>
      <c r="F31" s="379">
        <v>5</v>
      </c>
      <c r="G31" s="26">
        <v>10</v>
      </c>
      <c r="H31" s="26">
        <v>10</v>
      </c>
      <c r="I31" s="26">
        <v>10</v>
      </c>
      <c r="J31" s="26">
        <v>10</v>
      </c>
      <c r="K31" s="379">
        <v>10</v>
      </c>
      <c r="L31" s="26">
        <v>15</v>
      </c>
      <c r="M31" s="26">
        <v>15</v>
      </c>
      <c r="N31" s="26">
        <v>5</v>
      </c>
      <c r="O31" s="26">
        <f t="shared" si="0"/>
        <v>115</v>
      </c>
    </row>
    <row r="32" spans="1:15" x14ac:dyDescent="0.2">
      <c r="A32" s="112" t="s">
        <v>325</v>
      </c>
      <c r="B32" s="26">
        <v>5</v>
      </c>
      <c r="C32" s="27">
        <v>0</v>
      </c>
      <c r="D32" s="379">
        <v>0</v>
      </c>
      <c r="E32" s="26">
        <v>0</v>
      </c>
      <c r="F32" s="379">
        <v>0</v>
      </c>
      <c r="G32" s="26">
        <v>5</v>
      </c>
      <c r="H32" s="26">
        <v>10</v>
      </c>
      <c r="I32" s="26">
        <v>0</v>
      </c>
      <c r="J32" s="26">
        <v>5</v>
      </c>
      <c r="K32" s="379">
        <v>5</v>
      </c>
      <c r="L32" s="26">
        <v>10</v>
      </c>
      <c r="M32" s="26">
        <v>10</v>
      </c>
      <c r="N32" s="26">
        <v>5</v>
      </c>
      <c r="O32" s="26">
        <f t="shared" si="0"/>
        <v>55</v>
      </c>
    </row>
    <row r="33" spans="1:15" x14ac:dyDescent="0.2">
      <c r="A33" s="113" t="s">
        <v>326</v>
      </c>
      <c r="B33" s="26">
        <v>5</v>
      </c>
      <c r="C33" s="27">
        <v>0</v>
      </c>
      <c r="D33" s="379">
        <v>0</v>
      </c>
      <c r="E33" s="26">
        <v>0</v>
      </c>
      <c r="F33" s="379">
        <v>0</v>
      </c>
      <c r="G33" s="26">
        <v>5</v>
      </c>
      <c r="H33" s="26">
        <v>10</v>
      </c>
      <c r="I33" s="26">
        <v>0</v>
      </c>
      <c r="J33" s="26">
        <v>5</v>
      </c>
      <c r="K33" s="379">
        <v>5</v>
      </c>
      <c r="L33" s="26">
        <v>10</v>
      </c>
      <c r="M33" s="26">
        <v>10</v>
      </c>
      <c r="N33" s="26">
        <v>5</v>
      </c>
      <c r="O33" s="26">
        <f t="shared" si="0"/>
        <v>55</v>
      </c>
    </row>
    <row r="34" spans="1:15" x14ac:dyDescent="0.2">
      <c r="A34" s="112" t="s">
        <v>327</v>
      </c>
      <c r="B34" s="26">
        <v>10</v>
      </c>
      <c r="C34" s="27">
        <v>5</v>
      </c>
      <c r="D34" s="379">
        <v>5</v>
      </c>
      <c r="E34" s="26">
        <v>5</v>
      </c>
      <c r="F34" s="379">
        <v>5</v>
      </c>
      <c r="G34" s="26">
        <v>10</v>
      </c>
      <c r="H34" s="26">
        <v>10</v>
      </c>
      <c r="I34" s="26">
        <v>10</v>
      </c>
      <c r="J34" s="26">
        <v>10</v>
      </c>
      <c r="K34" s="379">
        <v>10</v>
      </c>
      <c r="L34" s="26">
        <v>15</v>
      </c>
      <c r="M34" s="26">
        <v>15</v>
      </c>
      <c r="N34" s="26">
        <v>10</v>
      </c>
      <c r="O34" s="26">
        <f t="shared" si="0"/>
        <v>120</v>
      </c>
    </row>
    <row r="35" spans="1:15" x14ac:dyDescent="0.2">
      <c r="A35" s="112" t="s">
        <v>328</v>
      </c>
      <c r="B35" s="114">
        <v>10</v>
      </c>
      <c r="C35" s="115">
        <v>5</v>
      </c>
      <c r="D35" s="380">
        <v>5</v>
      </c>
      <c r="E35" s="115">
        <v>5</v>
      </c>
      <c r="F35" s="380">
        <v>5</v>
      </c>
      <c r="G35" s="115">
        <v>5</v>
      </c>
      <c r="H35" s="115">
        <v>10</v>
      </c>
      <c r="I35" s="115">
        <v>5</v>
      </c>
      <c r="J35" s="115">
        <v>5</v>
      </c>
      <c r="K35" s="380">
        <v>5</v>
      </c>
      <c r="L35" s="115">
        <v>10</v>
      </c>
      <c r="M35" s="115">
        <v>10</v>
      </c>
      <c r="N35" s="115">
        <v>10</v>
      </c>
      <c r="O35" s="26">
        <f t="shared" si="0"/>
        <v>90</v>
      </c>
    </row>
    <row r="36" spans="1:15" x14ac:dyDescent="0.2">
      <c r="A36" s="112" t="s">
        <v>329</v>
      </c>
      <c r="B36" s="26">
        <v>5</v>
      </c>
      <c r="C36" s="27">
        <v>0</v>
      </c>
      <c r="D36" s="379">
        <v>0</v>
      </c>
      <c r="E36" s="26">
        <v>0</v>
      </c>
      <c r="F36" s="379">
        <v>0</v>
      </c>
      <c r="G36" s="26">
        <v>0</v>
      </c>
      <c r="H36" s="26">
        <v>5</v>
      </c>
      <c r="I36" s="26">
        <v>5</v>
      </c>
      <c r="J36" s="26">
        <v>0</v>
      </c>
      <c r="K36" s="379">
        <v>0</v>
      </c>
      <c r="L36" s="26">
        <v>0</v>
      </c>
      <c r="M36" s="26">
        <v>0</v>
      </c>
      <c r="N36" s="26">
        <v>0</v>
      </c>
      <c r="O36" s="26">
        <f t="shared" si="0"/>
        <v>15</v>
      </c>
    </row>
    <row r="37" spans="1:15" x14ac:dyDescent="0.2">
      <c r="A37" s="112" t="s">
        <v>330</v>
      </c>
      <c r="B37" s="26">
        <v>10</v>
      </c>
      <c r="C37" s="27">
        <v>5</v>
      </c>
      <c r="D37" s="379">
        <v>5</v>
      </c>
      <c r="E37" s="26">
        <v>5</v>
      </c>
      <c r="F37" s="379">
        <v>5</v>
      </c>
      <c r="G37" s="26">
        <v>5</v>
      </c>
      <c r="H37" s="26">
        <v>10</v>
      </c>
      <c r="I37" s="26">
        <v>5</v>
      </c>
      <c r="J37" s="376">
        <v>15</v>
      </c>
      <c r="K37" s="379">
        <v>10</v>
      </c>
      <c r="L37" s="26">
        <v>10</v>
      </c>
      <c r="M37" s="26">
        <v>15</v>
      </c>
      <c r="N37" s="26">
        <v>10</v>
      </c>
      <c r="O37" s="26">
        <f t="shared" si="0"/>
        <v>110</v>
      </c>
    </row>
    <row r="38" spans="1:15" x14ac:dyDescent="0.2">
      <c r="A38" s="112" t="s">
        <v>331</v>
      </c>
      <c r="B38" s="26">
        <v>10</v>
      </c>
      <c r="C38" s="27">
        <v>5</v>
      </c>
      <c r="D38" s="379">
        <v>5</v>
      </c>
      <c r="E38" s="26">
        <v>5</v>
      </c>
      <c r="F38" s="379">
        <v>5</v>
      </c>
      <c r="G38" s="26">
        <v>5</v>
      </c>
      <c r="H38" s="26">
        <v>10</v>
      </c>
      <c r="I38" s="26">
        <v>5</v>
      </c>
      <c r="J38" s="376">
        <v>15</v>
      </c>
      <c r="K38" s="379">
        <v>10</v>
      </c>
      <c r="L38" s="26">
        <v>10</v>
      </c>
      <c r="M38" s="26">
        <v>15</v>
      </c>
      <c r="N38" s="26">
        <v>5</v>
      </c>
      <c r="O38" s="26">
        <f t="shared" si="0"/>
        <v>105</v>
      </c>
    </row>
    <row r="39" spans="1:15" x14ac:dyDescent="0.2">
      <c r="A39" s="112" t="s">
        <v>332</v>
      </c>
      <c r="B39" s="26">
        <v>5</v>
      </c>
      <c r="C39" s="27">
        <v>5</v>
      </c>
      <c r="D39" s="379">
        <v>5</v>
      </c>
      <c r="E39" s="26">
        <v>5</v>
      </c>
      <c r="F39" s="379">
        <v>5</v>
      </c>
      <c r="G39" s="26">
        <v>0</v>
      </c>
      <c r="H39" s="26">
        <v>10</v>
      </c>
      <c r="I39" s="26">
        <v>10</v>
      </c>
      <c r="J39" s="26">
        <v>10</v>
      </c>
      <c r="K39" s="379">
        <v>10</v>
      </c>
      <c r="L39" s="26">
        <v>5</v>
      </c>
      <c r="M39" s="26">
        <v>10</v>
      </c>
      <c r="N39" s="26">
        <v>0</v>
      </c>
      <c r="O39" s="26">
        <f t="shared" si="0"/>
        <v>80</v>
      </c>
    </row>
    <row r="40" spans="1:15" x14ac:dyDescent="0.2">
      <c r="A40" s="112" t="s">
        <v>333</v>
      </c>
      <c r="B40" s="26">
        <v>10</v>
      </c>
      <c r="C40" s="26">
        <v>5</v>
      </c>
      <c r="D40" s="379">
        <v>5</v>
      </c>
      <c r="E40" s="26">
        <v>0</v>
      </c>
      <c r="F40" s="379">
        <v>0</v>
      </c>
      <c r="G40" s="26">
        <v>0</v>
      </c>
      <c r="H40" s="26">
        <v>5</v>
      </c>
      <c r="I40" s="26">
        <v>5</v>
      </c>
      <c r="J40" s="26">
        <v>10</v>
      </c>
      <c r="K40" s="379">
        <v>10</v>
      </c>
      <c r="L40" s="26">
        <v>5</v>
      </c>
      <c r="M40" s="26">
        <v>10</v>
      </c>
      <c r="N40" s="26">
        <v>0</v>
      </c>
      <c r="O40" s="26">
        <f t="shared" si="0"/>
        <v>65</v>
      </c>
    </row>
    <row r="41" spans="1:15" x14ac:dyDescent="0.2">
      <c r="A41" s="112" t="s">
        <v>334</v>
      </c>
      <c r="B41" s="26">
        <v>5</v>
      </c>
      <c r="C41" s="26">
        <v>5</v>
      </c>
      <c r="D41" s="379">
        <v>5</v>
      </c>
      <c r="E41" s="26">
        <v>0</v>
      </c>
      <c r="F41" s="379">
        <v>0</v>
      </c>
      <c r="G41" s="26">
        <v>0</v>
      </c>
      <c r="H41" s="26">
        <v>5</v>
      </c>
      <c r="I41" s="26">
        <v>5</v>
      </c>
      <c r="J41" s="26">
        <v>10</v>
      </c>
      <c r="K41" s="379">
        <v>10</v>
      </c>
      <c r="L41" s="26">
        <v>5</v>
      </c>
      <c r="M41" s="26">
        <v>10</v>
      </c>
      <c r="N41" s="26">
        <v>5</v>
      </c>
      <c r="O41" s="26">
        <f t="shared" si="0"/>
        <v>65</v>
      </c>
    </row>
    <row r="42" spans="1:15" x14ac:dyDescent="0.2">
      <c r="A42" s="116" t="s">
        <v>335</v>
      </c>
      <c r="B42" s="26">
        <v>10</v>
      </c>
      <c r="C42" s="376">
        <v>10</v>
      </c>
      <c r="D42" s="379">
        <v>5</v>
      </c>
      <c r="E42" s="26">
        <v>5</v>
      </c>
      <c r="F42" s="379">
        <v>5</v>
      </c>
      <c r="G42" s="26">
        <v>5</v>
      </c>
      <c r="H42" s="26">
        <v>10</v>
      </c>
      <c r="I42" s="26">
        <v>5</v>
      </c>
      <c r="J42" s="376">
        <v>15</v>
      </c>
      <c r="K42" s="379">
        <v>10</v>
      </c>
      <c r="L42" s="26">
        <v>10</v>
      </c>
      <c r="M42" s="26">
        <v>15</v>
      </c>
      <c r="N42" s="26">
        <v>10</v>
      </c>
      <c r="O42" s="26">
        <f t="shared" si="0"/>
        <v>115</v>
      </c>
    </row>
    <row r="43" spans="1:15" x14ac:dyDescent="0.2">
      <c r="A43" s="117" t="s">
        <v>336</v>
      </c>
      <c r="B43" s="26">
        <v>10</v>
      </c>
      <c r="C43" s="376">
        <v>10</v>
      </c>
      <c r="D43" s="379">
        <v>5</v>
      </c>
      <c r="E43" s="26">
        <v>5</v>
      </c>
      <c r="F43" s="379">
        <v>5</v>
      </c>
      <c r="G43" s="26">
        <v>5</v>
      </c>
      <c r="H43" s="26">
        <v>10</v>
      </c>
      <c r="I43" s="26">
        <v>10</v>
      </c>
      <c r="J43" s="376">
        <v>15</v>
      </c>
      <c r="K43" s="379">
        <v>10</v>
      </c>
      <c r="L43" s="26">
        <v>10</v>
      </c>
      <c r="M43" s="26">
        <v>15</v>
      </c>
      <c r="N43" s="26">
        <v>10</v>
      </c>
      <c r="O43" s="26">
        <f t="shared" si="0"/>
        <v>120</v>
      </c>
    </row>
    <row r="44" spans="1:15" x14ac:dyDescent="0.2">
      <c r="A44" s="117" t="s">
        <v>337</v>
      </c>
      <c r="B44" s="118">
        <v>10</v>
      </c>
      <c r="C44" s="377">
        <v>10</v>
      </c>
      <c r="D44" s="381">
        <v>5</v>
      </c>
      <c r="E44" s="118">
        <v>5</v>
      </c>
      <c r="F44" s="381">
        <v>5</v>
      </c>
      <c r="G44" s="118">
        <v>5</v>
      </c>
      <c r="H44" s="118">
        <v>10</v>
      </c>
      <c r="I44" s="118">
        <v>0</v>
      </c>
      <c r="J44" s="377">
        <v>15</v>
      </c>
      <c r="K44" s="379">
        <v>10</v>
      </c>
      <c r="L44" s="118">
        <v>10</v>
      </c>
      <c r="M44" s="118">
        <v>15</v>
      </c>
      <c r="N44" s="118">
        <v>10</v>
      </c>
      <c r="O44" s="26">
        <f t="shared" si="0"/>
        <v>110</v>
      </c>
    </row>
    <row r="45" spans="1:15" x14ac:dyDescent="0.2">
      <c r="A45" s="119" t="s">
        <v>338</v>
      </c>
      <c r="B45" s="120">
        <v>10</v>
      </c>
      <c r="C45" s="377">
        <v>10</v>
      </c>
      <c r="D45" s="381">
        <v>5</v>
      </c>
      <c r="E45" s="120">
        <v>5</v>
      </c>
      <c r="F45" s="381">
        <v>5</v>
      </c>
      <c r="G45" s="120">
        <v>5</v>
      </c>
      <c r="H45" s="120">
        <v>10</v>
      </c>
      <c r="I45" s="120">
        <v>0</v>
      </c>
      <c r="J45" s="377">
        <v>15</v>
      </c>
      <c r="K45" s="379">
        <v>10</v>
      </c>
      <c r="L45" s="120">
        <v>10</v>
      </c>
      <c r="M45" s="120">
        <v>15</v>
      </c>
      <c r="N45" s="120">
        <v>10</v>
      </c>
      <c r="O45" s="26">
        <f t="shared" si="0"/>
        <v>110</v>
      </c>
    </row>
    <row r="46" spans="1:15" x14ac:dyDescent="0.2">
      <c r="A46" s="112" t="s">
        <v>339</v>
      </c>
      <c r="B46" s="26">
        <v>10</v>
      </c>
      <c r="C46" s="26">
        <v>0</v>
      </c>
      <c r="D46" s="379">
        <v>0</v>
      </c>
      <c r="E46" s="26">
        <v>0</v>
      </c>
      <c r="F46" s="379">
        <v>0</v>
      </c>
      <c r="G46" s="26">
        <v>5</v>
      </c>
      <c r="H46" s="26">
        <v>10</v>
      </c>
      <c r="I46" s="26">
        <v>5</v>
      </c>
      <c r="J46" s="26">
        <v>10</v>
      </c>
      <c r="K46" s="379">
        <v>10</v>
      </c>
      <c r="L46" s="26">
        <v>10</v>
      </c>
      <c r="M46" s="26">
        <v>10</v>
      </c>
      <c r="N46" s="26">
        <v>5</v>
      </c>
      <c r="O46" s="26">
        <f t="shared" si="0"/>
        <v>75</v>
      </c>
    </row>
    <row r="47" spans="1:15" x14ac:dyDescent="0.2">
      <c r="A47" s="117" t="s">
        <v>340</v>
      </c>
      <c r="B47" s="26">
        <v>10</v>
      </c>
      <c r="C47" s="376">
        <v>10</v>
      </c>
      <c r="D47" s="379">
        <v>5</v>
      </c>
      <c r="E47" s="26">
        <v>5</v>
      </c>
      <c r="F47" s="379">
        <v>5</v>
      </c>
      <c r="G47" s="26">
        <v>5</v>
      </c>
      <c r="H47" s="26">
        <v>10</v>
      </c>
      <c r="I47" s="26">
        <v>5</v>
      </c>
      <c r="J47" s="376">
        <v>15</v>
      </c>
      <c r="K47" s="379">
        <v>10</v>
      </c>
      <c r="L47" s="26">
        <v>10</v>
      </c>
      <c r="M47" s="26">
        <v>15</v>
      </c>
      <c r="N47" s="26">
        <v>5</v>
      </c>
      <c r="O47" s="26">
        <f t="shared" si="0"/>
        <v>110</v>
      </c>
    </row>
    <row r="48" spans="1:15" x14ac:dyDescent="0.2">
      <c r="A48" s="117" t="s">
        <v>341</v>
      </c>
      <c r="B48" s="26">
        <v>10</v>
      </c>
      <c r="C48" s="376">
        <v>10</v>
      </c>
      <c r="D48" s="379">
        <v>5</v>
      </c>
      <c r="E48" s="26">
        <v>5</v>
      </c>
      <c r="F48" s="379">
        <v>5</v>
      </c>
      <c r="G48" s="26">
        <v>0</v>
      </c>
      <c r="H48" s="26">
        <v>10</v>
      </c>
      <c r="I48" s="26">
        <v>5</v>
      </c>
      <c r="J48" s="376">
        <v>15</v>
      </c>
      <c r="K48" s="379">
        <v>10</v>
      </c>
      <c r="L48" s="26">
        <v>10</v>
      </c>
      <c r="M48" s="26">
        <v>10</v>
      </c>
      <c r="N48" s="26">
        <v>10</v>
      </c>
      <c r="O48" s="26">
        <f t="shared" si="0"/>
        <v>105</v>
      </c>
    </row>
    <row r="49" spans="1:15" x14ac:dyDescent="0.2">
      <c r="A49" s="117" t="s">
        <v>342</v>
      </c>
      <c r="B49" s="26">
        <v>10</v>
      </c>
      <c r="C49" s="376">
        <v>10</v>
      </c>
      <c r="D49" s="379">
        <v>5</v>
      </c>
      <c r="E49" s="26">
        <v>5</v>
      </c>
      <c r="F49" s="379">
        <v>5</v>
      </c>
      <c r="G49" s="26">
        <v>5</v>
      </c>
      <c r="H49" s="26">
        <v>10</v>
      </c>
      <c r="I49" s="26">
        <v>10</v>
      </c>
      <c r="J49" s="376">
        <v>15</v>
      </c>
      <c r="K49" s="379">
        <v>10</v>
      </c>
      <c r="L49" s="26">
        <v>10</v>
      </c>
      <c r="M49" s="26">
        <v>15</v>
      </c>
      <c r="N49" s="26">
        <v>10</v>
      </c>
      <c r="O49" s="26">
        <f t="shared" si="0"/>
        <v>120</v>
      </c>
    </row>
    <row r="50" spans="1:15" x14ac:dyDescent="0.2">
      <c r="A50" s="117" t="s">
        <v>343</v>
      </c>
      <c r="B50" s="26">
        <v>10</v>
      </c>
      <c r="C50" s="27">
        <v>5</v>
      </c>
      <c r="D50" s="379">
        <v>5</v>
      </c>
      <c r="E50" s="26">
        <v>5</v>
      </c>
      <c r="F50" s="379">
        <v>5</v>
      </c>
      <c r="G50" s="26">
        <v>10</v>
      </c>
      <c r="H50" s="26">
        <v>10</v>
      </c>
      <c r="I50" s="26">
        <v>10</v>
      </c>
      <c r="J50" s="26">
        <v>10</v>
      </c>
      <c r="K50" s="379">
        <v>10</v>
      </c>
      <c r="L50" s="26">
        <v>10</v>
      </c>
      <c r="M50" s="26">
        <v>10</v>
      </c>
      <c r="N50" s="26">
        <v>0</v>
      </c>
      <c r="O50" s="26">
        <f t="shared" si="0"/>
        <v>100</v>
      </c>
    </row>
    <row r="51" spans="1:15" x14ac:dyDescent="0.2">
      <c r="A51" s="117" t="s">
        <v>344</v>
      </c>
      <c r="B51" s="118">
        <v>10</v>
      </c>
      <c r="C51" s="377">
        <v>10</v>
      </c>
      <c r="D51" s="381">
        <v>5</v>
      </c>
      <c r="E51" s="118">
        <v>5</v>
      </c>
      <c r="F51" s="381">
        <v>5</v>
      </c>
      <c r="G51" s="118">
        <v>5</v>
      </c>
      <c r="H51" s="118">
        <v>10</v>
      </c>
      <c r="I51" s="26">
        <v>10</v>
      </c>
      <c r="J51" s="376">
        <v>15</v>
      </c>
      <c r="K51" s="379">
        <v>10</v>
      </c>
      <c r="L51" s="26">
        <v>10</v>
      </c>
      <c r="M51" s="26">
        <v>15</v>
      </c>
      <c r="N51" s="26">
        <v>10</v>
      </c>
      <c r="O51" s="26">
        <f t="shared" si="0"/>
        <v>120</v>
      </c>
    </row>
    <row r="52" spans="1:15" x14ac:dyDescent="0.2">
      <c r="A52" s="119" t="s">
        <v>345</v>
      </c>
      <c r="B52" s="118">
        <v>10</v>
      </c>
      <c r="C52" s="377">
        <v>10</v>
      </c>
      <c r="D52" s="381">
        <v>5</v>
      </c>
      <c r="E52" s="118">
        <v>5</v>
      </c>
      <c r="F52" s="381">
        <v>5</v>
      </c>
      <c r="G52" s="118">
        <v>5</v>
      </c>
      <c r="H52" s="118">
        <v>10</v>
      </c>
      <c r="I52" s="26">
        <v>10</v>
      </c>
      <c r="J52" s="376">
        <v>15</v>
      </c>
      <c r="K52" s="379">
        <v>10</v>
      </c>
      <c r="L52" s="26">
        <v>10</v>
      </c>
      <c r="M52" s="26">
        <v>10</v>
      </c>
      <c r="N52" s="26">
        <v>5</v>
      </c>
      <c r="O52" s="26">
        <f t="shared" si="0"/>
        <v>110</v>
      </c>
    </row>
    <row r="53" spans="1:15" x14ac:dyDescent="0.2">
      <c r="A53" s="119" t="s">
        <v>346</v>
      </c>
      <c r="B53" s="121">
        <v>5</v>
      </c>
      <c r="C53" s="122">
        <v>5</v>
      </c>
      <c r="D53" s="382">
        <v>5</v>
      </c>
      <c r="E53" s="122">
        <v>0</v>
      </c>
      <c r="F53" s="382">
        <v>0</v>
      </c>
      <c r="G53" s="122">
        <v>0</v>
      </c>
      <c r="H53" s="122">
        <v>5</v>
      </c>
      <c r="I53" s="122">
        <v>5</v>
      </c>
      <c r="J53" s="122">
        <v>10</v>
      </c>
      <c r="K53" s="382">
        <v>10</v>
      </c>
      <c r="L53" s="122">
        <v>5</v>
      </c>
      <c r="M53" s="122">
        <v>10</v>
      </c>
      <c r="N53" s="122">
        <v>0</v>
      </c>
      <c r="O53" s="26">
        <f t="shared" si="0"/>
        <v>60</v>
      </c>
    </row>
    <row r="54" spans="1:15" x14ac:dyDescent="0.2">
      <c r="A54" s="112" t="s">
        <v>347</v>
      </c>
      <c r="B54" s="26">
        <v>10</v>
      </c>
      <c r="C54" s="26">
        <v>5</v>
      </c>
      <c r="D54" s="379">
        <v>5</v>
      </c>
      <c r="E54" s="26">
        <v>5</v>
      </c>
      <c r="F54" s="379">
        <v>5</v>
      </c>
      <c r="G54" s="26">
        <v>10</v>
      </c>
      <c r="H54" s="26">
        <v>10</v>
      </c>
      <c r="I54" s="26">
        <v>10</v>
      </c>
      <c r="J54" s="26">
        <v>10</v>
      </c>
      <c r="K54" s="379">
        <v>10</v>
      </c>
      <c r="L54" s="26">
        <v>15</v>
      </c>
      <c r="M54" s="26">
        <v>15</v>
      </c>
      <c r="N54" s="26">
        <v>10</v>
      </c>
      <c r="O54" s="26">
        <f t="shared" si="0"/>
        <v>120</v>
      </c>
    </row>
    <row r="55" spans="1:15" x14ac:dyDescent="0.2">
      <c r="A55" s="112" t="s">
        <v>348</v>
      </c>
      <c r="B55" s="26">
        <v>10</v>
      </c>
      <c r="C55" s="26">
        <v>5</v>
      </c>
      <c r="D55" s="379">
        <v>5</v>
      </c>
      <c r="E55" s="26">
        <v>5</v>
      </c>
      <c r="F55" s="379">
        <v>5</v>
      </c>
      <c r="G55" s="26">
        <v>10</v>
      </c>
      <c r="H55" s="26">
        <v>10</v>
      </c>
      <c r="I55" s="26">
        <v>5</v>
      </c>
      <c r="J55" s="26">
        <v>10</v>
      </c>
      <c r="K55" s="379">
        <v>10</v>
      </c>
      <c r="L55" s="26">
        <v>10</v>
      </c>
      <c r="M55" s="26">
        <v>10</v>
      </c>
      <c r="N55" s="26">
        <v>5</v>
      </c>
      <c r="O55" s="26">
        <f t="shared" si="0"/>
        <v>100</v>
      </c>
    </row>
    <row r="56" spans="1:15" x14ac:dyDescent="0.2">
      <c r="A56" s="112" t="s">
        <v>349</v>
      </c>
      <c r="B56" s="26">
        <v>10</v>
      </c>
      <c r="C56" s="26">
        <v>5</v>
      </c>
      <c r="D56" s="379">
        <v>5</v>
      </c>
      <c r="E56" s="26">
        <v>5</v>
      </c>
      <c r="F56" s="379">
        <v>5</v>
      </c>
      <c r="G56" s="26">
        <v>10</v>
      </c>
      <c r="H56" s="26">
        <v>10</v>
      </c>
      <c r="I56" s="26">
        <v>5</v>
      </c>
      <c r="J56" s="26">
        <v>10</v>
      </c>
      <c r="K56" s="379">
        <v>10</v>
      </c>
      <c r="L56" s="26">
        <v>15</v>
      </c>
      <c r="M56" s="26">
        <v>15</v>
      </c>
      <c r="N56" s="26">
        <v>10</v>
      </c>
      <c r="O56" s="26">
        <f t="shared" si="0"/>
        <v>115</v>
      </c>
    </row>
    <row r="57" spans="1:15" x14ac:dyDescent="0.2">
      <c r="A57" s="112" t="s">
        <v>350</v>
      </c>
      <c r="B57" s="26">
        <v>10</v>
      </c>
      <c r="C57" s="26">
        <v>5</v>
      </c>
      <c r="D57" s="379">
        <v>5</v>
      </c>
      <c r="E57" s="26">
        <v>5</v>
      </c>
      <c r="F57" s="379">
        <v>5</v>
      </c>
      <c r="G57" s="26">
        <v>5</v>
      </c>
      <c r="H57" s="26">
        <v>10</v>
      </c>
      <c r="I57" s="26">
        <v>10</v>
      </c>
      <c r="J57" s="26">
        <v>10</v>
      </c>
      <c r="K57" s="379">
        <v>10</v>
      </c>
      <c r="L57" s="26">
        <v>15</v>
      </c>
      <c r="M57" s="26">
        <v>15</v>
      </c>
      <c r="N57" s="26">
        <v>10</v>
      </c>
      <c r="O57" s="26">
        <f t="shared" si="0"/>
        <v>115</v>
      </c>
    </row>
    <row r="58" spans="1:15" x14ac:dyDescent="0.2">
      <c r="A58" s="112" t="s">
        <v>351</v>
      </c>
      <c r="B58" s="26">
        <v>10</v>
      </c>
      <c r="C58" s="26">
        <v>5</v>
      </c>
      <c r="D58" s="379">
        <v>5</v>
      </c>
      <c r="E58" s="26">
        <v>5</v>
      </c>
      <c r="F58" s="379">
        <v>5</v>
      </c>
      <c r="G58" s="26">
        <v>10</v>
      </c>
      <c r="H58" s="26">
        <v>10</v>
      </c>
      <c r="I58" s="26">
        <v>10</v>
      </c>
      <c r="J58" s="26">
        <v>10</v>
      </c>
      <c r="K58" s="379">
        <v>10</v>
      </c>
      <c r="L58" s="26">
        <v>15</v>
      </c>
      <c r="M58" s="26">
        <v>15</v>
      </c>
      <c r="N58" s="26">
        <v>10</v>
      </c>
      <c r="O58" s="26">
        <f t="shared" si="0"/>
        <v>120</v>
      </c>
    </row>
    <row r="59" spans="1:15" x14ac:dyDescent="0.2">
      <c r="A59" s="112" t="s">
        <v>352</v>
      </c>
      <c r="B59" s="26">
        <v>10</v>
      </c>
      <c r="C59" s="26">
        <v>5</v>
      </c>
      <c r="D59" s="379">
        <v>5</v>
      </c>
      <c r="E59" s="26">
        <v>5</v>
      </c>
      <c r="F59" s="379">
        <v>5</v>
      </c>
      <c r="G59" s="26">
        <v>10</v>
      </c>
      <c r="H59" s="26">
        <v>10</v>
      </c>
      <c r="I59" s="26">
        <v>10</v>
      </c>
      <c r="J59" s="26">
        <v>10</v>
      </c>
      <c r="K59" s="379">
        <v>10</v>
      </c>
      <c r="L59" s="26">
        <v>15</v>
      </c>
      <c r="M59" s="26">
        <v>15</v>
      </c>
      <c r="N59" s="26">
        <v>10</v>
      </c>
      <c r="O59" s="26">
        <f t="shared" si="0"/>
        <v>120</v>
      </c>
    </row>
    <row r="60" spans="1:15" x14ac:dyDescent="0.2">
      <c r="A60" s="112" t="s">
        <v>353</v>
      </c>
      <c r="B60" s="26">
        <v>10</v>
      </c>
      <c r="C60" s="26">
        <v>5</v>
      </c>
      <c r="D60" s="379">
        <v>5</v>
      </c>
      <c r="E60" s="26">
        <v>5</v>
      </c>
      <c r="F60" s="379">
        <v>5</v>
      </c>
      <c r="G60" s="26">
        <v>10</v>
      </c>
      <c r="H60" s="26">
        <v>10</v>
      </c>
      <c r="I60" s="26">
        <v>0</v>
      </c>
      <c r="J60" s="26">
        <v>10</v>
      </c>
      <c r="K60" s="379">
        <v>10</v>
      </c>
      <c r="L60" s="26">
        <v>15</v>
      </c>
      <c r="M60" s="26">
        <v>15</v>
      </c>
      <c r="N60" s="26">
        <v>10</v>
      </c>
      <c r="O60" s="26">
        <f t="shared" si="0"/>
        <v>110</v>
      </c>
    </row>
    <row r="61" spans="1:15" x14ac:dyDescent="0.2">
      <c r="A61" s="112" t="s">
        <v>354</v>
      </c>
      <c r="B61" s="26">
        <v>10</v>
      </c>
      <c r="C61" s="26">
        <v>5</v>
      </c>
      <c r="D61" s="379">
        <v>5</v>
      </c>
      <c r="E61" s="26">
        <v>5</v>
      </c>
      <c r="F61" s="379">
        <v>5</v>
      </c>
      <c r="G61" s="26">
        <v>10</v>
      </c>
      <c r="H61" s="26">
        <v>10</v>
      </c>
      <c r="I61" s="26">
        <v>10</v>
      </c>
      <c r="J61" s="26">
        <v>10</v>
      </c>
      <c r="K61" s="379">
        <v>10</v>
      </c>
      <c r="L61" s="26">
        <v>15</v>
      </c>
      <c r="M61" s="26">
        <v>15</v>
      </c>
      <c r="N61" s="26">
        <v>10</v>
      </c>
      <c r="O61" s="26">
        <f t="shared" si="0"/>
        <v>120</v>
      </c>
    </row>
    <row r="62" spans="1:15" x14ac:dyDescent="0.2">
      <c r="A62" s="112" t="s">
        <v>355</v>
      </c>
      <c r="B62" s="26">
        <v>10</v>
      </c>
      <c r="C62" s="26">
        <v>5</v>
      </c>
      <c r="D62" s="379">
        <v>5</v>
      </c>
      <c r="E62" s="26">
        <v>5</v>
      </c>
      <c r="F62" s="379">
        <v>5</v>
      </c>
      <c r="G62" s="26">
        <v>10</v>
      </c>
      <c r="H62" s="26">
        <v>10</v>
      </c>
      <c r="I62" s="26">
        <v>10</v>
      </c>
      <c r="J62" s="26">
        <v>10</v>
      </c>
      <c r="K62" s="379">
        <v>10</v>
      </c>
      <c r="L62" s="26">
        <v>15</v>
      </c>
      <c r="M62" s="26">
        <v>15</v>
      </c>
      <c r="N62" s="26">
        <v>10</v>
      </c>
      <c r="O62" s="26">
        <f t="shared" si="0"/>
        <v>120</v>
      </c>
    </row>
    <row r="63" spans="1:15" x14ac:dyDescent="0.2">
      <c r="A63" s="112" t="s">
        <v>356</v>
      </c>
      <c r="B63" s="26">
        <v>10</v>
      </c>
      <c r="C63" s="26">
        <v>5</v>
      </c>
      <c r="D63" s="379">
        <v>5</v>
      </c>
      <c r="E63" s="26">
        <v>5</v>
      </c>
      <c r="F63" s="379">
        <v>5</v>
      </c>
      <c r="G63" s="26">
        <v>10</v>
      </c>
      <c r="H63" s="26">
        <v>10</v>
      </c>
      <c r="I63" s="26">
        <v>5</v>
      </c>
      <c r="J63" s="26">
        <v>10</v>
      </c>
      <c r="K63" s="379">
        <v>10</v>
      </c>
      <c r="L63" s="26">
        <v>15</v>
      </c>
      <c r="M63" s="26">
        <v>15</v>
      </c>
      <c r="N63" s="26">
        <v>10</v>
      </c>
      <c r="O63" s="26">
        <f t="shared" si="0"/>
        <v>115</v>
      </c>
    </row>
    <row r="64" spans="1:15" x14ac:dyDescent="0.2">
      <c r="A64" s="112" t="s">
        <v>357</v>
      </c>
      <c r="B64" s="26">
        <v>10</v>
      </c>
      <c r="C64" s="26">
        <v>5</v>
      </c>
      <c r="D64" s="379">
        <v>5</v>
      </c>
      <c r="E64" s="26">
        <v>5</v>
      </c>
      <c r="F64" s="379">
        <v>5</v>
      </c>
      <c r="G64" s="26">
        <v>10</v>
      </c>
      <c r="H64" s="26">
        <v>10</v>
      </c>
      <c r="I64" s="26">
        <v>10</v>
      </c>
      <c r="J64" s="26">
        <v>10</v>
      </c>
      <c r="K64" s="379">
        <v>10</v>
      </c>
      <c r="L64" s="26">
        <v>15</v>
      </c>
      <c r="M64" s="26">
        <v>15</v>
      </c>
      <c r="N64" s="26">
        <v>10</v>
      </c>
      <c r="O64" s="26">
        <f t="shared" si="0"/>
        <v>120</v>
      </c>
    </row>
    <row r="65" spans="1:15" x14ac:dyDescent="0.2">
      <c r="A65" s="112" t="s">
        <v>358</v>
      </c>
      <c r="B65" s="26">
        <v>10</v>
      </c>
      <c r="C65" s="26">
        <v>5</v>
      </c>
      <c r="D65" s="379">
        <v>5</v>
      </c>
      <c r="E65" s="26">
        <v>5</v>
      </c>
      <c r="F65" s="379">
        <v>5</v>
      </c>
      <c r="G65" s="26">
        <v>10</v>
      </c>
      <c r="H65" s="26">
        <v>10</v>
      </c>
      <c r="I65" s="26">
        <v>10</v>
      </c>
      <c r="J65" s="26">
        <v>10</v>
      </c>
      <c r="K65" s="379">
        <v>10</v>
      </c>
      <c r="L65" s="26">
        <v>15</v>
      </c>
      <c r="M65" s="26">
        <v>15</v>
      </c>
      <c r="N65" s="26">
        <v>10</v>
      </c>
      <c r="O65" s="26">
        <f t="shared" si="0"/>
        <v>120</v>
      </c>
    </row>
    <row r="66" spans="1:15" x14ac:dyDescent="0.2">
      <c r="A66" s="112" t="s">
        <v>359</v>
      </c>
      <c r="B66" s="26">
        <v>10</v>
      </c>
      <c r="C66" s="26">
        <v>5</v>
      </c>
      <c r="D66" s="379">
        <v>5</v>
      </c>
      <c r="E66" s="26">
        <v>5</v>
      </c>
      <c r="F66" s="379">
        <v>5</v>
      </c>
      <c r="G66" s="26">
        <v>10</v>
      </c>
      <c r="H66" s="26">
        <v>10</v>
      </c>
      <c r="I66" s="26">
        <v>10</v>
      </c>
      <c r="J66" s="26">
        <v>10</v>
      </c>
      <c r="K66" s="379">
        <v>10</v>
      </c>
      <c r="L66" s="26">
        <v>15</v>
      </c>
      <c r="M66" s="26">
        <v>15</v>
      </c>
      <c r="N66" s="26">
        <v>10</v>
      </c>
      <c r="O66" s="26">
        <f t="shared" si="0"/>
        <v>120</v>
      </c>
    </row>
    <row r="67" spans="1:15" x14ac:dyDescent="0.2">
      <c r="A67" s="112" t="s">
        <v>360</v>
      </c>
      <c r="B67" s="26">
        <v>10</v>
      </c>
      <c r="C67" s="26">
        <v>5</v>
      </c>
      <c r="D67" s="379">
        <v>5</v>
      </c>
      <c r="E67" s="26">
        <v>5</v>
      </c>
      <c r="F67" s="379">
        <v>5</v>
      </c>
      <c r="G67" s="26">
        <v>5</v>
      </c>
      <c r="H67" s="26">
        <v>10</v>
      </c>
      <c r="I67" s="26">
        <v>10</v>
      </c>
      <c r="J67" s="26">
        <v>10</v>
      </c>
      <c r="K67" s="379">
        <v>10</v>
      </c>
      <c r="L67" s="26">
        <v>15</v>
      </c>
      <c r="M67" s="26">
        <v>15</v>
      </c>
      <c r="N67" s="26">
        <v>10</v>
      </c>
      <c r="O67" s="26">
        <f t="shared" si="0"/>
        <v>115</v>
      </c>
    </row>
    <row r="68" spans="1:15" x14ac:dyDescent="0.2">
      <c r="A68" s="112" t="s">
        <v>361</v>
      </c>
      <c r="B68" s="26">
        <v>10</v>
      </c>
      <c r="C68" s="26">
        <v>5</v>
      </c>
      <c r="D68" s="379">
        <v>5</v>
      </c>
      <c r="E68" s="26">
        <v>5</v>
      </c>
      <c r="F68" s="379">
        <v>5</v>
      </c>
      <c r="G68" s="26">
        <v>10</v>
      </c>
      <c r="H68" s="26">
        <v>10</v>
      </c>
      <c r="I68" s="26">
        <v>10</v>
      </c>
      <c r="J68" s="26">
        <v>10</v>
      </c>
      <c r="K68" s="379">
        <v>10</v>
      </c>
      <c r="L68" s="26">
        <v>15</v>
      </c>
      <c r="M68" s="26">
        <v>15</v>
      </c>
      <c r="N68" s="26">
        <v>5</v>
      </c>
      <c r="O68" s="26">
        <f t="shared" ref="O68:O131" si="1">SUM(B68:N68)</f>
        <v>115</v>
      </c>
    </row>
    <row r="69" spans="1:15" x14ac:dyDescent="0.2">
      <c r="A69" s="112" t="s">
        <v>362</v>
      </c>
      <c r="B69" s="26">
        <v>10</v>
      </c>
      <c r="C69" s="26">
        <v>5</v>
      </c>
      <c r="D69" s="379">
        <v>5</v>
      </c>
      <c r="E69" s="26">
        <v>5</v>
      </c>
      <c r="F69" s="379">
        <v>5</v>
      </c>
      <c r="G69" s="26">
        <v>10</v>
      </c>
      <c r="H69" s="26">
        <v>10</v>
      </c>
      <c r="I69" s="26">
        <v>10</v>
      </c>
      <c r="J69" s="26">
        <v>10</v>
      </c>
      <c r="K69" s="379">
        <v>10</v>
      </c>
      <c r="L69" s="26">
        <v>15</v>
      </c>
      <c r="M69" s="26">
        <v>15</v>
      </c>
      <c r="N69" s="26">
        <v>10</v>
      </c>
      <c r="O69" s="26">
        <f t="shared" si="1"/>
        <v>120</v>
      </c>
    </row>
    <row r="70" spans="1:15" x14ac:dyDescent="0.2">
      <c r="A70" s="112" t="s">
        <v>363</v>
      </c>
      <c r="B70" s="26">
        <v>10</v>
      </c>
      <c r="C70" s="26">
        <v>5</v>
      </c>
      <c r="D70" s="379">
        <v>5</v>
      </c>
      <c r="E70" s="26">
        <v>5</v>
      </c>
      <c r="F70" s="379">
        <v>5</v>
      </c>
      <c r="G70" s="26">
        <v>10</v>
      </c>
      <c r="H70" s="26">
        <v>10</v>
      </c>
      <c r="I70" s="26">
        <v>10</v>
      </c>
      <c r="J70" s="26">
        <v>10</v>
      </c>
      <c r="K70" s="379">
        <v>10</v>
      </c>
      <c r="L70" s="26">
        <v>15</v>
      </c>
      <c r="M70" s="26">
        <v>15</v>
      </c>
      <c r="N70" s="26">
        <v>10</v>
      </c>
      <c r="O70" s="26">
        <f t="shared" si="1"/>
        <v>120</v>
      </c>
    </row>
    <row r="71" spans="1:15" x14ac:dyDescent="0.2">
      <c r="A71" s="112" t="s">
        <v>364</v>
      </c>
      <c r="B71" s="26">
        <v>5</v>
      </c>
      <c r="C71" s="26">
        <v>5</v>
      </c>
      <c r="D71" s="379">
        <v>5</v>
      </c>
      <c r="E71" s="26">
        <v>5</v>
      </c>
      <c r="F71" s="379">
        <v>5</v>
      </c>
      <c r="G71" s="26">
        <v>5</v>
      </c>
      <c r="H71" s="26">
        <v>10</v>
      </c>
      <c r="I71" s="26">
        <v>10</v>
      </c>
      <c r="J71" s="26">
        <v>10</v>
      </c>
      <c r="K71" s="379">
        <v>10</v>
      </c>
      <c r="L71" s="26">
        <v>10</v>
      </c>
      <c r="M71" s="26">
        <v>15</v>
      </c>
      <c r="N71" s="26">
        <v>10</v>
      </c>
      <c r="O71" s="26">
        <f t="shared" si="1"/>
        <v>105</v>
      </c>
    </row>
    <row r="72" spans="1:15" x14ac:dyDescent="0.2">
      <c r="A72" s="112" t="s">
        <v>365</v>
      </c>
      <c r="B72" s="26">
        <v>10</v>
      </c>
      <c r="C72" s="26">
        <v>5</v>
      </c>
      <c r="D72" s="379">
        <v>5</v>
      </c>
      <c r="E72" s="26">
        <v>5</v>
      </c>
      <c r="F72" s="379">
        <v>5</v>
      </c>
      <c r="G72" s="26">
        <v>10</v>
      </c>
      <c r="H72" s="26">
        <v>10</v>
      </c>
      <c r="I72" s="26">
        <v>10</v>
      </c>
      <c r="J72" s="26">
        <v>10</v>
      </c>
      <c r="K72" s="379">
        <v>10</v>
      </c>
      <c r="L72" s="26">
        <v>15</v>
      </c>
      <c r="M72" s="26">
        <v>10</v>
      </c>
      <c r="N72" s="26">
        <v>5</v>
      </c>
      <c r="O72" s="26">
        <f t="shared" si="1"/>
        <v>110</v>
      </c>
    </row>
    <row r="73" spans="1:15" x14ac:dyDescent="0.2">
      <c r="A73" s="112" t="s">
        <v>366</v>
      </c>
      <c r="B73" s="26">
        <v>10</v>
      </c>
      <c r="C73" s="26">
        <v>5</v>
      </c>
      <c r="D73" s="379">
        <v>5</v>
      </c>
      <c r="E73" s="26">
        <v>5</v>
      </c>
      <c r="F73" s="379">
        <v>5</v>
      </c>
      <c r="G73" s="26">
        <v>10</v>
      </c>
      <c r="H73" s="26">
        <v>10</v>
      </c>
      <c r="I73" s="26">
        <v>10</v>
      </c>
      <c r="J73" s="26">
        <v>10</v>
      </c>
      <c r="K73" s="379">
        <v>10</v>
      </c>
      <c r="L73" s="26">
        <v>15</v>
      </c>
      <c r="M73" s="26">
        <v>15</v>
      </c>
      <c r="N73" s="26">
        <v>10</v>
      </c>
      <c r="O73" s="26">
        <f t="shared" si="1"/>
        <v>120</v>
      </c>
    </row>
    <row r="74" spans="1:15" x14ac:dyDescent="0.2">
      <c r="A74" s="112" t="s">
        <v>368</v>
      </c>
      <c r="B74" s="26">
        <v>10</v>
      </c>
      <c r="C74" s="26">
        <v>5</v>
      </c>
      <c r="D74" s="379">
        <v>5</v>
      </c>
      <c r="E74" s="26">
        <v>5</v>
      </c>
      <c r="F74" s="379">
        <v>5</v>
      </c>
      <c r="G74" s="26">
        <v>10</v>
      </c>
      <c r="H74" s="26">
        <v>10</v>
      </c>
      <c r="I74" s="26">
        <v>10</v>
      </c>
      <c r="J74" s="26">
        <v>10</v>
      </c>
      <c r="K74" s="379">
        <v>10</v>
      </c>
      <c r="L74" s="26">
        <v>15</v>
      </c>
      <c r="M74" s="26">
        <v>15</v>
      </c>
      <c r="N74" s="26">
        <v>10</v>
      </c>
      <c r="O74" s="26">
        <f t="shared" si="1"/>
        <v>120</v>
      </c>
    </row>
    <row r="75" spans="1:15" x14ac:dyDescent="0.2">
      <c r="A75" s="112" t="s">
        <v>369</v>
      </c>
      <c r="B75" s="26">
        <v>10</v>
      </c>
      <c r="C75" s="26">
        <v>5</v>
      </c>
      <c r="D75" s="379">
        <v>5</v>
      </c>
      <c r="E75" s="26">
        <v>5</v>
      </c>
      <c r="F75" s="379">
        <v>5</v>
      </c>
      <c r="G75" s="26">
        <v>10</v>
      </c>
      <c r="H75" s="26">
        <v>10</v>
      </c>
      <c r="I75" s="26">
        <v>10</v>
      </c>
      <c r="J75" s="26">
        <v>10</v>
      </c>
      <c r="K75" s="379">
        <v>10</v>
      </c>
      <c r="L75" s="26">
        <v>15</v>
      </c>
      <c r="M75" s="26">
        <v>15</v>
      </c>
      <c r="N75" s="26">
        <v>10</v>
      </c>
      <c r="O75" s="26">
        <f t="shared" si="1"/>
        <v>120</v>
      </c>
    </row>
    <row r="76" spans="1:15" x14ac:dyDescent="0.2">
      <c r="A76" s="112" t="s">
        <v>370</v>
      </c>
      <c r="B76" s="26">
        <v>10</v>
      </c>
      <c r="C76" s="26">
        <v>5</v>
      </c>
      <c r="D76" s="379">
        <v>5</v>
      </c>
      <c r="E76" s="26">
        <v>5</v>
      </c>
      <c r="F76" s="379">
        <v>5</v>
      </c>
      <c r="G76" s="26">
        <v>10</v>
      </c>
      <c r="H76" s="26">
        <v>10</v>
      </c>
      <c r="I76" s="26">
        <v>10</v>
      </c>
      <c r="J76" s="26">
        <v>10</v>
      </c>
      <c r="K76" s="379">
        <v>10</v>
      </c>
      <c r="L76" s="26">
        <v>15</v>
      </c>
      <c r="M76" s="26">
        <v>15</v>
      </c>
      <c r="N76" s="26">
        <v>10</v>
      </c>
      <c r="O76" s="26">
        <f t="shared" si="1"/>
        <v>120</v>
      </c>
    </row>
    <row r="77" spans="1:15" x14ac:dyDescent="0.2">
      <c r="A77" s="112" t="s">
        <v>371</v>
      </c>
      <c r="B77" s="26">
        <v>10</v>
      </c>
      <c r="C77" s="26">
        <v>5</v>
      </c>
      <c r="D77" s="379">
        <v>5</v>
      </c>
      <c r="E77" s="26">
        <v>5</v>
      </c>
      <c r="F77" s="379">
        <v>5</v>
      </c>
      <c r="G77" s="26">
        <v>5</v>
      </c>
      <c r="H77" s="26">
        <v>10</v>
      </c>
      <c r="I77" s="26">
        <v>10</v>
      </c>
      <c r="J77" s="26">
        <v>10</v>
      </c>
      <c r="K77" s="379">
        <v>10</v>
      </c>
      <c r="L77" s="26">
        <v>10</v>
      </c>
      <c r="M77" s="26">
        <v>15</v>
      </c>
      <c r="N77" s="26">
        <v>10</v>
      </c>
      <c r="O77" s="26">
        <f t="shared" si="1"/>
        <v>110</v>
      </c>
    </row>
    <row r="78" spans="1:15" x14ac:dyDescent="0.2">
      <c r="A78" s="112" t="s">
        <v>372</v>
      </c>
      <c r="B78" s="26">
        <v>10</v>
      </c>
      <c r="C78" s="26">
        <v>5</v>
      </c>
      <c r="D78" s="379">
        <v>5</v>
      </c>
      <c r="E78" s="26">
        <v>5</v>
      </c>
      <c r="F78" s="379">
        <v>5</v>
      </c>
      <c r="G78" s="26">
        <v>10</v>
      </c>
      <c r="H78" s="26">
        <v>10</v>
      </c>
      <c r="I78" s="26">
        <v>5</v>
      </c>
      <c r="J78" s="26">
        <v>10</v>
      </c>
      <c r="K78" s="379">
        <v>10</v>
      </c>
      <c r="L78" s="26">
        <v>15</v>
      </c>
      <c r="M78" s="26">
        <v>15</v>
      </c>
      <c r="N78" s="26">
        <v>10</v>
      </c>
      <c r="O78" s="26">
        <f t="shared" si="1"/>
        <v>115</v>
      </c>
    </row>
    <row r="79" spans="1:15" x14ac:dyDescent="0.2">
      <c r="A79" s="112" t="s">
        <v>373</v>
      </c>
      <c r="B79" s="26">
        <v>10</v>
      </c>
      <c r="C79" s="26">
        <v>5</v>
      </c>
      <c r="D79" s="379">
        <v>5</v>
      </c>
      <c r="E79" s="26">
        <v>5</v>
      </c>
      <c r="F79" s="379">
        <v>5</v>
      </c>
      <c r="G79" s="26">
        <v>10</v>
      </c>
      <c r="H79" s="26">
        <v>10</v>
      </c>
      <c r="I79" s="26">
        <v>10</v>
      </c>
      <c r="J79" s="26">
        <v>10</v>
      </c>
      <c r="K79" s="379">
        <v>10</v>
      </c>
      <c r="L79" s="26">
        <v>15</v>
      </c>
      <c r="M79" s="26">
        <v>15</v>
      </c>
      <c r="N79" s="26">
        <v>10</v>
      </c>
      <c r="O79" s="26">
        <f t="shared" si="1"/>
        <v>120</v>
      </c>
    </row>
    <row r="80" spans="1:15" x14ac:dyDescent="0.2">
      <c r="A80" s="112" t="s">
        <v>374</v>
      </c>
      <c r="B80" s="26">
        <v>10</v>
      </c>
      <c r="C80" s="26">
        <v>5</v>
      </c>
      <c r="D80" s="379">
        <v>5</v>
      </c>
      <c r="E80" s="26">
        <v>5</v>
      </c>
      <c r="F80" s="379">
        <v>5</v>
      </c>
      <c r="G80" s="26">
        <v>10</v>
      </c>
      <c r="H80" s="26">
        <v>10</v>
      </c>
      <c r="I80" s="26">
        <v>10</v>
      </c>
      <c r="J80" s="26">
        <v>10</v>
      </c>
      <c r="K80" s="379">
        <v>10</v>
      </c>
      <c r="L80" s="26">
        <v>15</v>
      </c>
      <c r="M80" s="26">
        <v>15</v>
      </c>
      <c r="N80" s="26">
        <v>10</v>
      </c>
      <c r="O80" s="26">
        <f t="shared" si="1"/>
        <v>120</v>
      </c>
    </row>
    <row r="81" spans="1:15" x14ac:dyDescent="0.2">
      <c r="A81" s="112" t="s">
        <v>375</v>
      </c>
      <c r="B81" s="112">
        <v>10</v>
      </c>
      <c r="C81" s="112">
        <v>5</v>
      </c>
      <c r="D81" s="383">
        <v>5</v>
      </c>
      <c r="E81" s="112">
        <v>5</v>
      </c>
      <c r="F81" s="383">
        <v>5</v>
      </c>
      <c r="G81" s="112">
        <v>10</v>
      </c>
      <c r="H81" s="112">
        <v>10</v>
      </c>
      <c r="I81" s="112">
        <v>5</v>
      </c>
      <c r="J81" s="112">
        <v>10</v>
      </c>
      <c r="K81" s="383">
        <v>10</v>
      </c>
      <c r="L81" s="112">
        <v>10</v>
      </c>
      <c r="M81" s="112">
        <v>15</v>
      </c>
      <c r="N81" s="112">
        <v>10</v>
      </c>
      <c r="O81" s="26">
        <f t="shared" si="1"/>
        <v>110</v>
      </c>
    </row>
    <row r="82" spans="1:15" x14ac:dyDescent="0.2">
      <c r="A82" s="112" t="s">
        <v>376</v>
      </c>
      <c r="B82" s="26">
        <v>10</v>
      </c>
      <c r="C82" s="26">
        <v>5</v>
      </c>
      <c r="D82" s="379">
        <v>5</v>
      </c>
      <c r="E82" s="26">
        <v>5</v>
      </c>
      <c r="F82" s="379">
        <v>5</v>
      </c>
      <c r="G82" s="26">
        <v>10</v>
      </c>
      <c r="H82" s="26">
        <v>10</v>
      </c>
      <c r="I82" s="26">
        <v>10</v>
      </c>
      <c r="J82" s="26">
        <v>10</v>
      </c>
      <c r="K82" s="379">
        <v>10</v>
      </c>
      <c r="L82" s="26">
        <v>15</v>
      </c>
      <c r="M82" s="26">
        <v>15</v>
      </c>
      <c r="N82" s="26">
        <v>10</v>
      </c>
      <c r="O82" s="26">
        <f t="shared" si="1"/>
        <v>120</v>
      </c>
    </row>
    <row r="83" spans="1:15" x14ac:dyDescent="0.2">
      <c r="A83" s="112" t="s">
        <v>377</v>
      </c>
      <c r="B83" s="26">
        <v>10</v>
      </c>
      <c r="C83" s="26">
        <v>5</v>
      </c>
      <c r="D83" s="379">
        <v>5</v>
      </c>
      <c r="E83" s="26">
        <v>5</v>
      </c>
      <c r="F83" s="379">
        <v>5</v>
      </c>
      <c r="G83" s="26">
        <v>10</v>
      </c>
      <c r="H83" s="26">
        <v>10</v>
      </c>
      <c r="I83" s="26">
        <v>10</v>
      </c>
      <c r="J83" s="26">
        <v>10</v>
      </c>
      <c r="K83" s="379">
        <v>10</v>
      </c>
      <c r="L83" s="26">
        <v>15</v>
      </c>
      <c r="M83" s="26">
        <v>15</v>
      </c>
      <c r="N83" s="26">
        <v>10</v>
      </c>
      <c r="O83" s="26">
        <f t="shared" si="1"/>
        <v>120</v>
      </c>
    </row>
    <row r="84" spans="1:15" x14ac:dyDescent="0.2">
      <c r="A84" s="112" t="s">
        <v>378</v>
      </c>
      <c r="B84" s="26">
        <v>10</v>
      </c>
      <c r="C84" s="26">
        <v>5</v>
      </c>
      <c r="D84" s="379">
        <v>5</v>
      </c>
      <c r="E84" s="26">
        <v>5</v>
      </c>
      <c r="F84" s="379">
        <v>5</v>
      </c>
      <c r="G84" s="26">
        <v>5</v>
      </c>
      <c r="H84" s="26">
        <v>10</v>
      </c>
      <c r="I84" s="26">
        <v>5</v>
      </c>
      <c r="J84" s="26">
        <v>5</v>
      </c>
      <c r="K84" s="379">
        <v>5</v>
      </c>
      <c r="L84" s="26">
        <v>0</v>
      </c>
      <c r="M84" s="26">
        <v>0</v>
      </c>
      <c r="N84" s="26">
        <v>0</v>
      </c>
      <c r="O84" s="26">
        <f t="shared" si="1"/>
        <v>60</v>
      </c>
    </row>
    <row r="85" spans="1:15" x14ac:dyDescent="0.2">
      <c r="A85" s="112" t="s">
        <v>379</v>
      </c>
      <c r="B85" s="112">
        <v>10</v>
      </c>
      <c r="C85" s="112">
        <v>5</v>
      </c>
      <c r="D85" s="383">
        <v>5</v>
      </c>
      <c r="E85" s="112">
        <v>5</v>
      </c>
      <c r="F85" s="383">
        <v>5</v>
      </c>
      <c r="G85" s="112">
        <v>10</v>
      </c>
      <c r="H85" s="112">
        <v>10</v>
      </c>
      <c r="I85" s="112">
        <v>5</v>
      </c>
      <c r="J85" s="112">
        <v>10</v>
      </c>
      <c r="K85" s="383">
        <v>10</v>
      </c>
      <c r="L85" s="112">
        <v>15</v>
      </c>
      <c r="M85" s="112">
        <v>10</v>
      </c>
      <c r="N85" s="112">
        <v>10</v>
      </c>
      <c r="O85" s="26">
        <f t="shared" si="1"/>
        <v>110</v>
      </c>
    </row>
    <row r="86" spans="1:15" x14ac:dyDescent="0.2">
      <c r="A86" s="112" t="s">
        <v>380</v>
      </c>
      <c r="B86" s="26">
        <v>10</v>
      </c>
      <c r="C86" s="26">
        <v>5</v>
      </c>
      <c r="D86" s="379">
        <v>5</v>
      </c>
      <c r="E86" s="26">
        <v>5</v>
      </c>
      <c r="F86" s="379">
        <v>5</v>
      </c>
      <c r="G86" s="26">
        <v>10</v>
      </c>
      <c r="H86" s="26">
        <v>10</v>
      </c>
      <c r="I86" s="26">
        <v>10</v>
      </c>
      <c r="J86" s="26">
        <v>10</v>
      </c>
      <c r="K86" s="379">
        <v>10</v>
      </c>
      <c r="L86" s="26">
        <v>15</v>
      </c>
      <c r="M86" s="26">
        <v>15</v>
      </c>
      <c r="N86" s="26">
        <v>10</v>
      </c>
      <c r="O86" s="26">
        <f t="shared" si="1"/>
        <v>120</v>
      </c>
    </row>
    <row r="87" spans="1:15" x14ac:dyDescent="0.2">
      <c r="A87" s="112" t="s">
        <v>381</v>
      </c>
      <c r="B87" s="26">
        <v>10</v>
      </c>
      <c r="C87" s="26">
        <v>0</v>
      </c>
      <c r="D87" s="379">
        <v>0</v>
      </c>
      <c r="E87" s="26">
        <v>0</v>
      </c>
      <c r="F87" s="379">
        <v>0</v>
      </c>
      <c r="G87" s="26">
        <v>5</v>
      </c>
      <c r="H87" s="26">
        <v>5</v>
      </c>
      <c r="I87" s="26">
        <v>5</v>
      </c>
      <c r="J87" s="26">
        <v>5</v>
      </c>
      <c r="K87" s="379">
        <v>5</v>
      </c>
      <c r="L87" s="26">
        <v>5</v>
      </c>
      <c r="M87" s="26">
        <v>5</v>
      </c>
      <c r="N87" s="26">
        <v>0</v>
      </c>
      <c r="O87" s="26">
        <f t="shared" si="1"/>
        <v>45</v>
      </c>
    </row>
    <row r="88" spans="1:15" x14ac:dyDescent="0.2">
      <c r="A88" s="112" t="s">
        <v>382</v>
      </c>
      <c r="B88" s="26">
        <v>10</v>
      </c>
      <c r="C88" s="26">
        <v>5</v>
      </c>
      <c r="D88" s="379">
        <v>5</v>
      </c>
      <c r="E88" s="26">
        <v>5</v>
      </c>
      <c r="F88" s="379">
        <v>5</v>
      </c>
      <c r="G88" s="26">
        <v>10</v>
      </c>
      <c r="H88" s="26">
        <v>10</v>
      </c>
      <c r="I88" s="123">
        <v>5</v>
      </c>
      <c r="J88" s="26">
        <v>5</v>
      </c>
      <c r="K88" s="379">
        <v>5</v>
      </c>
      <c r="L88" s="26">
        <v>15</v>
      </c>
      <c r="M88" s="26">
        <v>10</v>
      </c>
      <c r="N88" s="26">
        <v>5</v>
      </c>
      <c r="O88" s="26">
        <f t="shared" si="1"/>
        <v>95</v>
      </c>
    </row>
    <row r="89" spans="1:15" x14ac:dyDescent="0.2">
      <c r="A89" s="112" t="s">
        <v>383</v>
      </c>
      <c r="B89" s="26">
        <v>10</v>
      </c>
      <c r="C89" s="26">
        <v>5</v>
      </c>
      <c r="D89" s="379">
        <v>5</v>
      </c>
      <c r="E89" s="26">
        <v>5</v>
      </c>
      <c r="F89" s="379">
        <v>5</v>
      </c>
      <c r="G89" s="26">
        <v>10</v>
      </c>
      <c r="H89" s="26">
        <v>10</v>
      </c>
      <c r="I89" s="26">
        <v>10</v>
      </c>
      <c r="J89" s="26">
        <v>10</v>
      </c>
      <c r="K89" s="379">
        <v>10</v>
      </c>
      <c r="L89" s="26">
        <v>15</v>
      </c>
      <c r="M89" s="26">
        <v>15</v>
      </c>
      <c r="N89" s="26">
        <v>10</v>
      </c>
      <c r="O89" s="26">
        <f t="shared" si="1"/>
        <v>120</v>
      </c>
    </row>
    <row r="90" spans="1:15" x14ac:dyDescent="0.2">
      <c r="A90" s="112" t="s">
        <v>384</v>
      </c>
      <c r="B90" s="26">
        <v>10</v>
      </c>
      <c r="C90" s="26">
        <v>5</v>
      </c>
      <c r="D90" s="379">
        <v>5</v>
      </c>
      <c r="E90" s="26">
        <v>5</v>
      </c>
      <c r="F90" s="379">
        <v>5</v>
      </c>
      <c r="G90" s="26">
        <v>10</v>
      </c>
      <c r="H90" s="26">
        <v>10</v>
      </c>
      <c r="I90" s="26">
        <v>10</v>
      </c>
      <c r="J90" s="26">
        <v>10</v>
      </c>
      <c r="K90" s="379">
        <v>10</v>
      </c>
      <c r="L90" s="26">
        <v>15</v>
      </c>
      <c r="M90" s="26">
        <v>15</v>
      </c>
      <c r="N90" s="26">
        <v>10</v>
      </c>
      <c r="O90" s="26">
        <f t="shared" si="1"/>
        <v>120</v>
      </c>
    </row>
    <row r="91" spans="1:15" x14ac:dyDescent="0.2">
      <c r="A91" s="112" t="s">
        <v>385</v>
      </c>
      <c r="B91" s="26">
        <v>10</v>
      </c>
      <c r="C91" s="26">
        <v>5</v>
      </c>
      <c r="D91" s="379">
        <v>5</v>
      </c>
      <c r="E91" s="26">
        <v>5</v>
      </c>
      <c r="F91" s="379">
        <v>5</v>
      </c>
      <c r="G91" s="26">
        <v>10</v>
      </c>
      <c r="H91" s="26">
        <v>10</v>
      </c>
      <c r="I91" s="26">
        <v>10</v>
      </c>
      <c r="J91" s="26">
        <v>10</v>
      </c>
      <c r="K91" s="379">
        <v>10</v>
      </c>
      <c r="L91" s="26">
        <v>15</v>
      </c>
      <c r="M91" s="26">
        <v>15</v>
      </c>
      <c r="N91" s="26">
        <v>10</v>
      </c>
      <c r="O91" s="26">
        <f t="shared" si="1"/>
        <v>120</v>
      </c>
    </row>
    <row r="92" spans="1:15" x14ac:dyDescent="0.2">
      <c r="A92" s="112" t="s">
        <v>386</v>
      </c>
      <c r="B92" s="26">
        <v>10</v>
      </c>
      <c r="C92" s="26">
        <v>5</v>
      </c>
      <c r="D92" s="379">
        <v>5</v>
      </c>
      <c r="E92" s="26">
        <v>5</v>
      </c>
      <c r="F92" s="379">
        <v>5</v>
      </c>
      <c r="G92" s="26">
        <v>10</v>
      </c>
      <c r="H92" s="26">
        <v>10</v>
      </c>
      <c r="I92" s="26">
        <v>10</v>
      </c>
      <c r="J92" s="26">
        <v>10</v>
      </c>
      <c r="K92" s="379">
        <v>10</v>
      </c>
      <c r="L92" s="26">
        <v>15</v>
      </c>
      <c r="M92" s="26">
        <v>15</v>
      </c>
      <c r="N92" s="26">
        <v>10</v>
      </c>
      <c r="O92" s="26">
        <f t="shared" si="1"/>
        <v>120</v>
      </c>
    </row>
    <row r="93" spans="1:15" x14ac:dyDescent="0.2">
      <c r="A93" s="112" t="s">
        <v>387</v>
      </c>
      <c r="B93" s="112">
        <v>10</v>
      </c>
      <c r="C93" s="26">
        <v>5</v>
      </c>
      <c r="D93" s="379">
        <v>5</v>
      </c>
      <c r="E93" s="26">
        <v>5</v>
      </c>
      <c r="F93" s="379">
        <v>5</v>
      </c>
      <c r="G93" s="26">
        <v>10</v>
      </c>
      <c r="H93" s="26">
        <v>10</v>
      </c>
      <c r="I93" s="26">
        <v>0</v>
      </c>
      <c r="J93" s="26">
        <v>10</v>
      </c>
      <c r="K93" s="379">
        <v>10</v>
      </c>
      <c r="L93" s="26">
        <v>15</v>
      </c>
      <c r="M93" s="26">
        <v>15</v>
      </c>
      <c r="N93" s="26">
        <v>5</v>
      </c>
      <c r="O93" s="26">
        <f t="shared" si="1"/>
        <v>105</v>
      </c>
    </row>
    <row r="94" spans="1:15" x14ac:dyDescent="0.2">
      <c r="A94" s="112" t="s">
        <v>388</v>
      </c>
      <c r="B94" s="26">
        <v>10</v>
      </c>
      <c r="C94" s="26">
        <v>0</v>
      </c>
      <c r="D94" s="379">
        <v>0</v>
      </c>
      <c r="E94" s="26">
        <v>5</v>
      </c>
      <c r="F94" s="379">
        <v>5</v>
      </c>
      <c r="G94" s="26">
        <v>10</v>
      </c>
      <c r="H94" s="26">
        <v>10</v>
      </c>
      <c r="I94" s="123">
        <v>5</v>
      </c>
      <c r="J94" s="26">
        <v>10</v>
      </c>
      <c r="K94" s="379">
        <v>10</v>
      </c>
      <c r="L94" s="26">
        <v>15</v>
      </c>
      <c r="M94" s="26">
        <v>15</v>
      </c>
      <c r="N94" s="26">
        <v>5</v>
      </c>
      <c r="O94" s="26">
        <f t="shared" si="1"/>
        <v>100</v>
      </c>
    </row>
    <row r="95" spans="1:15" x14ac:dyDescent="0.2">
      <c r="A95" s="112" t="s">
        <v>389</v>
      </c>
      <c r="B95" s="26">
        <v>10</v>
      </c>
      <c r="C95" s="26">
        <v>0</v>
      </c>
      <c r="D95" s="379">
        <v>0</v>
      </c>
      <c r="E95" s="26">
        <v>0</v>
      </c>
      <c r="F95" s="379">
        <v>0</v>
      </c>
      <c r="G95" s="26">
        <v>5</v>
      </c>
      <c r="H95" s="26">
        <v>10</v>
      </c>
      <c r="I95" s="123">
        <v>5</v>
      </c>
      <c r="J95" s="26">
        <v>5</v>
      </c>
      <c r="K95" s="379">
        <v>5</v>
      </c>
      <c r="L95" s="26">
        <v>10</v>
      </c>
      <c r="M95" s="26">
        <v>15</v>
      </c>
      <c r="N95" s="26">
        <v>5</v>
      </c>
      <c r="O95" s="26">
        <f t="shared" si="1"/>
        <v>70</v>
      </c>
    </row>
    <row r="96" spans="1:15" x14ac:dyDescent="0.2">
      <c r="A96" s="112" t="s">
        <v>390</v>
      </c>
      <c r="B96" s="112">
        <v>10</v>
      </c>
      <c r="C96" s="26">
        <v>5</v>
      </c>
      <c r="D96" s="379">
        <v>5</v>
      </c>
      <c r="E96" s="26">
        <v>5</v>
      </c>
      <c r="F96" s="379">
        <v>5</v>
      </c>
      <c r="G96" s="26">
        <v>10</v>
      </c>
      <c r="H96" s="26">
        <v>10</v>
      </c>
      <c r="I96" s="26">
        <v>5</v>
      </c>
      <c r="J96" s="26">
        <v>10</v>
      </c>
      <c r="K96" s="379">
        <v>10</v>
      </c>
      <c r="L96" s="26">
        <v>15</v>
      </c>
      <c r="M96" s="26">
        <v>15</v>
      </c>
      <c r="N96" s="26">
        <v>10</v>
      </c>
      <c r="O96" s="26">
        <f t="shared" si="1"/>
        <v>115</v>
      </c>
    </row>
    <row r="97" spans="1:15" x14ac:dyDescent="0.2">
      <c r="A97" s="112" t="s">
        <v>391</v>
      </c>
      <c r="B97" s="26">
        <v>10</v>
      </c>
      <c r="C97" s="26">
        <v>5</v>
      </c>
      <c r="D97" s="379">
        <v>5</v>
      </c>
      <c r="E97" s="26">
        <v>5</v>
      </c>
      <c r="F97" s="379">
        <v>5</v>
      </c>
      <c r="G97" s="26">
        <v>10</v>
      </c>
      <c r="H97" s="26">
        <v>10</v>
      </c>
      <c r="I97" s="26">
        <v>10</v>
      </c>
      <c r="J97" s="26">
        <v>10</v>
      </c>
      <c r="K97" s="379">
        <v>10</v>
      </c>
      <c r="L97" s="26">
        <v>15</v>
      </c>
      <c r="M97" s="26">
        <v>15</v>
      </c>
      <c r="N97" s="26">
        <v>10</v>
      </c>
      <c r="O97" s="26">
        <f t="shared" si="1"/>
        <v>120</v>
      </c>
    </row>
    <row r="98" spans="1:15" x14ac:dyDescent="0.2">
      <c r="A98" s="112" t="s">
        <v>392</v>
      </c>
      <c r="B98" s="26">
        <v>10</v>
      </c>
      <c r="C98" s="26">
        <v>5</v>
      </c>
      <c r="D98" s="379">
        <v>5</v>
      </c>
      <c r="E98" s="26">
        <v>5</v>
      </c>
      <c r="F98" s="379">
        <v>5</v>
      </c>
      <c r="G98" s="26">
        <v>10</v>
      </c>
      <c r="H98" s="26">
        <v>10</v>
      </c>
      <c r="I98" s="26">
        <v>10</v>
      </c>
      <c r="J98" s="26">
        <v>10</v>
      </c>
      <c r="K98" s="379">
        <v>10</v>
      </c>
      <c r="L98" s="26">
        <v>15</v>
      </c>
      <c r="M98" s="26">
        <v>15</v>
      </c>
      <c r="N98" s="26">
        <v>10</v>
      </c>
      <c r="O98" s="26">
        <f t="shared" si="1"/>
        <v>120</v>
      </c>
    </row>
    <row r="99" spans="1:15" x14ac:dyDescent="0.2">
      <c r="A99" s="112" t="s">
        <v>393</v>
      </c>
      <c r="B99" s="26">
        <v>10</v>
      </c>
      <c r="C99" s="26">
        <v>5</v>
      </c>
      <c r="D99" s="379">
        <v>5</v>
      </c>
      <c r="E99" s="26">
        <v>5</v>
      </c>
      <c r="F99" s="379">
        <v>5</v>
      </c>
      <c r="G99" s="26">
        <v>10</v>
      </c>
      <c r="H99" s="26">
        <v>10</v>
      </c>
      <c r="I99" s="26">
        <v>10</v>
      </c>
      <c r="J99" s="26">
        <v>10</v>
      </c>
      <c r="K99" s="379">
        <v>10</v>
      </c>
      <c r="L99" s="26">
        <v>15</v>
      </c>
      <c r="M99" s="26">
        <v>15</v>
      </c>
      <c r="N99" s="26">
        <v>10</v>
      </c>
      <c r="O99" s="26">
        <f t="shared" si="1"/>
        <v>120</v>
      </c>
    </row>
    <row r="100" spans="1:15" x14ac:dyDescent="0.2">
      <c r="A100" s="112" t="s">
        <v>394</v>
      </c>
      <c r="B100" s="26">
        <v>10</v>
      </c>
      <c r="C100" s="26">
        <v>5</v>
      </c>
      <c r="D100" s="379">
        <v>5</v>
      </c>
      <c r="E100" s="26">
        <v>5</v>
      </c>
      <c r="F100" s="379">
        <v>5</v>
      </c>
      <c r="G100" s="26">
        <v>10</v>
      </c>
      <c r="H100" s="26">
        <v>10</v>
      </c>
      <c r="I100" s="26">
        <v>10</v>
      </c>
      <c r="J100" s="26">
        <v>10</v>
      </c>
      <c r="K100" s="379">
        <v>10</v>
      </c>
      <c r="L100" s="26">
        <v>15</v>
      </c>
      <c r="M100" s="26">
        <v>15</v>
      </c>
      <c r="N100" s="26">
        <v>10</v>
      </c>
      <c r="O100" s="26">
        <f t="shared" si="1"/>
        <v>120</v>
      </c>
    </row>
    <row r="101" spans="1:15" x14ac:dyDescent="0.2">
      <c r="A101" s="112" t="s">
        <v>395</v>
      </c>
      <c r="B101" s="26">
        <v>10</v>
      </c>
      <c r="C101" s="26">
        <v>5</v>
      </c>
      <c r="D101" s="379">
        <v>5</v>
      </c>
      <c r="E101" s="26">
        <v>5</v>
      </c>
      <c r="F101" s="379">
        <v>5</v>
      </c>
      <c r="G101" s="26">
        <v>10</v>
      </c>
      <c r="H101" s="26">
        <v>10</v>
      </c>
      <c r="I101" s="26">
        <v>10</v>
      </c>
      <c r="J101" s="26">
        <v>10</v>
      </c>
      <c r="K101" s="379">
        <v>10</v>
      </c>
      <c r="L101" s="26">
        <v>15</v>
      </c>
      <c r="M101" s="26">
        <v>10</v>
      </c>
      <c r="N101" s="26">
        <v>10</v>
      </c>
      <c r="O101" s="26">
        <f t="shared" si="1"/>
        <v>115</v>
      </c>
    </row>
    <row r="102" spans="1:15" x14ac:dyDescent="0.2">
      <c r="A102" s="112" t="s">
        <v>396</v>
      </c>
      <c r="B102" s="26">
        <v>5</v>
      </c>
      <c r="C102" s="26">
        <v>0</v>
      </c>
      <c r="D102" s="379">
        <v>0</v>
      </c>
      <c r="E102" s="26">
        <v>5</v>
      </c>
      <c r="F102" s="379">
        <v>5</v>
      </c>
      <c r="G102" s="26">
        <v>5</v>
      </c>
      <c r="H102" s="26">
        <v>10</v>
      </c>
      <c r="I102" s="26">
        <v>5</v>
      </c>
      <c r="J102" s="26">
        <v>5</v>
      </c>
      <c r="K102" s="379">
        <v>5</v>
      </c>
      <c r="L102" s="26">
        <v>10</v>
      </c>
      <c r="M102" s="26">
        <v>15</v>
      </c>
      <c r="N102" s="26">
        <v>5</v>
      </c>
      <c r="O102" s="26">
        <f t="shared" si="1"/>
        <v>75</v>
      </c>
    </row>
    <row r="103" spans="1:15" x14ac:dyDescent="0.2">
      <c r="A103" s="112" t="s">
        <v>397</v>
      </c>
      <c r="B103" s="26">
        <v>10</v>
      </c>
      <c r="C103" s="26">
        <v>5</v>
      </c>
      <c r="D103" s="379">
        <v>5</v>
      </c>
      <c r="E103" s="26">
        <v>5</v>
      </c>
      <c r="F103" s="379">
        <v>5</v>
      </c>
      <c r="G103" s="26">
        <v>10</v>
      </c>
      <c r="H103" s="26">
        <v>10</v>
      </c>
      <c r="I103" s="26">
        <v>10</v>
      </c>
      <c r="J103" s="26">
        <v>10</v>
      </c>
      <c r="K103" s="379">
        <v>10</v>
      </c>
      <c r="L103" s="26">
        <v>15</v>
      </c>
      <c r="M103" s="26">
        <v>15</v>
      </c>
      <c r="N103" s="26">
        <v>10</v>
      </c>
      <c r="O103" s="26">
        <f t="shared" si="1"/>
        <v>120</v>
      </c>
    </row>
    <row r="104" spans="1:15" x14ac:dyDescent="0.2">
      <c r="A104" s="112" t="s">
        <v>398</v>
      </c>
      <c r="B104" s="26">
        <v>10</v>
      </c>
      <c r="C104" s="26">
        <v>5</v>
      </c>
      <c r="D104" s="379">
        <v>5</v>
      </c>
      <c r="E104" s="26">
        <v>5</v>
      </c>
      <c r="F104" s="379">
        <v>5</v>
      </c>
      <c r="G104" s="26">
        <v>10</v>
      </c>
      <c r="H104" s="26">
        <v>10</v>
      </c>
      <c r="I104" s="123">
        <v>5</v>
      </c>
      <c r="J104" s="26">
        <v>10</v>
      </c>
      <c r="K104" s="379">
        <v>10</v>
      </c>
      <c r="L104" s="26">
        <v>10</v>
      </c>
      <c r="M104" s="26">
        <v>15</v>
      </c>
      <c r="N104" s="26">
        <v>10</v>
      </c>
      <c r="O104" s="26">
        <f t="shared" si="1"/>
        <v>110</v>
      </c>
    </row>
    <row r="105" spans="1:15" x14ac:dyDescent="0.2">
      <c r="A105" s="112" t="s">
        <v>399</v>
      </c>
      <c r="B105" s="26">
        <v>10</v>
      </c>
      <c r="C105" s="26">
        <v>5</v>
      </c>
      <c r="D105" s="379">
        <v>5</v>
      </c>
      <c r="E105" s="26">
        <v>5</v>
      </c>
      <c r="F105" s="379">
        <v>5</v>
      </c>
      <c r="G105" s="26">
        <v>10</v>
      </c>
      <c r="H105" s="26">
        <v>10</v>
      </c>
      <c r="I105" s="26">
        <v>10</v>
      </c>
      <c r="J105" s="26">
        <v>10</v>
      </c>
      <c r="K105" s="379">
        <v>10</v>
      </c>
      <c r="L105" s="26">
        <v>15</v>
      </c>
      <c r="M105" s="26">
        <v>15</v>
      </c>
      <c r="N105" s="26">
        <v>10</v>
      </c>
      <c r="O105" s="26">
        <f t="shared" si="1"/>
        <v>120</v>
      </c>
    </row>
    <row r="106" spans="1:15" x14ac:dyDescent="0.2">
      <c r="A106" s="112" t="s">
        <v>400</v>
      </c>
      <c r="B106" s="26">
        <v>10</v>
      </c>
      <c r="C106" s="26">
        <v>5</v>
      </c>
      <c r="D106" s="379">
        <v>5</v>
      </c>
      <c r="E106" s="26">
        <v>5</v>
      </c>
      <c r="F106" s="379">
        <v>5</v>
      </c>
      <c r="G106" s="26">
        <v>10</v>
      </c>
      <c r="H106" s="26">
        <v>10</v>
      </c>
      <c r="I106" s="26">
        <v>10</v>
      </c>
      <c r="J106" s="26">
        <v>10</v>
      </c>
      <c r="K106" s="379">
        <v>10</v>
      </c>
      <c r="L106" s="26">
        <v>15</v>
      </c>
      <c r="M106" s="26">
        <v>15</v>
      </c>
      <c r="N106" s="26">
        <v>10</v>
      </c>
      <c r="O106" s="26">
        <f t="shared" si="1"/>
        <v>120</v>
      </c>
    </row>
    <row r="107" spans="1:15" x14ac:dyDescent="0.2">
      <c r="A107" s="112" t="s">
        <v>401</v>
      </c>
      <c r="B107" s="26">
        <v>10</v>
      </c>
      <c r="C107" s="26">
        <v>5</v>
      </c>
      <c r="D107" s="379">
        <v>5</v>
      </c>
      <c r="E107" s="26">
        <v>5</v>
      </c>
      <c r="F107" s="379">
        <v>5</v>
      </c>
      <c r="G107" s="26">
        <v>10</v>
      </c>
      <c r="H107" s="26">
        <v>10</v>
      </c>
      <c r="I107" s="26">
        <v>5</v>
      </c>
      <c r="J107" s="26">
        <v>10</v>
      </c>
      <c r="K107" s="379">
        <v>10</v>
      </c>
      <c r="L107" s="26">
        <v>15</v>
      </c>
      <c r="M107" s="26">
        <v>15</v>
      </c>
      <c r="N107" s="26">
        <v>10</v>
      </c>
      <c r="O107" s="26">
        <f t="shared" si="1"/>
        <v>115</v>
      </c>
    </row>
    <row r="108" spans="1:15" x14ac:dyDescent="0.2">
      <c r="A108" s="112" t="s">
        <v>402</v>
      </c>
      <c r="B108" s="26">
        <v>10</v>
      </c>
      <c r="C108" s="26">
        <v>5</v>
      </c>
      <c r="D108" s="379">
        <v>5</v>
      </c>
      <c r="E108" s="26">
        <v>5</v>
      </c>
      <c r="F108" s="379">
        <v>5</v>
      </c>
      <c r="G108" s="26">
        <v>10</v>
      </c>
      <c r="H108" s="26">
        <v>10</v>
      </c>
      <c r="I108" s="26">
        <v>10</v>
      </c>
      <c r="J108" s="26">
        <v>10</v>
      </c>
      <c r="K108" s="379">
        <v>10</v>
      </c>
      <c r="L108" s="26">
        <v>15</v>
      </c>
      <c r="M108" s="26">
        <v>15</v>
      </c>
      <c r="N108" s="26">
        <v>10</v>
      </c>
      <c r="O108" s="26">
        <f t="shared" si="1"/>
        <v>120</v>
      </c>
    </row>
    <row r="109" spans="1:15" x14ac:dyDescent="0.2">
      <c r="A109" s="112" t="s">
        <v>403</v>
      </c>
      <c r="B109" s="26">
        <v>10</v>
      </c>
      <c r="C109" s="26">
        <v>5</v>
      </c>
      <c r="D109" s="379">
        <v>5</v>
      </c>
      <c r="E109" s="26">
        <v>5</v>
      </c>
      <c r="F109" s="379">
        <v>5</v>
      </c>
      <c r="G109" s="26">
        <v>10</v>
      </c>
      <c r="H109" s="26">
        <v>10</v>
      </c>
      <c r="I109" s="26">
        <v>10</v>
      </c>
      <c r="J109" s="26">
        <v>10</v>
      </c>
      <c r="K109" s="379">
        <v>10</v>
      </c>
      <c r="L109" s="26">
        <v>15</v>
      </c>
      <c r="M109" s="26">
        <v>10</v>
      </c>
      <c r="N109" s="26">
        <v>5</v>
      </c>
      <c r="O109" s="26">
        <f t="shared" si="1"/>
        <v>110</v>
      </c>
    </row>
    <row r="110" spans="1:15" ht="16" x14ac:dyDescent="0.2">
      <c r="A110" s="124" t="s">
        <v>404</v>
      </c>
      <c r="B110" s="125">
        <v>5</v>
      </c>
      <c r="C110" s="126">
        <v>5</v>
      </c>
      <c r="D110" s="384">
        <v>5</v>
      </c>
      <c r="E110" s="126">
        <v>5</v>
      </c>
      <c r="F110" s="384">
        <v>5</v>
      </c>
      <c r="G110" s="126">
        <v>10</v>
      </c>
      <c r="H110" s="126">
        <v>10</v>
      </c>
      <c r="I110" s="126">
        <v>10</v>
      </c>
      <c r="J110" s="126">
        <v>10</v>
      </c>
      <c r="K110" s="384">
        <v>10</v>
      </c>
      <c r="L110" s="126">
        <v>10</v>
      </c>
      <c r="M110" s="126">
        <v>10</v>
      </c>
      <c r="N110" s="126">
        <v>5</v>
      </c>
      <c r="O110" s="26">
        <f t="shared" si="1"/>
        <v>100</v>
      </c>
    </row>
    <row r="111" spans="1:15" x14ac:dyDescent="0.2">
      <c r="A111" s="127" t="s">
        <v>405</v>
      </c>
      <c r="B111" s="128">
        <v>10</v>
      </c>
      <c r="C111" s="129">
        <v>5</v>
      </c>
      <c r="D111" s="385">
        <v>5</v>
      </c>
      <c r="E111" s="129">
        <v>5</v>
      </c>
      <c r="F111" s="385">
        <v>5</v>
      </c>
      <c r="G111" s="129">
        <v>5</v>
      </c>
      <c r="H111" s="129">
        <v>10</v>
      </c>
      <c r="I111" s="129">
        <v>10</v>
      </c>
      <c r="J111" s="129">
        <v>10</v>
      </c>
      <c r="K111" s="385">
        <v>10</v>
      </c>
      <c r="L111" s="129">
        <v>15</v>
      </c>
      <c r="M111" s="129">
        <v>10</v>
      </c>
      <c r="N111" s="129">
        <v>10</v>
      </c>
      <c r="O111" s="26">
        <f t="shared" si="1"/>
        <v>110</v>
      </c>
    </row>
    <row r="112" spans="1:15" x14ac:dyDescent="0.2">
      <c r="A112" s="127" t="s">
        <v>406</v>
      </c>
      <c r="B112" s="130">
        <v>10</v>
      </c>
      <c r="C112" s="131">
        <v>5</v>
      </c>
      <c r="D112" s="386">
        <v>5</v>
      </c>
      <c r="E112" s="131">
        <v>5</v>
      </c>
      <c r="F112" s="386">
        <v>5</v>
      </c>
      <c r="G112" s="131">
        <v>5</v>
      </c>
      <c r="H112" s="131">
        <v>5</v>
      </c>
      <c r="I112" s="131">
        <v>10</v>
      </c>
      <c r="J112" s="131">
        <v>5</v>
      </c>
      <c r="K112" s="386">
        <v>5</v>
      </c>
      <c r="L112" s="131">
        <v>10</v>
      </c>
      <c r="M112" s="131">
        <v>15</v>
      </c>
      <c r="N112" s="131">
        <v>10</v>
      </c>
      <c r="O112" s="26">
        <f t="shared" si="1"/>
        <v>95</v>
      </c>
    </row>
    <row r="113" spans="1:15" x14ac:dyDescent="0.2">
      <c r="A113" s="127" t="s">
        <v>407</v>
      </c>
      <c r="B113" s="28">
        <v>10</v>
      </c>
      <c r="C113" s="28">
        <v>5</v>
      </c>
      <c r="D113" s="387">
        <v>5</v>
      </c>
      <c r="E113" s="28">
        <v>5</v>
      </c>
      <c r="F113" s="387">
        <v>5</v>
      </c>
      <c r="G113" s="28">
        <v>10</v>
      </c>
      <c r="H113" s="28">
        <v>10</v>
      </c>
      <c r="I113" s="28">
        <v>10</v>
      </c>
      <c r="J113" s="28">
        <v>10</v>
      </c>
      <c r="K113" s="387">
        <v>10</v>
      </c>
      <c r="L113" s="28">
        <v>15</v>
      </c>
      <c r="M113" s="28">
        <v>15</v>
      </c>
      <c r="N113" s="28">
        <v>10</v>
      </c>
      <c r="O113" s="26">
        <f t="shared" si="1"/>
        <v>120</v>
      </c>
    </row>
    <row r="114" spans="1:15" ht="16" x14ac:dyDescent="0.2">
      <c r="A114" s="132" t="s">
        <v>408</v>
      </c>
      <c r="B114" s="28">
        <v>10</v>
      </c>
      <c r="C114" s="28">
        <v>5</v>
      </c>
      <c r="D114" s="387">
        <v>5</v>
      </c>
      <c r="E114" s="28">
        <v>5</v>
      </c>
      <c r="F114" s="387">
        <v>5</v>
      </c>
      <c r="G114" s="28">
        <v>10</v>
      </c>
      <c r="H114" s="28">
        <v>10</v>
      </c>
      <c r="I114" s="28">
        <v>10</v>
      </c>
      <c r="J114" s="28">
        <v>10</v>
      </c>
      <c r="K114" s="387">
        <v>10</v>
      </c>
      <c r="L114" s="28">
        <v>15</v>
      </c>
      <c r="M114" s="28">
        <v>15</v>
      </c>
      <c r="N114" s="28">
        <v>10</v>
      </c>
      <c r="O114" s="26">
        <f t="shared" si="1"/>
        <v>120</v>
      </c>
    </row>
    <row r="115" spans="1:15" x14ac:dyDescent="0.2">
      <c r="A115" s="127" t="s">
        <v>409</v>
      </c>
      <c r="B115" s="128">
        <v>10</v>
      </c>
      <c r="C115" s="129">
        <v>5</v>
      </c>
      <c r="D115" s="385">
        <v>5</v>
      </c>
      <c r="E115" s="129">
        <v>5</v>
      </c>
      <c r="F115" s="385">
        <v>5</v>
      </c>
      <c r="G115" s="129">
        <v>10</v>
      </c>
      <c r="H115" s="129">
        <v>10</v>
      </c>
      <c r="I115" s="129">
        <v>10</v>
      </c>
      <c r="J115" s="129">
        <v>10</v>
      </c>
      <c r="K115" s="385">
        <v>10</v>
      </c>
      <c r="L115" s="129">
        <v>15</v>
      </c>
      <c r="M115" s="129">
        <v>15</v>
      </c>
      <c r="N115" s="129">
        <v>10</v>
      </c>
      <c r="O115" s="26">
        <f t="shared" si="1"/>
        <v>120</v>
      </c>
    </row>
    <row r="116" spans="1:15" x14ac:dyDescent="0.2">
      <c r="A116" s="127" t="s">
        <v>410</v>
      </c>
      <c r="B116" s="128">
        <v>10</v>
      </c>
      <c r="C116" s="129">
        <v>5</v>
      </c>
      <c r="D116" s="385">
        <v>5</v>
      </c>
      <c r="E116" s="129">
        <v>5</v>
      </c>
      <c r="F116" s="385">
        <v>5</v>
      </c>
      <c r="G116" s="129">
        <v>10</v>
      </c>
      <c r="H116" s="129">
        <v>10</v>
      </c>
      <c r="I116" s="129">
        <v>10</v>
      </c>
      <c r="J116" s="129">
        <v>10</v>
      </c>
      <c r="K116" s="385">
        <v>10</v>
      </c>
      <c r="L116" s="129">
        <v>15</v>
      </c>
      <c r="M116" s="129">
        <v>15</v>
      </c>
      <c r="N116" s="129">
        <v>10</v>
      </c>
      <c r="O116" s="26">
        <f t="shared" si="1"/>
        <v>120</v>
      </c>
    </row>
    <row r="117" spans="1:15" ht="16" x14ac:dyDescent="0.2">
      <c r="A117" s="133" t="s">
        <v>411</v>
      </c>
      <c r="B117" s="134">
        <v>10</v>
      </c>
      <c r="C117" s="135">
        <v>5</v>
      </c>
      <c r="D117" s="388">
        <v>5</v>
      </c>
      <c r="E117" s="135">
        <v>5</v>
      </c>
      <c r="F117" s="388">
        <v>5</v>
      </c>
      <c r="G117" s="135">
        <v>10</v>
      </c>
      <c r="H117" s="135">
        <v>10</v>
      </c>
      <c r="I117" s="135">
        <v>10</v>
      </c>
      <c r="J117" s="135">
        <v>10</v>
      </c>
      <c r="K117" s="388">
        <v>10</v>
      </c>
      <c r="L117" s="135">
        <v>15</v>
      </c>
      <c r="M117" s="135">
        <v>15</v>
      </c>
      <c r="N117" s="135">
        <v>10</v>
      </c>
      <c r="O117" s="26">
        <f t="shared" si="1"/>
        <v>120</v>
      </c>
    </row>
    <row r="118" spans="1:15" x14ac:dyDescent="0.2">
      <c r="A118" s="136" t="s">
        <v>412</v>
      </c>
      <c r="B118" s="125">
        <v>10</v>
      </c>
      <c r="C118" s="126">
        <v>5</v>
      </c>
      <c r="D118" s="384">
        <v>5</v>
      </c>
      <c r="E118" s="126">
        <v>5</v>
      </c>
      <c r="F118" s="384">
        <v>5</v>
      </c>
      <c r="G118" s="126">
        <v>10</v>
      </c>
      <c r="H118" s="126">
        <v>10</v>
      </c>
      <c r="I118" s="126">
        <v>10</v>
      </c>
      <c r="J118" s="126">
        <v>10</v>
      </c>
      <c r="K118" s="384">
        <v>10</v>
      </c>
      <c r="L118" s="126">
        <v>15</v>
      </c>
      <c r="M118" s="126">
        <v>15</v>
      </c>
      <c r="N118" s="126">
        <v>10</v>
      </c>
      <c r="O118" s="26">
        <f t="shared" si="1"/>
        <v>120</v>
      </c>
    </row>
    <row r="119" spans="1:15" x14ac:dyDescent="0.2">
      <c r="A119" s="136" t="s">
        <v>413</v>
      </c>
      <c r="B119" s="28">
        <v>5</v>
      </c>
      <c r="C119" s="28">
        <v>0</v>
      </c>
      <c r="D119" s="387">
        <v>0</v>
      </c>
      <c r="E119" s="28">
        <v>0</v>
      </c>
      <c r="F119" s="387">
        <v>0</v>
      </c>
      <c r="G119" s="28">
        <v>0</v>
      </c>
      <c r="H119" s="28">
        <v>5</v>
      </c>
      <c r="I119" s="28">
        <v>5</v>
      </c>
      <c r="J119" s="28">
        <v>5</v>
      </c>
      <c r="K119" s="387">
        <v>5</v>
      </c>
      <c r="L119" s="28">
        <v>10</v>
      </c>
      <c r="M119" s="28">
        <v>10</v>
      </c>
      <c r="N119" s="28">
        <v>5</v>
      </c>
      <c r="O119" s="26">
        <f t="shared" si="1"/>
        <v>50</v>
      </c>
    </row>
    <row r="120" spans="1:15" ht="16" thickBot="1" x14ac:dyDescent="0.25">
      <c r="A120" s="136" t="s">
        <v>414</v>
      </c>
      <c r="B120" s="137">
        <v>10</v>
      </c>
      <c r="C120" s="138">
        <v>5</v>
      </c>
      <c r="D120" s="389">
        <v>5</v>
      </c>
      <c r="E120" s="138">
        <v>5</v>
      </c>
      <c r="F120" s="389">
        <v>5</v>
      </c>
      <c r="G120" s="138">
        <v>10</v>
      </c>
      <c r="H120" s="138">
        <v>10</v>
      </c>
      <c r="I120" s="138">
        <v>5</v>
      </c>
      <c r="J120" s="138">
        <v>10</v>
      </c>
      <c r="K120" s="389">
        <v>10</v>
      </c>
      <c r="L120" s="138">
        <v>10</v>
      </c>
      <c r="M120" s="138">
        <v>15</v>
      </c>
      <c r="N120" s="138">
        <v>10</v>
      </c>
      <c r="O120" s="26">
        <f t="shared" si="1"/>
        <v>110</v>
      </c>
    </row>
    <row r="121" spans="1:15" x14ac:dyDescent="0.2">
      <c r="A121" s="139" t="s">
        <v>415</v>
      </c>
      <c r="B121" s="128">
        <v>5</v>
      </c>
      <c r="C121" s="129">
        <v>5</v>
      </c>
      <c r="D121" s="385">
        <v>5</v>
      </c>
      <c r="E121" s="129">
        <v>5</v>
      </c>
      <c r="F121" s="385">
        <v>5</v>
      </c>
      <c r="G121" s="129">
        <v>5</v>
      </c>
      <c r="H121" s="129">
        <v>10</v>
      </c>
      <c r="I121" s="129">
        <v>0</v>
      </c>
      <c r="J121" s="129">
        <v>10</v>
      </c>
      <c r="K121" s="385">
        <v>10</v>
      </c>
      <c r="L121" s="129">
        <v>10</v>
      </c>
      <c r="M121" s="129">
        <v>15</v>
      </c>
      <c r="N121" s="129">
        <v>10</v>
      </c>
      <c r="O121" s="26">
        <f t="shared" si="1"/>
        <v>95</v>
      </c>
    </row>
    <row r="122" spans="1:15" x14ac:dyDescent="0.2">
      <c r="A122" s="139" t="s">
        <v>416</v>
      </c>
      <c r="B122" s="128">
        <v>10</v>
      </c>
      <c r="C122" s="129">
        <v>5</v>
      </c>
      <c r="D122" s="385">
        <v>5</v>
      </c>
      <c r="E122" s="129">
        <v>5</v>
      </c>
      <c r="F122" s="385">
        <v>5</v>
      </c>
      <c r="G122" s="129">
        <v>10</v>
      </c>
      <c r="H122" s="129">
        <v>10</v>
      </c>
      <c r="I122" s="129">
        <v>10</v>
      </c>
      <c r="J122" s="129">
        <v>10</v>
      </c>
      <c r="K122" s="385">
        <v>10</v>
      </c>
      <c r="L122" s="129">
        <v>10</v>
      </c>
      <c r="M122" s="129">
        <v>15</v>
      </c>
      <c r="N122" s="129">
        <v>10</v>
      </c>
      <c r="O122" s="26">
        <f t="shared" si="1"/>
        <v>115</v>
      </c>
    </row>
    <row r="123" spans="1:15" x14ac:dyDescent="0.2">
      <c r="A123" s="139" t="s">
        <v>417</v>
      </c>
      <c r="B123" s="128">
        <v>10</v>
      </c>
      <c r="C123" s="129">
        <v>5</v>
      </c>
      <c r="D123" s="385">
        <v>5</v>
      </c>
      <c r="E123" s="129">
        <v>5</v>
      </c>
      <c r="F123" s="385">
        <v>5</v>
      </c>
      <c r="G123" s="129">
        <v>5</v>
      </c>
      <c r="H123" s="129">
        <v>10</v>
      </c>
      <c r="I123" s="129">
        <v>10</v>
      </c>
      <c r="J123" s="129">
        <v>10</v>
      </c>
      <c r="K123" s="385">
        <v>10</v>
      </c>
      <c r="L123" s="129">
        <v>10</v>
      </c>
      <c r="M123" s="129">
        <v>10</v>
      </c>
      <c r="N123" s="129">
        <v>10</v>
      </c>
      <c r="O123" s="26">
        <f t="shared" si="1"/>
        <v>105</v>
      </c>
    </row>
    <row r="124" spans="1:15" x14ac:dyDescent="0.2">
      <c r="A124" s="139" t="s">
        <v>418</v>
      </c>
      <c r="B124" s="141">
        <v>10</v>
      </c>
      <c r="C124" s="142">
        <v>5</v>
      </c>
      <c r="D124" s="390">
        <v>5</v>
      </c>
      <c r="E124" s="142">
        <v>5</v>
      </c>
      <c r="F124" s="390">
        <v>5</v>
      </c>
      <c r="G124" s="142">
        <v>5</v>
      </c>
      <c r="H124" s="142">
        <v>10</v>
      </c>
      <c r="I124" s="142">
        <v>10</v>
      </c>
      <c r="J124" s="142">
        <v>10</v>
      </c>
      <c r="K124" s="390">
        <v>10</v>
      </c>
      <c r="L124" s="142">
        <v>10</v>
      </c>
      <c r="M124" s="142">
        <v>15</v>
      </c>
      <c r="N124" s="142">
        <v>10</v>
      </c>
      <c r="O124" s="26">
        <f t="shared" si="1"/>
        <v>110</v>
      </c>
    </row>
    <row r="125" spans="1:15" x14ac:dyDescent="0.2">
      <c r="A125" s="139" t="s">
        <v>419</v>
      </c>
      <c r="B125" s="128">
        <v>10</v>
      </c>
      <c r="C125" s="129">
        <v>5</v>
      </c>
      <c r="D125" s="385">
        <v>5</v>
      </c>
      <c r="E125" s="129">
        <v>5</v>
      </c>
      <c r="F125" s="385">
        <v>5</v>
      </c>
      <c r="G125" s="129">
        <v>5</v>
      </c>
      <c r="H125" s="129">
        <v>10</v>
      </c>
      <c r="I125" s="129">
        <v>10</v>
      </c>
      <c r="J125" s="129">
        <v>10</v>
      </c>
      <c r="K125" s="385">
        <v>10</v>
      </c>
      <c r="L125" s="129">
        <v>15</v>
      </c>
      <c r="M125" s="129">
        <v>15</v>
      </c>
      <c r="N125" s="129">
        <v>10</v>
      </c>
      <c r="O125" s="26">
        <f t="shared" si="1"/>
        <v>115</v>
      </c>
    </row>
    <row r="126" spans="1:15" x14ac:dyDescent="0.2">
      <c r="A126" s="139" t="s">
        <v>420</v>
      </c>
      <c r="B126" s="128">
        <v>10</v>
      </c>
      <c r="C126" s="129">
        <v>5</v>
      </c>
      <c r="D126" s="385">
        <v>5</v>
      </c>
      <c r="E126" s="129">
        <v>5</v>
      </c>
      <c r="F126" s="385">
        <v>5</v>
      </c>
      <c r="G126" s="129">
        <v>10</v>
      </c>
      <c r="H126" s="129">
        <v>10</v>
      </c>
      <c r="I126" s="129">
        <v>10</v>
      </c>
      <c r="J126" s="129">
        <v>10</v>
      </c>
      <c r="K126" s="385">
        <v>10</v>
      </c>
      <c r="L126" s="129">
        <v>15</v>
      </c>
      <c r="M126" s="129">
        <v>10</v>
      </c>
      <c r="N126" s="129">
        <v>10</v>
      </c>
      <c r="O126" s="26">
        <f t="shared" si="1"/>
        <v>115</v>
      </c>
    </row>
    <row r="127" spans="1:15" x14ac:dyDescent="0.2">
      <c r="A127" s="139" t="s">
        <v>421</v>
      </c>
      <c r="B127" s="146">
        <v>5</v>
      </c>
      <c r="C127" s="147">
        <v>5</v>
      </c>
      <c r="D127" s="391">
        <v>5</v>
      </c>
      <c r="E127" s="147">
        <v>0</v>
      </c>
      <c r="F127" s="391">
        <v>0</v>
      </c>
      <c r="G127" s="147">
        <v>5</v>
      </c>
      <c r="H127" s="147">
        <v>10</v>
      </c>
      <c r="I127" s="147">
        <v>5</v>
      </c>
      <c r="J127" s="147">
        <v>5</v>
      </c>
      <c r="K127" s="391">
        <v>5</v>
      </c>
      <c r="L127" s="147">
        <v>10</v>
      </c>
      <c r="M127" s="147">
        <v>10</v>
      </c>
      <c r="N127" s="147">
        <v>5</v>
      </c>
      <c r="O127" s="26">
        <f t="shared" si="1"/>
        <v>70</v>
      </c>
    </row>
    <row r="128" spans="1:15" x14ac:dyDescent="0.2">
      <c r="A128" s="139" t="s">
        <v>422</v>
      </c>
      <c r="B128" s="128">
        <v>10</v>
      </c>
      <c r="C128" s="129">
        <v>5</v>
      </c>
      <c r="D128" s="385">
        <v>5</v>
      </c>
      <c r="E128" s="129">
        <v>5</v>
      </c>
      <c r="F128" s="385">
        <v>5</v>
      </c>
      <c r="G128" s="129">
        <v>5</v>
      </c>
      <c r="H128" s="129">
        <v>10</v>
      </c>
      <c r="I128" s="129">
        <v>5</v>
      </c>
      <c r="J128" s="129">
        <v>10</v>
      </c>
      <c r="K128" s="385">
        <v>10</v>
      </c>
      <c r="L128" s="129">
        <v>10</v>
      </c>
      <c r="M128" s="129">
        <v>15</v>
      </c>
      <c r="N128" s="129">
        <v>10</v>
      </c>
      <c r="O128" s="26">
        <f t="shared" si="1"/>
        <v>105</v>
      </c>
    </row>
    <row r="129" spans="1:15" x14ac:dyDescent="0.2">
      <c r="A129" s="139" t="s">
        <v>423</v>
      </c>
      <c r="B129" s="146">
        <v>5</v>
      </c>
      <c r="C129" s="147">
        <v>5</v>
      </c>
      <c r="D129" s="391">
        <v>5</v>
      </c>
      <c r="E129" s="147">
        <v>0</v>
      </c>
      <c r="F129" s="391">
        <v>0</v>
      </c>
      <c r="G129" s="147">
        <v>10</v>
      </c>
      <c r="H129" s="147">
        <v>10</v>
      </c>
      <c r="I129" s="147">
        <v>5</v>
      </c>
      <c r="J129" s="147">
        <v>10</v>
      </c>
      <c r="K129" s="391">
        <v>10</v>
      </c>
      <c r="L129" s="147">
        <v>15</v>
      </c>
      <c r="M129" s="147">
        <v>15</v>
      </c>
      <c r="N129" s="147">
        <v>10</v>
      </c>
      <c r="O129" s="26">
        <f t="shared" si="1"/>
        <v>100</v>
      </c>
    </row>
    <row r="130" spans="1:15" ht="16" x14ac:dyDescent="0.2">
      <c r="A130" s="124" t="s">
        <v>424</v>
      </c>
      <c r="B130" s="144">
        <v>10</v>
      </c>
      <c r="C130" s="145">
        <v>5</v>
      </c>
      <c r="D130" s="392">
        <v>5</v>
      </c>
      <c r="E130" s="145">
        <v>5</v>
      </c>
      <c r="F130" s="392">
        <v>5</v>
      </c>
      <c r="G130" s="145">
        <v>10</v>
      </c>
      <c r="H130" s="145">
        <v>10</v>
      </c>
      <c r="I130" s="145">
        <v>10</v>
      </c>
      <c r="J130" s="145">
        <v>10</v>
      </c>
      <c r="K130" s="392">
        <v>10</v>
      </c>
      <c r="L130" s="145">
        <v>15</v>
      </c>
      <c r="M130" s="145">
        <v>15</v>
      </c>
      <c r="N130" s="145">
        <v>10</v>
      </c>
      <c r="O130" s="26">
        <f t="shared" si="1"/>
        <v>120</v>
      </c>
    </row>
    <row r="131" spans="1:15" x14ac:dyDescent="0.2">
      <c r="A131" s="139" t="s">
        <v>425</v>
      </c>
      <c r="B131" s="125">
        <v>10</v>
      </c>
      <c r="C131" s="126">
        <v>5</v>
      </c>
      <c r="D131" s="384">
        <v>5</v>
      </c>
      <c r="E131" s="126">
        <v>5</v>
      </c>
      <c r="F131" s="384">
        <v>5</v>
      </c>
      <c r="G131" s="126">
        <v>10</v>
      </c>
      <c r="H131" s="126">
        <v>10</v>
      </c>
      <c r="I131" s="126">
        <v>10</v>
      </c>
      <c r="J131" s="126">
        <v>10</v>
      </c>
      <c r="K131" s="384">
        <v>10</v>
      </c>
      <c r="L131" s="126">
        <v>15</v>
      </c>
      <c r="M131" s="126">
        <v>15</v>
      </c>
      <c r="N131" s="126">
        <v>10</v>
      </c>
      <c r="O131" s="26">
        <f t="shared" si="1"/>
        <v>120</v>
      </c>
    </row>
    <row r="132" spans="1:15" x14ac:dyDescent="0.2">
      <c r="A132" s="139" t="s">
        <v>426</v>
      </c>
      <c r="B132" s="146">
        <v>10</v>
      </c>
      <c r="C132" s="147">
        <v>5</v>
      </c>
      <c r="D132" s="391">
        <v>5</v>
      </c>
      <c r="E132" s="147">
        <v>5</v>
      </c>
      <c r="F132" s="391">
        <v>5</v>
      </c>
      <c r="G132" s="147">
        <v>5</v>
      </c>
      <c r="H132" s="147">
        <v>10</v>
      </c>
      <c r="I132" s="147">
        <v>5</v>
      </c>
      <c r="J132" s="147">
        <v>10</v>
      </c>
      <c r="K132" s="391">
        <v>10</v>
      </c>
      <c r="L132" s="147">
        <v>15</v>
      </c>
      <c r="M132" s="147">
        <v>15</v>
      </c>
      <c r="N132" s="147">
        <v>10</v>
      </c>
      <c r="O132" s="26">
        <f t="shared" ref="O132:O194" si="2">SUM(B132:N132)</f>
        <v>110</v>
      </c>
    </row>
    <row r="133" spans="1:15" x14ac:dyDescent="0.2">
      <c r="A133" s="149" t="s">
        <v>427</v>
      </c>
      <c r="B133" s="150">
        <v>10</v>
      </c>
      <c r="C133" s="148">
        <v>5</v>
      </c>
      <c r="D133" s="393">
        <v>5</v>
      </c>
      <c r="E133" s="148">
        <v>5</v>
      </c>
      <c r="F133" s="393">
        <v>5</v>
      </c>
      <c r="G133" s="148">
        <v>10</v>
      </c>
      <c r="H133" s="148">
        <v>10</v>
      </c>
      <c r="I133" s="148">
        <v>10</v>
      </c>
      <c r="J133" s="148">
        <v>10</v>
      </c>
      <c r="K133" s="393">
        <v>10</v>
      </c>
      <c r="L133" s="148">
        <v>15</v>
      </c>
      <c r="M133" s="148">
        <v>15</v>
      </c>
      <c r="N133" s="148">
        <v>10</v>
      </c>
      <c r="O133" s="26">
        <f t="shared" si="2"/>
        <v>120</v>
      </c>
    </row>
    <row r="134" spans="1:15" ht="16" x14ac:dyDescent="0.2">
      <c r="A134" s="151" t="s">
        <v>428</v>
      </c>
      <c r="B134" s="125">
        <v>10</v>
      </c>
      <c r="C134" s="126">
        <v>5</v>
      </c>
      <c r="D134" s="384">
        <v>5</v>
      </c>
      <c r="E134" s="126">
        <v>5</v>
      </c>
      <c r="F134" s="384">
        <v>5</v>
      </c>
      <c r="G134" s="126">
        <v>10</v>
      </c>
      <c r="H134" s="126">
        <v>10</v>
      </c>
      <c r="I134" s="126">
        <v>10</v>
      </c>
      <c r="J134" s="126">
        <v>10</v>
      </c>
      <c r="K134" s="384">
        <v>10</v>
      </c>
      <c r="L134" s="126">
        <v>15</v>
      </c>
      <c r="M134" s="126">
        <v>15</v>
      </c>
      <c r="N134" s="126">
        <v>10</v>
      </c>
      <c r="O134" s="26">
        <f t="shared" si="2"/>
        <v>120</v>
      </c>
    </row>
    <row r="135" spans="1:15" ht="16" x14ac:dyDescent="0.2">
      <c r="A135" s="151" t="s">
        <v>429</v>
      </c>
      <c r="B135" s="128">
        <v>10</v>
      </c>
      <c r="C135" s="129">
        <v>5</v>
      </c>
      <c r="D135" s="385">
        <v>5</v>
      </c>
      <c r="E135" s="129">
        <v>5</v>
      </c>
      <c r="F135" s="385">
        <v>5</v>
      </c>
      <c r="G135" s="129">
        <v>10</v>
      </c>
      <c r="H135" s="129">
        <v>10</v>
      </c>
      <c r="I135" s="129">
        <v>10</v>
      </c>
      <c r="J135" s="129">
        <v>10</v>
      </c>
      <c r="K135" s="385">
        <v>10</v>
      </c>
      <c r="L135" s="129">
        <v>15</v>
      </c>
      <c r="M135" s="129">
        <v>15</v>
      </c>
      <c r="N135" s="129">
        <v>10</v>
      </c>
      <c r="O135" s="26">
        <f t="shared" si="2"/>
        <v>120</v>
      </c>
    </row>
    <row r="136" spans="1:15" ht="16" x14ac:dyDescent="0.2">
      <c r="A136" s="152" t="s">
        <v>430</v>
      </c>
      <c r="B136" s="153">
        <v>10</v>
      </c>
      <c r="C136" s="154">
        <v>5</v>
      </c>
      <c r="D136" s="394">
        <v>5</v>
      </c>
      <c r="E136" s="154">
        <v>5</v>
      </c>
      <c r="F136" s="394">
        <v>5</v>
      </c>
      <c r="G136" s="154">
        <v>5</v>
      </c>
      <c r="H136" s="154">
        <v>10</v>
      </c>
      <c r="I136" s="154">
        <v>5</v>
      </c>
      <c r="J136" s="154">
        <v>5</v>
      </c>
      <c r="K136" s="394">
        <v>5</v>
      </c>
      <c r="L136" s="154">
        <v>10</v>
      </c>
      <c r="M136" s="154">
        <v>10</v>
      </c>
      <c r="N136" s="154">
        <v>10</v>
      </c>
      <c r="O136" s="26">
        <f t="shared" si="2"/>
        <v>90</v>
      </c>
    </row>
    <row r="137" spans="1:15" ht="16" x14ac:dyDescent="0.2">
      <c r="A137" s="152" t="s">
        <v>431</v>
      </c>
      <c r="B137" s="28">
        <v>10</v>
      </c>
      <c r="C137" s="28">
        <v>5</v>
      </c>
      <c r="D137" s="387">
        <v>5</v>
      </c>
      <c r="E137" s="28">
        <v>5</v>
      </c>
      <c r="F137" s="387">
        <v>5</v>
      </c>
      <c r="G137" s="28">
        <v>10</v>
      </c>
      <c r="H137" s="28">
        <v>10</v>
      </c>
      <c r="I137" s="28">
        <v>10</v>
      </c>
      <c r="J137" s="28">
        <v>10</v>
      </c>
      <c r="K137" s="387">
        <v>10</v>
      </c>
      <c r="L137" s="28">
        <v>15</v>
      </c>
      <c r="M137" s="28">
        <v>15</v>
      </c>
      <c r="N137" s="28">
        <v>10</v>
      </c>
      <c r="O137" s="26">
        <f t="shared" si="2"/>
        <v>120</v>
      </c>
    </row>
    <row r="138" spans="1:15" x14ac:dyDescent="0.2">
      <c r="A138" s="136" t="s">
        <v>432</v>
      </c>
      <c r="B138" s="144">
        <v>10</v>
      </c>
      <c r="C138" s="145">
        <v>5</v>
      </c>
      <c r="D138" s="392">
        <v>5</v>
      </c>
      <c r="E138" s="145">
        <v>5</v>
      </c>
      <c r="F138" s="392">
        <v>5</v>
      </c>
      <c r="G138" s="145">
        <v>5</v>
      </c>
      <c r="H138" s="145">
        <v>10</v>
      </c>
      <c r="I138" s="145">
        <v>5</v>
      </c>
      <c r="J138" s="145">
        <v>10</v>
      </c>
      <c r="K138" s="392">
        <v>10</v>
      </c>
      <c r="L138" s="145">
        <v>10</v>
      </c>
      <c r="M138" s="145">
        <v>15</v>
      </c>
      <c r="N138" s="145">
        <v>10</v>
      </c>
      <c r="O138" s="26">
        <f t="shared" si="2"/>
        <v>105</v>
      </c>
    </row>
    <row r="139" spans="1:15" x14ac:dyDescent="0.2">
      <c r="A139" s="136" t="s">
        <v>433</v>
      </c>
      <c r="B139" s="140">
        <v>0</v>
      </c>
      <c r="C139" s="140">
        <v>0</v>
      </c>
      <c r="D139" s="395">
        <v>0</v>
      </c>
      <c r="E139" s="140">
        <v>0</v>
      </c>
      <c r="F139" s="395">
        <v>0</v>
      </c>
      <c r="G139" s="140">
        <v>0</v>
      </c>
      <c r="H139" s="140">
        <v>10</v>
      </c>
      <c r="I139" s="140">
        <v>5</v>
      </c>
      <c r="J139" s="140">
        <v>0</v>
      </c>
      <c r="K139" s="395">
        <v>0</v>
      </c>
      <c r="L139" s="140">
        <v>5</v>
      </c>
      <c r="M139" s="140">
        <v>10</v>
      </c>
      <c r="N139" s="140">
        <v>5</v>
      </c>
      <c r="O139" s="26">
        <f t="shared" si="2"/>
        <v>35</v>
      </c>
    </row>
    <row r="140" spans="1:15" x14ac:dyDescent="0.2">
      <c r="A140" s="136" t="s">
        <v>434</v>
      </c>
      <c r="B140" s="144">
        <v>5</v>
      </c>
      <c r="C140" s="145">
        <v>0</v>
      </c>
      <c r="D140" s="392">
        <v>0</v>
      </c>
      <c r="E140" s="145">
        <v>0</v>
      </c>
      <c r="F140" s="392">
        <v>0</v>
      </c>
      <c r="G140" s="145">
        <v>0</v>
      </c>
      <c r="H140" s="145">
        <v>5</v>
      </c>
      <c r="I140" s="145">
        <v>5</v>
      </c>
      <c r="J140" s="145">
        <v>0</v>
      </c>
      <c r="K140" s="392">
        <v>0</v>
      </c>
      <c r="L140" s="145">
        <v>5</v>
      </c>
      <c r="M140" s="145">
        <v>10</v>
      </c>
      <c r="N140" s="145">
        <v>5</v>
      </c>
      <c r="O140" s="26">
        <f t="shared" si="2"/>
        <v>35</v>
      </c>
    </row>
    <row r="141" spans="1:15" x14ac:dyDescent="0.2">
      <c r="A141" s="136" t="s">
        <v>435</v>
      </c>
      <c r="B141" s="140">
        <v>5</v>
      </c>
      <c r="C141" s="140">
        <v>0</v>
      </c>
      <c r="D141" s="395">
        <v>0</v>
      </c>
      <c r="E141" s="140">
        <v>0</v>
      </c>
      <c r="F141" s="395">
        <v>0</v>
      </c>
      <c r="G141" s="140">
        <v>0</v>
      </c>
      <c r="H141" s="140">
        <v>10</v>
      </c>
      <c r="I141" s="140">
        <v>5</v>
      </c>
      <c r="J141" s="140">
        <v>0</v>
      </c>
      <c r="K141" s="395">
        <v>0</v>
      </c>
      <c r="L141" s="140">
        <v>10</v>
      </c>
      <c r="M141" s="140">
        <v>10</v>
      </c>
      <c r="N141" s="140">
        <v>5</v>
      </c>
      <c r="O141" s="26">
        <f t="shared" si="2"/>
        <v>45</v>
      </c>
    </row>
    <row r="142" spans="1:15" x14ac:dyDescent="0.2">
      <c r="A142" s="136" t="s">
        <v>436</v>
      </c>
      <c r="B142" s="146">
        <v>10</v>
      </c>
      <c r="C142" s="147">
        <v>5</v>
      </c>
      <c r="D142" s="391">
        <v>5</v>
      </c>
      <c r="E142" s="147">
        <v>0</v>
      </c>
      <c r="F142" s="391">
        <v>0</v>
      </c>
      <c r="G142" s="147">
        <v>0</v>
      </c>
      <c r="H142" s="147">
        <v>10</v>
      </c>
      <c r="I142" s="147">
        <v>5</v>
      </c>
      <c r="J142" s="147">
        <v>10</v>
      </c>
      <c r="K142" s="391">
        <v>10</v>
      </c>
      <c r="L142" s="147">
        <v>10</v>
      </c>
      <c r="M142" s="147">
        <v>15</v>
      </c>
      <c r="N142" s="147">
        <v>10</v>
      </c>
      <c r="O142" s="26">
        <f t="shared" si="2"/>
        <v>90</v>
      </c>
    </row>
    <row r="143" spans="1:15" x14ac:dyDescent="0.2">
      <c r="A143" s="136" t="s">
        <v>437</v>
      </c>
      <c r="B143" s="141">
        <v>10</v>
      </c>
      <c r="C143" s="142">
        <v>5</v>
      </c>
      <c r="D143" s="390">
        <v>5</v>
      </c>
      <c r="E143" s="142">
        <v>5</v>
      </c>
      <c r="F143" s="390">
        <v>5</v>
      </c>
      <c r="G143" s="142">
        <v>5</v>
      </c>
      <c r="H143" s="142">
        <v>10</v>
      </c>
      <c r="I143" s="142">
        <v>10</v>
      </c>
      <c r="J143" s="142">
        <v>10</v>
      </c>
      <c r="K143" s="390">
        <v>10</v>
      </c>
      <c r="L143" s="142">
        <v>10</v>
      </c>
      <c r="M143" s="142">
        <v>10</v>
      </c>
      <c r="N143" s="142">
        <v>5</v>
      </c>
      <c r="O143" s="26">
        <f t="shared" si="2"/>
        <v>100</v>
      </c>
    </row>
    <row r="144" spans="1:15" x14ac:dyDescent="0.2">
      <c r="A144" s="136" t="s">
        <v>438</v>
      </c>
      <c r="B144" s="155">
        <v>5</v>
      </c>
      <c r="C144" s="156">
        <v>5</v>
      </c>
      <c r="D144" s="396">
        <v>5</v>
      </c>
      <c r="E144" s="156">
        <v>0</v>
      </c>
      <c r="F144" s="396">
        <v>0</v>
      </c>
      <c r="G144" s="156">
        <v>5</v>
      </c>
      <c r="H144" s="156">
        <v>10</v>
      </c>
      <c r="I144" s="156">
        <v>5</v>
      </c>
      <c r="J144" s="156">
        <v>5</v>
      </c>
      <c r="K144" s="396">
        <v>5</v>
      </c>
      <c r="L144" s="156">
        <v>5</v>
      </c>
      <c r="M144" s="156">
        <v>10</v>
      </c>
      <c r="N144" s="156">
        <v>5</v>
      </c>
      <c r="O144" s="26">
        <f t="shared" si="2"/>
        <v>65</v>
      </c>
    </row>
    <row r="145" spans="1:15" ht="16" x14ac:dyDescent="0.2">
      <c r="A145" s="157" t="s">
        <v>439</v>
      </c>
      <c r="B145" s="125">
        <v>10</v>
      </c>
      <c r="C145" s="126">
        <v>5</v>
      </c>
      <c r="D145" s="384">
        <v>5</v>
      </c>
      <c r="E145" s="126">
        <v>5</v>
      </c>
      <c r="F145" s="384">
        <v>5</v>
      </c>
      <c r="G145" s="126">
        <v>10</v>
      </c>
      <c r="H145" s="126">
        <v>10</v>
      </c>
      <c r="I145" s="126">
        <v>10</v>
      </c>
      <c r="J145" s="126">
        <v>10</v>
      </c>
      <c r="K145" s="384">
        <v>10</v>
      </c>
      <c r="L145" s="126">
        <v>15</v>
      </c>
      <c r="M145" s="126">
        <v>15</v>
      </c>
      <c r="N145" s="126">
        <v>10</v>
      </c>
      <c r="O145" s="26">
        <f t="shared" si="2"/>
        <v>120</v>
      </c>
    </row>
    <row r="146" spans="1:15" ht="16" x14ac:dyDescent="0.2">
      <c r="A146" s="132" t="s">
        <v>440</v>
      </c>
      <c r="B146" s="146">
        <v>10</v>
      </c>
      <c r="C146" s="147">
        <v>5</v>
      </c>
      <c r="D146" s="391">
        <v>5</v>
      </c>
      <c r="E146" s="147">
        <v>5</v>
      </c>
      <c r="F146" s="391">
        <v>5</v>
      </c>
      <c r="G146" s="147">
        <v>10</v>
      </c>
      <c r="H146" s="147">
        <v>10</v>
      </c>
      <c r="I146" s="147">
        <v>10</v>
      </c>
      <c r="J146" s="147">
        <v>10</v>
      </c>
      <c r="K146" s="391">
        <v>10</v>
      </c>
      <c r="L146" s="147">
        <v>15</v>
      </c>
      <c r="M146" s="147">
        <v>15</v>
      </c>
      <c r="N146" s="147">
        <v>10</v>
      </c>
      <c r="O146" s="26">
        <f t="shared" si="2"/>
        <v>120</v>
      </c>
    </row>
    <row r="147" spans="1:15" x14ac:dyDescent="0.2">
      <c r="A147" s="136" t="s">
        <v>441</v>
      </c>
      <c r="B147" s="134">
        <v>10</v>
      </c>
      <c r="C147" s="135">
        <v>5</v>
      </c>
      <c r="D147" s="388">
        <v>5</v>
      </c>
      <c r="E147" s="135">
        <v>5</v>
      </c>
      <c r="F147" s="388">
        <v>5</v>
      </c>
      <c r="G147" s="135">
        <v>10</v>
      </c>
      <c r="H147" s="135">
        <v>10</v>
      </c>
      <c r="I147" s="135">
        <v>5</v>
      </c>
      <c r="J147" s="135">
        <v>10</v>
      </c>
      <c r="K147" s="388">
        <v>10</v>
      </c>
      <c r="L147" s="135">
        <v>15</v>
      </c>
      <c r="M147" s="135">
        <v>15</v>
      </c>
      <c r="N147" s="135">
        <v>10</v>
      </c>
      <c r="O147" s="26">
        <f t="shared" si="2"/>
        <v>115</v>
      </c>
    </row>
    <row r="148" spans="1:15" x14ac:dyDescent="0.2">
      <c r="A148" s="136" t="s">
        <v>442</v>
      </c>
      <c r="B148" s="158">
        <v>10</v>
      </c>
      <c r="C148" s="158">
        <v>5</v>
      </c>
      <c r="D148" s="397">
        <v>5</v>
      </c>
      <c r="E148" s="158">
        <v>5</v>
      </c>
      <c r="F148" s="397">
        <v>5</v>
      </c>
      <c r="G148" s="158">
        <v>10</v>
      </c>
      <c r="H148" s="158">
        <v>10</v>
      </c>
      <c r="I148" s="158">
        <v>10</v>
      </c>
      <c r="J148" s="158">
        <v>10</v>
      </c>
      <c r="K148" s="397">
        <v>10</v>
      </c>
      <c r="L148" s="158">
        <v>15</v>
      </c>
      <c r="M148" s="158">
        <v>15</v>
      </c>
      <c r="N148" s="158">
        <v>10</v>
      </c>
      <c r="O148" s="26">
        <f t="shared" si="2"/>
        <v>120</v>
      </c>
    </row>
    <row r="149" spans="1:15" ht="16" x14ac:dyDescent="0.2">
      <c r="A149" s="136" t="s">
        <v>443</v>
      </c>
      <c r="B149" s="159">
        <v>10</v>
      </c>
      <c r="C149" s="160">
        <v>5</v>
      </c>
      <c r="D149" s="398">
        <v>5</v>
      </c>
      <c r="E149" s="160">
        <v>5</v>
      </c>
      <c r="F149" s="398">
        <v>5</v>
      </c>
      <c r="G149" s="160">
        <v>10</v>
      </c>
      <c r="H149" s="160">
        <v>10</v>
      </c>
      <c r="I149" s="160">
        <v>10</v>
      </c>
      <c r="J149" s="160">
        <v>10</v>
      </c>
      <c r="K149" s="398">
        <v>10</v>
      </c>
      <c r="L149" s="160">
        <v>15</v>
      </c>
      <c r="M149" s="160">
        <v>15</v>
      </c>
      <c r="N149" s="160">
        <v>10</v>
      </c>
      <c r="O149" s="26">
        <f t="shared" si="2"/>
        <v>120</v>
      </c>
    </row>
    <row r="150" spans="1:15" x14ac:dyDescent="0.2">
      <c r="A150" s="136" t="s">
        <v>444</v>
      </c>
      <c r="B150" s="128">
        <v>10</v>
      </c>
      <c r="C150" s="129">
        <v>5</v>
      </c>
      <c r="D150" s="385">
        <v>5</v>
      </c>
      <c r="E150" s="129">
        <v>5</v>
      </c>
      <c r="F150" s="385">
        <v>5</v>
      </c>
      <c r="G150" s="129">
        <v>10</v>
      </c>
      <c r="H150" s="129">
        <v>10</v>
      </c>
      <c r="I150" s="129">
        <v>10</v>
      </c>
      <c r="J150" s="129">
        <v>10</v>
      </c>
      <c r="K150" s="385">
        <v>10</v>
      </c>
      <c r="L150" s="129">
        <v>15</v>
      </c>
      <c r="M150" s="129">
        <v>15</v>
      </c>
      <c r="N150" s="129">
        <v>10</v>
      </c>
      <c r="O150" s="26">
        <f t="shared" si="2"/>
        <v>120</v>
      </c>
    </row>
    <row r="151" spans="1:15" x14ac:dyDescent="0.2">
      <c r="A151" s="136" t="s">
        <v>445</v>
      </c>
      <c r="B151" s="128">
        <v>10</v>
      </c>
      <c r="C151" s="129">
        <v>5</v>
      </c>
      <c r="D151" s="385">
        <v>5</v>
      </c>
      <c r="E151" s="129">
        <v>5</v>
      </c>
      <c r="F151" s="385">
        <v>5</v>
      </c>
      <c r="G151" s="129">
        <v>10</v>
      </c>
      <c r="H151" s="129">
        <v>10</v>
      </c>
      <c r="I151" s="129">
        <v>10</v>
      </c>
      <c r="J151" s="129">
        <v>10</v>
      </c>
      <c r="K151" s="385">
        <v>10</v>
      </c>
      <c r="L151" s="129">
        <v>15</v>
      </c>
      <c r="M151" s="129">
        <v>15</v>
      </c>
      <c r="N151" s="129">
        <v>10</v>
      </c>
      <c r="O151" s="26">
        <f t="shared" si="2"/>
        <v>120</v>
      </c>
    </row>
    <row r="152" spans="1:15" ht="16" x14ac:dyDescent="0.2">
      <c r="A152" s="132" t="s">
        <v>446</v>
      </c>
      <c r="B152" s="125">
        <v>10</v>
      </c>
      <c r="C152" s="126">
        <v>5</v>
      </c>
      <c r="D152" s="384">
        <v>5</v>
      </c>
      <c r="E152" s="126">
        <v>5</v>
      </c>
      <c r="F152" s="384">
        <v>5</v>
      </c>
      <c r="G152" s="126">
        <v>10</v>
      </c>
      <c r="H152" s="126">
        <v>10</v>
      </c>
      <c r="I152" s="126">
        <v>10</v>
      </c>
      <c r="J152" s="126">
        <v>10</v>
      </c>
      <c r="K152" s="384">
        <v>10</v>
      </c>
      <c r="L152" s="126">
        <v>15</v>
      </c>
      <c r="M152" s="126">
        <v>15</v>
      </c>
      <c r="N152" s="126">
        <v>10</v>
      </c>
      <c r="O152" s="26">
        <f t="shared" si="2"/>
        <v>120</v>
      </c>
    </row>
    <row r="153" spans="1:15" x14ac:dyDescent="0.2">
      <c r="A153" s="127" t="s">
        <v>447</v>
      </c>
      <c r="B153" s="125">
        <v>10</v>
      </c>
      <c r="C153" s="126">
        <v>5</v>
      </c>
      <c r="D153" s="384">
        <v>5</v>
      </c>
      <c r="E153" s="126">
        <v>5</v>
      </c>
      <c r="F153" s="384">
        <v>5</v>
      </c>
      <c r="G153" s="126">
        <v>5</v>
      </c>
      <c r="H153" s="126">
        <v>5</v>
      </c>
      <c r="I153" s="126">
        <v>10</v>
      </c>
      <c r="J153" s="126">
        <v>5</v>
      </c>
      <c r="K153" s="384">
        <v>5</v>
      </c>
      <c r="L153" s="126">
        <v>10</v>
      </c>
      <c r="M153" s="126">
        <v>15</v>
      </c>
      <c r="N153" s="126">
        <v>10</v>
      </c>
      <c r="O153" s="26">
        <f t="shared" si="2"/>
        <v>95</v>
      </c>
    </row>
    <row r="154" spans="1:15" x14ac:dyDescent="0.2">
      <c r="A154" s="127" t="s">
        <v>448</v>
      </c>
      <c r="B154" s="125">
        <v>10</v>
      </c>
      <c r="C154" s="126">
        <v>5</v>
      </c>
      <c r="D154" s="384">
        <v>5</v>
      </c>
      <c r="E154" s="126">
        <v>5</v>
      </c>
      <c r="F154" s="384">
        <v>5</v>
      </c>
      <c r="G154" s="126">
        <v>10</v>
      </c>
      <c r="H154" s="126">
        <v>10</v>
      </c>
      <c r="I154" s="126">
        <v>10</v>
      </c>
      <c r="J154" s="126">
        <v>10</v>
      </c>
      <c r="K154" s="384">
        <v>10</v>
      </c>
      <c r="L154" s="126">
        <v>15</v>
      </c>
      <c r="M154" s="126">
        <v>15</v>
      </c>
      <c r="N154" s="126">
        <v>10</v>
      </c>
      <c r="O154" s="26">
        <f t="shared" si="2"/>
        <v>120</v>
      </c>
    </row>
    <row r="155" spans="1:15" x14ac:dyDescent="0.2">
      <c r="A155" s="127" t="s">
        <v>449</v>
      </c>
      <c r="B155" s="128">
        <v>10</v>
      </c>
      <c r="C155" s="129">
        <v>5</v>
      </c>
      <c r="D155" s="385">
        <v>5</v>
      </c>
      <c r="E155" s="129">
        <v>5</v>
      </c>
      <c r="F155" s="385">
        <v>5</v>
      </c>
      <c r="G155" s="129">
        <v>10</v>
      </c>
      <c r="H155" s="129">
        <v>10</v>
      </c>
      <c r="I155" s="129">
        <v>10</v>
      </c>
      <c r="J155" s="129">
        <v>10</v>
      </c>
      <c r="K155" s="385">
        <v>10</v>
      </c>
      <c r="L155" s="129">
        <v>15</v>
      </c>
      <c r="M155" s="129">
        <v>15</v>
      </c>
      <c r="N155" s="129">
        <v>10</v>
      </c>
      <c r="O155" s="26">
        <f t="shared" si="2"/>
        <v>120</v>
      </c>
    </row>
    <row r="156" spans="1:15" x14ac:dyDescent="0.2">
      <c r="A156" s="161" t="s">
        <v>450</v>
      </c>
      <c r="B156" s="126">
        <v>10</v>
      </c>
      <c r="C156" s="126">
        <v>5</v>
      </c>
      <c r="D156" s="384">
        <v>5</v>
      </c>
      <c r="E156" s="126">
        <v>5</v>
      </c>
      <c r="F156" s="384">
        <v>5</v>
      </c>
      <c r="G156" s="126">
        <v>5</v>
      </c>
      <c r="H156" s="126">
        <v>10</v>
      </c>
      <c r="I156" s="126">
        <v>10</v>
      </c>
      <c r="J156" s="126">
        <v>5</v>
      </c>
      <c r="K156" s="384">
        <v>5</v>
      </c>
      <c r="L156" s="126">
        <v>15</v>
      </c>
      <c r="M156" s="126">
        <v>15</v>
      </c>
      <c r="N156" s="126">
        <v>10</v>
      </c>
      <c r="O156" s="26">
        <f t="shared" si="2"/>
        <v>105</v>
      </c>
    </row>
    <row r="157" spans="1:15" x14ac:dyDescent="0.2">
      <c r="A157" s="161" t="s">
        <v>451</v>
      </c>
      <c r="B157" s="142">
        <v>10</v>
      </c>
      <c r="C157" s="142">
        <v>5</v>
      </c>
      <c r="D157" s="390">
        <v>5</v>
      </c>
      <c r="E157" s="142">
        <v>5</v>
      </c>
      <c r="F157" s="390">
        <v>5</v>
      </c>
      <c r="G157" s="142">
        <v>5</v>
      </c>
      <c r="H157" s="142">
        <v>10</v>
      </c>
      <c r="I157" s="142">
        <v>5</v>
      </c>
      <c r="J157" s="142">
        <v>10</v>
      </c>
      <c r="K157" s="390">
        <v>10</v>
      </c>
      <c r="L157" s="142">
        <v>10</v>
      </c>
      <c r="M157" s="142">
        <v>15</v>
      </c>
      <c r="N157" s="142">
        <v>10</v>
      </c>
      <c r="O157" s="26">
        <f t="shared" si="2"/>
        <v>105</v>
      </c>
    </row>
    <row r="158" spans="1:15" x14ac:dyDescent="0.2">
      <c r="A158" s="161" t="s">
        <v>452</v>
      </c>
      <c r="B158" s="134">
        <v>10</v>
      </c>
      <c r="C158" s="135">
        <v>5</v>
      </c>
      <c r="D158" s="388">
        <v>5</v>
      </c>
      <c r="E158" s="135">
        <v>5</v>
      </c>
      <c r="F158" s="388">
        <v>5</v>
      </c>
      <c r="G158" s="135">
        <v>10</v>
      </c>
      <c r="H158" s="135">
        <v>10</v>
      </c>
      <c r="I158" s="135">
        <v>10</v>
      </c>
      <c r="J158" s="135">
        <v>10</v>
      </c>
      <c r="K158" s="388">
        <v>10</v>
      </c>
      <c r="L158" s="135">
        <v>15</v>
      </c>
      <c r="M158" s="135">
        <v>15</v>
      </c>
      <c r="N158" s="135">
        <v>10</v>
      </c>
      <c r="O158" s="26">
        <f t="shared" si="2"/>
        <v>120</v>
      </c>
    </row>
    <row r="159" spans="1:15" ht="16" x14ac:dyDescent="0.2">
      <c r="A159" s="161" t="s">
        <v>453</v>
      </c>
      <c r="B159" s="162">
        <v>10</v>
      </c>
      <c r="C159" s="163">
        <v>5</v>
      </c>
      <c r="D159" s="399">
        <v>5</v>
      </c>
      <c r="E159" s="163">
        <v>5</v>
      </c>
      <c r="F159" s="399">
        <v>5</v>
      </c>
      <c r="G159" s="163">
        <v>10</v>
      </c>
      <c r="H159" s="163">
        <v>10</v>
      </c>
      <c r="I159" s="163">
        <v>10</v>
      </c>
      <c r="J159" s="163">
        <v>10</v>
      </c>
      <c r="K159" s="399">
        <v>10</v>
      </c>
      <c r="L159" s="163">
        <v>15</v>
      </c>
      <c r="M159" s="163">
        <v>15</v>
      </c>
      <c r="N159" s="163">
        <v>10</v>
      </c>
      <c r="O159" s="26">
        <f t="shared" si="2"/>
        <v>120</v>
      </c>
    </row>
    <row r="160" spans="1:15" x14ac:dyDescent="0.2">
      <c r="A160" s="161" t="s">
        <v>454</v>
      </c>
      <c r="B160" s="166">
        <v>10</v>
      </c>
      <c r="C160" s="167">
        <v>5</v>
      </c>
      <c r="D160" s="400">
        <v>5</v>
      </c>
      <c r="E160" s="167">
        <v>5</v>
      </c>
      <c r="F160" s="400">
        <v>5</v>
      </c>
      <c r="G160" s="167">
        <v>10</v>
      </c>
      <c r="H160" s="167">
        <v>10</v>
      </c>
      <c r="I160" s="167">
        <v>10</v>
      </c>
      <c r="J160" s="167">
        <v>10</v>
      </c>
      <c r="K160" s="400">
        <v>10</v>
      </c>
      <c r="L160" s="167">
        <v>15</v>
      </c>
      <c r="M160" s="167">
        <v>15</v>
      </c>
      <c r="N160" s="167">
        <v>10</v>
      </c>
      <c r="O160" s="26">
        <f t="shared" si="2"/>
        <v>120</v>
      </c>
    </row>
    <row r="161" spans="1:15" ht="16" x14ac:dyDescent="0.2">
      <c r="A161" s="168" t="s">
        <v>455</v>
      </c>
      <c r="B161" s="125">
        <v>10</v>
      </c>
      <c r="C161" s="126">
        <v>5</v>
      </c>
      <c r="D161" s="384">
        <v>5</v>
      </c>
      <c r="E161" s="126">
        <v>5</v>
      </c>
      <c r="F161" s="384">
        <v>5</v>
      </c>
      <c r="G161" s="126">
        <v>10</v>
      </c>
      <c r="H161" s="126">
        <v>10</v>
      </c>
      <c r="I161" s="126">
        <v>10</v>
      </c>
      <c r="J161" s="126">
        <v>10</v>
      </c>
      <c r="K161" s="384">
        <v>10</v>
      </c>
      <c r="L161" s="126">
        <v>15</v>
      </c>
      <c r="M161" s="126">
        <v>15</v>
      </c>
      <c r="N161" s="126">
        <v>10</v>
      </c>
      <c r="O161" s="26">
        <f t="shared" si="2"/>
        <v>120</v>
      </c>
    </row>
    <row r="162" spans="1:15" ht="16" x14ac:dyDescent="0.2">
      <c r="A162" s="168" t="s">
        <v>456</v>
      </c>
      <c r="B162" s="128">
        <v>5</v>
      </c>
      <c r="C162" s="129">
        <v>5</v>
      </c>
      <c r="D162" s="385">
        <v>5</v>
      </c>
      <c r="E162" s="378">
        <v>10</v>
      </c>
      <c r="F162" s="385">
        <v>5</v>
      </c>
      <c r="G162" s="129">
        <v>10</v>
      </c>
      <c r="H162" s="129">
        <v>5</v>
      </c>
      <c r="I162" s="129">
        <v>10</v>
      </c>
      <c r="J162" s="129">
        <v>10</v>
      </c>
      <c r="K162" s="385">
        <v>10</v>
      </c>
      <c r="L162" s="129">
        <v>15</v>
      </c>
      <c r="M162" s="129">
        <v>15</v>
      </c>
      <c r="N162" s="129">
        <v>10</v>
      </c>
      <c r="O162" s="26">
        <f t="shared" si="2"/>
        <v>115</v>
      </c>
    </row>
    <row r="163" spans="1:15" ht="16" x14ac:dyDescent="0.2">
      <c r="A163" s="168" t="s">
        <v>457</v>
      </c>
      <c r="B163" s="164">
        <v>10</v>
      </c>
      <c r="C163" s="165">
        <v>5</v>
      </c>
      <c r="D163" s="401">
        <v>5</v>
      </c>
      <c r="E163" s="165">
        <v>5</v>
      </c>
      <c r="F163" s="401">
        <v>5</v>
      </c>
      <c r="G163" s="165">
        <v>5</v>
      </c>
      <c r="H163" s="165">
        <v>10</v>
      </c>
      <c r="I163" s="165">
        <v>10</v>
      </c>
      <c r="J163" s="165">
        <v>10</v>
      </c>
      <c r="K163" s="401">
        <v>10</v>
      </c>
      <c r="L163" s="165">
        <v>15</v>
      </c>
      <c r="M163" s="165">
        <v>10</v>
      </c>
      <c r="N163" s="165">
        <v>10</v>
      </c>
      <c r="O163" s="26">
        <f t="shared" si="2"/>
        <v>110</v>
      </c>
    </row>
    <row r="164" spans="1:15" ht="16" x14ac:dyDescent="0.2">
      <c r="A164" s="168" t="s">
        <v>458</v>
      </c>
      <c r="B164" s="166">
        <v>10</v>
      </c>
      <c r="C164" s="167">
        <v>5</v>
      </c>
      <c r="D164" s="400">
        <v>5</v>
      </c>
      <c r="E164" s="167">
        <v>5</v>
      </c>
      <c r="F164" s="400">
        <v>5</v>
      </c>
      <c r="G164" s="167">
        <v>10</v>
      </c>
      <c r="H164" s="167">
        <v>10</v>
      </c>
      <c r="I164" s="167">
        <v>10</v>
      </c>
      <c r="J164" s="167">
        <v>10</v>
      </c>
      <c r="K164" s="400">
        <v>10</v>
      </c>
      <c r="L164" s="167">
        <v>15</v>
      </c>
      <c r="M164" s="167">
        <v>15</v>
      </c>
      <c r="N164" s="167">
        <v>10</v>
      </c>
      <c r="O164" s="26">
        <f t="shared" si="2"/>
        <v>120</v>
      </c>
    </row>
    <row r="165" spans="1:15" ht="16" x14ac:dyDescent="0.2">
      <c r="A165" s="168" t="s">
        <v>459</v>
      </c>
      <c r="B165" s="164">
        <v>10</v>
      </c>
      <c r="C165" s="165">
        <v>5</v>
      </c>
      <c r="D165" s="401">
        <v>5</v>
      </c>
      <c r="E165" s="165">
        <v>5</v>
      </c>
      <c r="F165" s="401">
        <v>5</v>
      </c>
      <c r="G165" s="165">
        <v>10</v>
      </c>
      <c r="H165" s="165">
        <v>10</v>
      </c>
      <c r="I165" s="165">
        <v>10</v>
      </c>
      <c r="J165" s="165">
        <v>10</v>
      </c>
      <c r="K165" s="401">
        <v>10</v>
      </c>
      <c r="L165" s="165">
        <v>15</v>
      </c>
      <c r="M165" s="165">
        <v>15</v>
      </c>
      <c r="N165" s="165">
        <v>10</v>
      </c>
      <c r="O165" s="26">
        <f t="shared" si="2"/>
        <v>120</v>
      </c>
    </row>
    <row r="166" spans="1:15" ht="16" x14ac:dyDescent="0.2">
      <c r="A166" s="168" t="s">
        <v>460</v>
      </c>
      <c r="B166" s="164">
        <v>10</v>
      </c>
      <c r="C166" s="165">
        <v>5</v>
      </c>
      <c r="D166" s="401">
        <v>5</v>
      </c>
      <c r="E166" s="165">
        <v>5</v>
      </c>
      <c r="F166" s="401">
        <v>5</v>
      </c>
      <c r="G166" s="165">
        <v>10</v>
      </c>
      <c r="H166" s="165">
        <v>10</v>
      </c>
      <c r="I166" s="165">
        <v>10</v>
      </c>
      <c r="J166" s="165">
        <v>10</v>
      </c>
      <c r="K166" s="401">
        <v>10</v>
      </c>
      <c r="L166" s="165">
        <v>15</v>
      </c>
      <c r="M166" s="165">
        <v>15</v>
      </c>
      <c r="N166" s="165">
        <v>10</v>
      </c>
      <c r="O166" s="26">
        <f t="shared" si="2"/>
        <v>120</v>
      </c>
    </row>
    <row r="167" spans="1:15" ht="17" thickBot="1" x14ac:dyDescent="0.25">
      <c r="A167" s="169" t="s">
        <v>461</v>
      </c>
      <c r="B167" s="170">
        <v>5</v>
      </c>
      <c r="C167" s="171">
        <v>5</v>
      </c>
      <c r="D167" s="402">
        <v>5</v>
      </c>
      <c r="E167" s="171">
        <v>5</v>
      </c>
      <c r="F167" s="402">
        <v>5</v>
      </c>
      <c r="G167" s="171">
        <v>5</v>
      </c>
      <c r="H167" s="171">
        <v>10</v>
      </c>
      <c r="I167" s="171">
        <v>10</v>
      </c>
      <c r="J167" s="171">
        <v>10</v>
      </c>
      <c r="K167" s="402">
        <v>10</v>
      </c>
      <c r="L167" s="171">
        <v>10</v>
      </c>
      <c r="M167" s="171">
        <v>10</v>
      </c>
      <c r="N167" s="171">
        <v>10</v>
      </c>
      <c r="O167" s="26">
        <f t="shared" si="2"/>
        <v>100</v>
      </c>
    </row>
    <row r="168" spans="1:15" x14ac:dyDescent="0.2">
      <c r="A168" s="172" t="s">
        <v>462</v>
      </c>
      <c r="B168" s="125">
        <v>10</v>
      </c>
      <c r="C168" s="126">
        <v>5</v>
      </c>
      <c r="D168" s="384">
        <v>5</v>
      </c>
      <c r="E168" s="126">
        <v>5</v>
      </c>
      <c r="F168" s="384">
        <v>5</v>
      </c>
      <c r="G168" s="126">
        <v>10</v>
      </c>
      <c r="H168" s="126">
        <v>10</v>
      </c>
      <c r="I168" s="126">
        <v>10</v>
      </c>
      <c r="J168" s="126">
        <v>10</v>
      </c>
      <c r="K168" s="384">
        <v>10</v>
      </c>
      <c r="L168" s="126">
        <v>15</v>
      </c>
      <c r="M168" s="126">
        <v>15</v>
      </c>
      <c r="N168" s="126">
        <v>10</v>
      </c>
      <c r="O168" s="26">
        <f t="shared" si="2"/>
        <v>120</v>
      </c>
    </row>
    <row r="169" spans="1:15" ht="16" x14ac:dyDescent="0.2">
      <c r="A169" s="132" t="s">
        <v>463</v>
      </c>
      <c r="B169" s="166">
        <v>10</v>
      </c>
      <c r="C169" s="167">
        <v>5</v>
      </c>
      <c r="D169" s="400">
        <v>5</v>
      </c>
      <c r="E169" s="167">
        <v>5</v>
      </c>
      <c r="F169" s="400">
        <v>5</v>
      </c>
      <c r="G169" s="167">
        <v>10</v>
      </c>
      <c r="H169" s="167">
        <v>10</v>
      </c>
      <c r="I169" s="167">
        <v>10</v>
      </c>
      <c r="J169" s="167">
        <v>10</v>
      </c>
      <c r="K169" s="400">
        <v>10</v>
      </c>
      <c r="L169" s="167">
        <v>15</v>
      </c>
      <c r="M169" s="167">
        <v>15</v>
      </c>
      <c r="N169" s="167">
        <v>10</v>
      </c>
      <c r="O169" s="26">
        <f t="shared" si="2"/>
        <v>120</v>
      </c>
    </row>
    <row r="170" spans="1:15" ht="17" thickBot="1" x14ac:dyDescent="0.25">
      <c r="A170" s="132" t="s">
        <v>464</v>
      </c>
      <c r="B170" s="137">
        <v>10</v>
      </c>
      <c r="C170" s="138">
        <v>5</v>
      </c>
      <c r="D170" s="389">
        <v>5</v>
      </c>
      <c r="E170" s="138">
        <v>5</v>
      </c>
      <c r="F170" s="389">
        <v>5</v>
      </c>
      <c r="G170" s="138">
        <v>10</v>
      </c>
      <c r="H170" s="138">
        <v>5</v>
      </c>
      <c r="I170" s="138">
        <v>10</v>
      </c>
      <c r="J170" s="138">
        <v>10</v>
      </c>
      <c r="K170" s="389">
        <v>10</v>
      </c>
      <c r="L170" s="138">
        <v>10</v>
      </c>
      <c r="M170" s="138">
        <v>15</v>
      </c>
      <c r="N170" s="138">
        <v>10</v>
      </c>
      <c r="O170" s="26">
        <f t="shared" si="2"/>
        <v>110</v>
      </c>
    </row>
    <row r="171" spans="1:15" ht="16" x14ac:dyDescent="0.2">
      <c r="A171" s="127" t="s">
        <v>465</v>
      </c>
      <c r="B171" s="173">
        <v>10</v>
      </c>
      <c r="C171" s="174">
        <v>5</v>
      </c>
      <c r="D171" s="403">
        <v>5</v>
      </c>
      <c r="E171" s="174">
        <v>5</v>
      </c>
      <c r="F171" s="403">
        <v>5</v>
      </c>
      <c r="G171" s="174">
        <v>10</v>
      </c>
      <c r="H171" s="174">
        <v>10</v>
      </c>
      <c r="I171" s="174">
        <v>10</v>
      </c>
      <c r="J171" s="174">
        <v>10</v>
      </c>
      <c r="K171" s="403">
        <v>10</v>
      </c>
      <c r="L171" s="174">
        <v>15</v>
      </c>
      <c r="M171" s="174">
        <v>15</v>
      </c>
      <c r="N171" s="174">
        <v>10</v>
      </c>
      <c r="O171" s="26">
        <f t="shared" si="2"/>
        <v>120</v>
      </c>
    </row>
    <row r="172" spans="1:15" x14ac:dyDescent="0.2">
      <c r="A172" s="127" t="s">
        <v>466</v>
      </c>
      <c r="B172" s="128">
        <v>10</v>
      </c>
      <c r="C172" s="129">
        <v>5</v>
      </c>
      <c r="D172" s="385">
        <v>5</v>
      </c>
      <c r="E172" s="129">
        <v>5</v>
      </c>
      <c r="F172" s="385">
        <v>5</v>
      </c>
      <c r="G172" s="129">
        <v>10</v>
      </c>
      <c r="H172" s="129">
        <v>5</v>
      </c>
      <c r="I172" s="129">
        <v>10</v>
      </c>
      <c r="J172" s="129">
        <v>10</v>
      </c>
      <c r="K172" s="385">
        <v>10</v>
      </c>
      <c r="L172" s="129">
        <v>10</v>
      </c>
      <c r="M172" s="129">
        <v>15</v>
      </c>
      <c r="N172" s="129">
        <v>5</v>
      </c>
      <c r="O172" s="26">
        <f t="shared" si="2"/>
        <v>105</v>
      </c>
    </row>
    <row r="173" spans="1:15" ht="16" x14ac:dyDescent="0.2">
      <c r="A173" s="132" t="s">
        <v>467</v>
      </c>
      <c r="B173" s="125">
        <v>10</v>
      </c>
      <c r="C173" s="126">
        <v>5</v>
      </c>
      <c r="D173" s="384">
        <v>5</v>
      </c>
      <c r="E173" s="126">
        <v>5</v>
      </c>
      <c r="F173" s="384">
        <v>5</v>
      </c>
      <c r="G173" s="126">
        <v>10</v>
      </c>
      <c r="H173" s="126">
        <v>10</v>
      </c>
      <c r="I173" s="126">
        <v>10</v>
      </c>
      <c r="J173" s="126">
        <v>10</v>
      </c>
      <c r="K173" s="384">
        <v>10</v>
      </c>
      <c r="L173" s="126">
        <v>15</v>
      </c>
      <c r="M173" s="126">
        <v>15</v>
      </c>
      <c r="N173" s="126">
        <v>10</v>
      </c>
      <c r="O173" s="26">
        <f t="shared" si="2"/>
        <v>120</v>
      </c>
    </row>
    <row r="174" spans="1:15" ht="16" x14ac:dyDescent="0.2">
      <c r="A174" s="132" t="s">
        <v>468</v>
      </c>
      <c r="B174" s="144">
        <v>10</v>
      </c>
      <c r="C174" s="145">
        <v>5</v>
      </c>
      <c r="D174" s="392">
        <v>5</v>
      </c>
      <c r="E174" s="145">
        <v>0</v>
      </c>
      <c r="F174" s="392">
        <v>0</v>
      </c>
      <c r="G174" s="145">
        <v>5</v>
      </c>
      <c r="H174" s="145">
        <v>10</v>
      </c>
      <c r="I174" s="145">
        <v>5</v>
      </c>
      <c r="J174" s="145">
        <v>5</v>
      </c>
      <c r="K174" s="392">
        <v>5</v>
      </c>
      <c r="L174" s="145">
        <v>10</v>
      </c>
      <c r="M174" s="145">
        <v>10</v>
      </c>
      <c r="N174" s="145">
        <v>5</v>
      </c>
      <c r="O174" s="26">
        <f t="shared" si="2"/>
        <v>75</v>
      </c>
    </row>
    <row r="175" spans="1:15" ht="16" x14ac:dyDescent="0.2">
      <c r="A175" s="132" t="s">
        <v>469</v>
      </c>
      <c r="B175" s="125">
        <v>10</v>
      </c>
      <c r="C175" s="126">
        <v>5</v>
      </c>
      <c r="D175" s="384">
        <v>5</v>
      </c>
      <c r="E175" s="126">
        <v>5</v>
      </c>
      <c r="F175" s="384">
        <v>5</v>
      </c>
      <c r="G175" s="126">
        <v>5</v>
      </c>
      <c r="H175" s="126">
        <v>10</v>
      </c>
      <c r="I175" s="126">
        <v>10</v>
      </c>
      <c r="J175" s="126">
        <v>5</v>
      </c>
      <c r="K175" s="384">
        <v>5</v>
      </c>
      <c r="L175" s="126">
        <v>10</v>
      </c>
      <c r="M175" s="126">
        <v>10</v>
      </c>
      <c r="N175" s="126">
        <v>5</v>
      </c>
      <c r="O175" s="26">
        <f t="shared" si="2"/>
        <v>90</v>
      </c>
    </row>
    <row r="176" spans="1:15" ht="16" x14ac:dyDescent="0.2">
      <c r="A176" s="132" t="s">
        <v>470</v>
      </c>
      <c r="B176" s="128">
        <v>10</v>
      </c>
      <c r="C176" s="129">
        <v>5</v>
      </c>
      <c r="D176" s="385">
        <v>5</v>
      </c>
      <c r="E176" s="129">
        <v>5</v>
      </c>
      <c r="F176" s="385">
        <v>5</v>
      </c>
      <c r="G176" s="129">
        <v>5</v>
      </c>
      <c r="H176" s="129">
        <v>5</v>
      </c>
      <c r="I176" s="129">
        <v>10</v>
      </c>
      <c r="J176" s="129">
        <v>10</v>
      </c>
      <c r="K176" s="385">
        <v>10</v>
      </c>
      <c r="L176" s="129">
        <v>10</v>
      </c>
      <c r="M176" s="129">
        <v>15</v>
      </c>
      <c r="N176" s="129">
        <v>10</v>
      </c>
      <c r="O176" s="26">
        <f t="shared" si="2"/>
        <v>105</v>
      </c>
    </row>
    <row r="177" spans="1:15" ht="16" x14ac:dyDescent="0.2">
      <c r="A177" s="132" t="s">
        <v>471</v>
      </c>
      <c r="B177" s="128">
        <v>10</v>
      </c>
      <c r="C177" s="129">
        <v>5</v>
      </c>
      <c r="D177" s="385">
        <v>5</v>
      </c>
      <c r="E177" s="129">
        <v>5</v>
      </c>
      <c r="F177" s="385">
        <v>5</v>
      </c>
      <c r="G177" s="129">
        <v>5</v>
      </c>
      <c r="H177" s="129">
        <v>10</v>
      </c>
      <c r="I177" s="129">
        <v>10</v>
      </c>
      <c r="J177" s="129">
        <v>10</v>
      </c>
      <c r="K177" s="385">
        <v>10</v>
      </c>
      <c r="L177" s="129">
        <v>15</v>
      </c>
      <c r="M177" s="129">
        <v>15</v>
      </c>
      <c r="N177" s="129">
        <v>10</v>
      </c>
      <c r="O177" s="26">
        <f t="shared" si="2"/>
        <v>115</v>
      </c>
    </row>
    <row r="178" spans="1:15" ht="16" x14ac:dyDescent="0.2">
      <c r="A178" s="132" t="s">
        <v>472</v>
      </c>
      <c r="B178" s="128">
        <v>10</v>
      </c>
      <c r="C178" s="129">
        <v>5</v>
      </c>
      <c r="D178" s="385">
        <v>5</v>
      </c>
      <c r="E178" s="129">
        <v>5</v>
      </c>
      <c r="F178" s="385">
        <v>5</v>
      </c>
      <c r="G178" s="129">
        <v>10</v>
      </c>
      <c r="H178" s="129">
        <v>10</v>
      </c>
      <c r="I178" s="129">
        <v>10</v>
      </c>
      <c r="J178" s="129">
        <v>10</v>
      </c>
      <c r="K178" s="385">
        <v>10</v>
      </c>
      <c r="L178" s="129">
        <v>15</v>
      </c>
      <c r="M178" s="129">
        <v>15</v>
      </c>
      <c r="N178" s="129">
        <v>10</v>
      </c>
      <c r="O178" s="26">
        <f t="shared" si="2"/>
        <v>120</v>
      </c>
    </row>
    <row r="179" spans="1:15" ht="16" x14ac:dyDescent="0.2">
      <c r="A179" s="132" t="s">
        <v>473</v>
      </c>
      <c r="B179" s="128">
        <v>10</v>
      </c>
      <c r="C179" s="129">
        <v>5</v>
      </c>
      <c r="D179" s="385">
        <v>5</v>
      </c>
      <c r="E179" s="129">
        <v>5</v>
      </c>
      <c r="F179" s="385">
        <v>5</v>
      </c>
      <c r="G179" s="129">
        <v>10</v>
      </c>
      <c r="H179" s="129">
        <v>10</v>
      </c>
      <c r="I179" s="129">
        <v>10</v>
      </c>
      <c r="J179" s="129">
        <v>10</v>
      </c>
      <c r="K179" s="385">
        <v>10</v>
      </c>
      <c r="L179" s="129">
        <v>15</v>
      </c>
      <c r="M179" s="129">
        <v>15</v>
      </c>
      <c r="N179" s="129">
        <v>10</v>
      </c>
      <c r="O179" s="26">
        <f t="shared" si="2"/>
        <v>120</v>
      </c>
    </row>
    <row r="180" spans="1:15" ht="16" x14ac:dyDescent="0.2">
      <c r="A180" s="132" t="s">
        <v>474</v>
      </c>
      <c r="B180" s="128">
        <v>10</v>
      </c>
      <c r="C180" s="129">
        <v>5</v>
      </c>
      <c r="D180" s="385">
        <v>5</v>
      </c>
      <c r="E180" s="129">
        <v>5</v>
      </c>
      <c r="F180" s="385">
        <v>5</v>
      </c>
      <c r="G180" s="129">
        <v>5</v>
      </c>
      <c r="H180" s="129">
        <v>10</v>
      </c>
      <c r="I180" s="129">
        <v>10</v>
      </c>
      <c r="J180" s="129">
        <v>5</v>
      </c>
      <c r="K180" s="385">
        <v>5</v>
      </c>
      <c r="L180" s="129">
        <v>15</v>
      </c>
      <c r="M180" s="129">
        <v>15</v>
      </c>
      <c r="N180" s="129">
        <v>10</v>
      </c>
      <c r="O180" s="26">
        <f t="shared" si="2"/>
        <v>105</v>
      </c>
    </row>
    <row r="181" spans="1:15" ht="16" x14ac:dyDescent="0.2">
      <c r="A181" s="175" t="s">
        <v>475</v>
      </c>
      <c r="B181" s="128">
        <v>5</v>
      </c>
      <c r="C181" s="129">
        <v>5</v>
      </c>
      <c r="D181" s="385">
        <v>5</v>
      </c>
      <c r="E181" s="129">
        <v>5</v>
      </c>
      <c r="F181" s="385">
        <v>5</v>
      </c>
      <c r="G181" s="129">
        <v>5</v>
      </c>
      <c r="H181" s="129">
        <v>10</v>
      </c>
      <c r="I181" s="129">
        <v>5</v>
      </c>
      <c r="J181" s="129">
        <v>5</v>
      </c>
      <c r="K181" s="385">
        <v>5</v>
      </c>
      <c r="L181" s="129">
        <v>10</v>
      </c>
      <c r="M181" s="129">
        <v>10</v>
      </c>
      <c r="N181" s="129">
        <v>5</v>
      </c>
      <c r="O181" s="26">
        <f t="shared" si="2"/>
        <v>80</v>
      </c>
    </row>
    <row r="182" spans="1:15" ht="16" x14ac:dyDescent="0.2">
      <c r="A182" s="168" t="s">
        <v>476</v>
      </c>
      <c r="B182" s="128">
        <v>10</v>
      </c>
      <c r="C182" s="129">
        <v>5</v>
      </c>
      <c r="D182" s="385">
        <v>5</v>
      </c>
      <c r="E182" s="129">
        <v>5</v>
      </c>
      <c r="F182" s="385">
        <v>5</v>
      </c>
      <c r="G182" s="129">
        <v>10</v>
      </c>
      <c r="H182" s="129">
        <v>10</v>
      </c>
      <c r="I182" s="129">
        <v>10</v>
      </c>
      <c r="J182" s="129">
        <v>10</v>
      </c>
      <c r="K182" s="385">
        <v>10</v>
      </c>
      <c r="L182" s="129">
        <v>15</v>
      </c>
      <c r="M182" s="129">
        <v>15</v>
      </c>
      <c r="N182" s="129">
        <v>10</v>
      </c>
      <c r="O182" s="26">
        <f t="shared" si="2"/>
        <v>120</v>
      </c>
    </row>
    <row r="183" spans="1:15" ht="16" x14ac:dyDescent="0.2">
      <c r="A183" s="168" t="s">
        <v>477</v>
      </c>
      <c r="B183" s="128">
        <v>10</v>
      </c>
      <c r="C183" s="129">
        <v>5</v>
      </c>
      <c r="D183" s="385">
        <v>5</v>
      </c>
      <c r="E183" s="129">
        <v>5</v>
      </c>
      <c r="F183" s="385">
        <v>5</v>
      </c>
      <c r="G183" s="129">
        <v>5</v>
      </c>
      <c r="H183" s="129">
        <v>10</v>
      </c>
      <c r="I183" s="129">
        <v>10</v>
      </c>
      <c r="J183" s="129">
        <v>10</v>
      </c>
      <c r="K183" s="385">
        <v>10</v>
      </c>
      <c r="L183" s="129">
        <v>15</v>
      </c>
      <c r="M183" s="129">
        <v>15</v>
      </c>
      <c r="N183" s="129">
        <v>10</v>
      </c>
      <c r="O183" s="26">
        <f t="shared" si="2"/>
        <v>115</v>
      </c>
    </row>
    <row r="184" spans="1:15" ht="16" x14ac:dyDescent="0.2">
      <c r="A184" s="168" t="s">
        <v>478</v>
      </c>
      <c r="B184" s="128">
        <v>10</v>
      </c>
      <c r="C184" s="129">
        <v>5</v>
      </c>
      <c r="D184" s="385">
        <v>5</v>
      </c>
      <c r="E184" s="129">
        <v>5</v>
      </c>
      <c r="F184" s="385">
        <v>5</v>
      </c>
      <c r="G184" s="129">
        <v>5</v>
      </c>
      <c r="H184" s="129">
        <v>5</v>
      </c>
      <c r="I184" s="129">
        <v>5</v>
      </c>
      <c r="J184" s="129">
        <v>5</v>
      </c>
      <c r="K184" s="385">
        <v>5</v>
      </c>
      <c r="L184" s="129">
        <v>5</v>
      </c>
      <c r="M184" s="129">
        <v>10</v>
      </c>
      <c r="N184" s="129">
        <v>5</v>
      </c>
      <c r="O184" s="26">
        <f t="shared" si="2"/>
        <v>75</v>
      </c>
    </row>
    <row r="185" spans="1:15" ht="16" x14ac:dyDescent="0.2">
      <c r="A185" s="168" t="s">
        <v>479</v>
      </c>
      <c r="B185" s="128">
        <v>5</v>
      </c>
      <c r="C185" s="129">
        <v>0</v>
      </c>
      <c r="D185" s="385">
        <v>0</v>
      </c>
      <c r="E185" s="129">
        <v>0</v>
      </c>
      <c r="F185" s="385">
        <v>0</v>
      </c>
      <c r="G185" s="129">
        <v>5</v>
      </c>
      <c r="H185" s="129">
        <v>5</v>
      </c>
      <c r="I185" s="129">
        <v>5</v>
      </c>
      <c r="J185" s="129">
        <v>5</v>
      </c>
      <c r="K185" s="385">
        <v>5</v>
      </c>
      <c r="L185" s="129">
        <v>5</v>
      </c>
      <c r="M185" s="129">
        <v>5</v>
      </c>
      <c r="N185" s="129">
        <v>5</v>
      </c>
      <c r="O185" s="26">
        <f t="shared" si="2"/>
        <v>45</v>
      </c>
    </row>
    <row r="186" spans="1:15" ht="16" x14ac:dyDescent="0.2">
      <c r="A186" s="168" t="s">
        <v>480</v>
      </c>
      <c r="B186" s="128">
        <v>10</v>
      </c>
      <c r="C186" s="129">
        <v>5</v>
      </c>
      <c r="D186" s="385">
        <v>5</v>
      </c>
      <c r="E186" s="129">
        <v>5</v>
      </c>
      <c r="F186" s="385">
        <v>5</v>
      </c>
      <c r="G186" s="129">
        <v>10</v>
      </c>
      <c r="H186" s="129">
        <v>10</v>
      </c>
      <c r="I186" s="129">
        <v>10</v>
      </c>
      <c r="J186" s="129">
        <v>10</v>
      </c>
      <c r="K186" s="385">
        <v>10</v>
      </c>
      <c r="L186" s="129">
        <v>10</v>
      </c>
      <c r="M186" s="129">
        <v>15</v>
      </c>
      <c r="N186" s="129">
        <v>10</v>
      </c>
      <c r="O186" s="26">
        <f t="shared" si="2"/>
        <v>115</v>
      </c>
    </row>
    <row r="187" spans="1:15" ht="16" x14ac:dyDescent="0.2">
      <c r="A187" s="168" t="s">
        <v>481</v>
      </c>
      <c r="B187" s="128">
        <v>10</v>
      </c>
      <c r="C187" s="129">
        <v>5</v>
      </c>
      <c r="D187" s="385">
        <v>5</v>
      </c>
      <c r="E187" s="129">
        <v>5</v>
      </c>
      <c r="F187" s="385">
        <v>5</v>
      </c>
      <c r="G187" s="129">
        <v>10</v>
      </c>
      <c r="H187" s="129">
        <v>5</v>
      </c>
      <c r="I187" s="129">
        <v>10</v>
      </c>
      <c r="J187" s="129">
        <v>10</v>
      </c>
      <c r="K187" s="385">
        <v>10</v>
      </c>
      <c r="L187" s="129">
        <v>10</v>
      </c>
      <c r="M187" s="129">
        <v>15</v>
      </c>
      <c r="N187" s="129">
        <v>10</v>
      </c>
      <c r="O187" s="26">
        <f t="shared" si="2"/>
        <v>110</v>
      </c>
    </row>
    <row r="188" spans="1:15" ht="16" x14ac:dyDescent="0.2">
      <c r="A188" s="168" t="s">
        <v>482</v>
      </c>
      <c r="B188" s="128">
        <v>10</v>
      </c>
      <c r="C188" s="129">
        <v>5</v>
      </c>
      <c r="D188" s="385">
        <v>5</v>
      </c>
      <c r="E188" s="129">
        <v>5</v>
      </c>
      <c r="F188" s="385">
        <v>5</v>
      </c>
      <c r="G188" s="129">
        <v>10</v>
      </c>
      <c r="H188" s="129">
        <v>10</v>
      </c>
      <c r="I188" s="129">
        <v>5</v>
      </c>
      <c r="J188" s="129">
        <v>10</v>
      </c>
      <c r="K188" s="385">
        <v>10</v>
      </c>
      <c r="L188" s="129">
        <v>15</v>
      </c>
      <c r="M188" s="129">
        <v>15</v>
      </c>
      <c r="N188" s="129">
        <v>10</v>
      </c>
      <c r="O188" s="26">
        <f t="shared" si="2"/>
        <v>115</v>
      </c>
    </row>
    <row r="189" spans="1:15" ht="16" x14ac:dyDescent="0.2">
      <c r="A189" s="168" t="s">
        <v>483</v>
      </c>
      <c r="B189" s="128">
        <v>10</v>
      </c>
      <c r="C189" s="129">
        <v>5</v>
      </c>
      <c r="D189" s="385">
        <v>5</v>
      </c>
      <c r="E189" s="129">
        <v>5</v>
      </c>
      <c r="F189" s="385">
        <v>5</v>
      </c>
      <c r="G189" s="129">
        <v>10</v>
      </c>
      <c r="H189" s="129">
        <v>10</v>
      </c>
      <c r="I189" s="129">
        <v>10</v>
      </c>
      <c r="J189" s="129">
        <v>10</v>
      </c>
      <c r="K189" s="385">
        <v>10</v>
      </c>
      <c r="L189" s="129">
        <v>15</v>
      </c>
      <c r="M189" s="129">
        <v>15</v>
      </c>
      <c r="N189" s="129">
        <v>10</v>
      </c>
      <c r="O189" s="26">
        <f t="shared" si="2"/>
        <v>120</v>
      </c>
    </row>
    <row r="190" spans="1:15" ht="16" x14ac:dyDescent="0.2">
      <c r="A190" s="168" t="s">
        <v>484</v>
      </c>
      <c r="B190" s="164">
        <v>10</v>
      </c>
      <c r="C190" s="165">
        <v>5</v>
      </c>
      <c r="D190" s="401">
        <v>5</v>
      </c>
      <c r="E190" s="165">
        <v>5</v>
      </c>
      <c r="F190" s="401">
        <v>5</v>
      </c>
      <c r="G190" s="165">
        <v>10</v>
      </c>
      <c r="H190" s="165">
        <v>10</v>
      </c>
      <c r="I190" s="165">
        <v>10</v>
      </c>
      <c r="J190" s="165">
        <v>10</v>
      </c>
      <c r="K190" s="401">
        <v>10</v>
      </c>
      <c r="L190" s="165">
        <v>15</v>
      </c>
      <c r="M190" s="165">
        <v>15</v>
      </c>
      <c r="N190" s="165">
        <v>10</v>
      </c>
      <c r="O190" s="26">
        <f t="shared" si="2"/>
        <v>120</v>
      </c>
    </row>
    <row r="191" spans="1:15" ht="16" x14ac:dyDescent="0.2">
      <c r="A191" s="168" t="s">
        <v>485</v>
      </c>
      <c r="B191" s="164">
        <v>10</v>
      </c>
      <c r="C191" s="165">
        <v>5</v>
      </c>
      <c r="D191" s="401">
        <v>5</v>
      </c>
      <c r="E191" s="165">
        <v>5</v>
      </c>
      <c r="F191" s="401">
        <v>5</v>
      </c>
      <c r="G191" s="165">
        <v>10</v>
      </c>
      <c r="H191" s="165">
        <v>10</v>
      </c>
      <c r="I191" s="165">
        <v>10</v>
      </c>
      <c r="J191" s="165">
        <v>10</v>
      </c>
      <c r="K191" s="401">
        <v>10</v>
      </c>
      <c r="L191" s="165">
        <v>15</v>
      </c>
      <c r="M191" s="165">
        <v>15</v>
      </c>
      <c r="N191" s="165">
        <v>10</v>
      </c>
      <c r="O191" s="26">
        <f t="shared" si="2"/>
        <v>120</v>
      </c>
    </row>
    <row r="192" spans="1:15" ht="16" x14ac:dyDescent="0.2">
      <c r="A192" s="168" t="s">
        <v>486</v>
      </c>
      <c r="B192" s="164">
        <v>10</v>
      </c>
      <c r="C192" s="165">
        <v>5</v>
      </c>
      <c r="D192" s="401">
        <v>5</v>
      </c>
      <c r="E192" s="165">
        <v>0</v>
      </c>
      <c r="F192" s="401">
        <v>0</v>
      </c>
      <c r="G192" s="165">
        <v>5</v>
      </c>
      <c r="H192" s="165">
        <v>10</v>
      </c>
      <c r="I192" s="165">
        <v>10</v>
      </c>
      <c r="J192" s="165">
        <v>10</v>
      </c>
      <c r="K192" s="401">
        <v>10</v>
      </c>
      <c r="L192" s="165">
        <v>10</v>
      </c>
      <c r="M192" s="165">
        <v>15</v>
      </c>
      <c r="N192" s="165">
        <v>10</v>
      </c>
      <c r="O192" s="26">
        <f t="shared" si="2"/>
        <v>100</v>
      </c>
    </row>
    <row r="193" spans="1:15" ht="16" x14ac:dyDescent="0.2">
      <c r="A193" s="168" t="s">
        <v>487</v>
      </c>
      <c r="B193" s="128">
        <v>10</v>
      </c>
      <c r="C193" s="129">
        <v>5</v>
      </c>
      <c r="D193" s="385">
        <v>5</v>
      </c>
      <c r="E193" s="129">
        <v>5</v>
      </c>
      <c r="F193" s="385">
        <v>5</v>
      </c>
      <c r="G193" s="129">
        <v>5</v>
      </c>
      <c r="H193" s="129">
        <v>5</v>
      </c>
      <c r="I193" s="129">
        <v>10</v>
      </c>
      <c r="J193" s="129">
        <v>10</v>
      </c>
      <c r="K193" s="385">
        <v>10</v>
      </c>
      <c r="L193" s="129">
        <v>10</v>
      </c>
      <c r="M193" s="129">
        <v>15</v>
      </c>
      <c r="N193" s="129">
        <v>10</v>
      </c>
      <c r="O193" s="26">
        <f t="shared" si="2"/>
        <v>105</v>
      </c>
    </row>
    <row r="194" spans="1:15" ht="16" x14ac:dyDescent="0.2">
      <c r="A194" s="168" t="s">
        <v>488</v>
      </c>
      <c r="B194" s="167">
        <v>5</v>
      </c>
      <c r="C194" s="167">
        <v>5</v>
      </c>
      <c r="D194" s="400">
        <v>5</v>
      </c>
      <c r="E194" s="167">
        <v>5</v>
      </c>
      <c r="F194" s="400">
        <v>5</v>
      </c>
      <c r="G194" s="167">
        <v>5</v>
      </c>
      <c r="H194" s="167">
        <v>10</v>
      </c>
      <c r="I194" s="167">
        <v>10</v>
      </c>
      <c r="J194" s="167">
        <v>10</v>
      </c>
      <c r="K194" s="400">
        <v>10</v>
      </c>
      <c r="L194" s="167">
        <v>15</v>
      </c>
      <c r="M194" s="167">
        <v>10</v>
      </c>
      <c r="N194" s="167">
        <v>10</v>
      </c>
      <c r="O194" s="26">
        <f t="shared" si="2"/>
        <v>105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68"/>
  <sheetViews>
    <sheetView zoomScale="110" zoomScaleNormal="110" workbookViewId="0">
      <pane xSplit="1" topLeftCell="E1" activePane="topRight" state="frozen"/>
      <selection pane="topRight" activeCell="E1" sqref="E1"/>
    </sheetView>
  </sheetViews>
  <sheetFormatPr baseColWidth="10" defaultColWidth="8.83203125" defaultRowHeight="15" x14ac:dyDescent="0.2"/>
  <cols>
    <col min="1" max="1" width="23.33203125" style="8" customWidth="1"/>
    <col min="2" max="2" width="15" style="8" bestFit="1" customWidth="1"/>
    <col min="3" max="3" width="16.5" style="8" bestFit="1" customWidth="1"/>
    <col min="4" max="4" width="20" style="8" customWidth="1"/>
    <col min="5" max="5" width="15.83203125" style="8" bestFit="1" customWidth="1"/>
    <col min="6" max="6" width="14.1640625" style="8" bestFit="1" customWidth="1"/>
    <col min="7" max="7" width="18.6640625" style="8" bestFit="1" customWidth="1"/>
    <col min="8" max="8" width="20.33203125" style="8" customWidth="1"/>
    <col min="9" max="9" width="15.83203125" style="8" bestFit="1" customWidth="1"/>
    <col min="10" max="10" width="20" style="8" customWidth="1"/>
    <col min="11" max="11" width="20.33203125" style="8" bestFit="1" customWidth="1"/>
    <col min="12" max="12" width="14.1640625" style="8" bestFit="1" customWidth="1"/>
    <col min="13" max="13" width="24.6640625" style="8" bestFit="1" customWidth="1"/>
    <col min="14" max="14" width="16" style="8" bestFit="1" customWidth="1"/>
    <col min="15" max="15" width="18.6640625" style="8" bestFit="1" customWidth="1"/>
    <col min="16" max="16" width="14.1640625" style="8" bestFit="1" customWidth="1"/>
  </cols>
  <sheetData>
    <row r="1" spans="1:16" s="12" customFormat="1" ht="70.5" customHeight="1" x14ac:dyDescent="0.2">
      <c r="A1" s="326" t="s">
        <v>497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  <c r="N1" s="2" t="s">
        <v>67</v>
      </c>
      <c r="O1" s="2" t="s">
        <v>68</v>
      </c>
      <c r="P1" s="2" t="s">
        <v>54</v>
      </c>
    </row>
    <row r="2" spans="1:16" ht="70.5" customHeight="1" x14ac:dyDescent="0.2">
      <c r="A2" s="326" t="s">
        <v>497</v>
      </c>
      <c r="B2" s="340" t="str">
        <f>_xlfn.XLOOKUP(B1,BERG[Pregunta],BERG[ITEM_CODE],"XXXXXX")</f>
        <v>SITTING_TO_STANDING</v>
      </c>
      <c r="C2" s="340" t="str">
        <f>_xlfn.XLOOKUP(C1,BERG[Pregunta],BERG[ITEM_CODE],"XXXXXX")</f>
        <v>STANDING_UNSUPPORTED</v>
      </c>
      <c r="D2" s="340" t="str">
        <f>_xlfn.XLOOKUP(D1,BERG[Pregunta],BERG[ITEM_CODE],"XXXXXX")</f>
        <v>SITTING_BACK_UNSUPPORTED</v>
      </c>
      <c r="E2" s="340" t="str">
        <f>_xlfn.XLOOKUP(E1,BERG[Pregunta],BERG[ITEM_CODE],"XXXXXX")</f>
        <v>STANDING_TO_SITTING</v>
      </c>
      <c r="F2" s="340" t="str">
        <f>_xlfn.XLOOKUP(F1,BERG[Pregunta],BERG[ITEM_CODE],"XXXXXX")</f>
        <v>TRANSFERS</v>
      </c>
      <c r="G2" s="340" t="str">
        <f>_xlfn.XLOOKUP(G1,BERG[Pregunta],BERG[ITEM_CODE],"XXXXXX")</f>
        <v>STANDING_UNSUPPORTED_EYES_CLOSED</v>
      </c>
      <c r="H2" s="340" t="str">
        <f>_xlfn.XLOOKUP(H1,BERG[Pregunta],BERG[ITEM_CODE],"XXXXXX")</f>
        <v>STANDING_UNSUPPORTED_FEET_TOGETHER</v>
      </c>
      <c r="I2" s="340" t="str">
        <f>_xlfn.XLOOKUP(I1,BERG[Pregunta],BERG[ITEM_CODE],"XXXXXX")</f>
        <v>REACHING_FORWARD</v>
      </c>
      <c r="J2" s="340" t="str">
        <f>_xlfn.XLOOKUP(J1,BERG[Pregunta],BERG[ITEM_CODE],"XXXXXX")</f>
        <v>PICK_UP_OBJECT</v>
      </c>
      <c r="K2" s="340" t="str">
        <f>_xlfn.XLOOKUP(K1,BERG[Pregunta],BERG[ITEM_CODE],"XXXXXX")</f>
        <v>LOOK_BEHIND</v>
      </c>
      <c r="L2" s="340" t="str">
        <f>_xlfn.XLOOKUP(L1,BERG[Pregunta],BERG[ITEM_CODE],"XXXXXX")</f>
        <v>TURN_360</v>
      </c>
      <c r="M2" s="340" t="str">
        <f>_xlfn.XLOOKUP(M1,BERG[Pregunta],BERG[ITEM_CODE],"XXXXXX")</f>
        <v>ALTERNATE_FOOT</v>
      </c>
      <c r="N2" s="340" t="str">
        <f>_xlfn.XLOOKUP(N1,BERG[Pregunta],BERG[ITEM_CODE],"XXXXXX")</f>
        <v>STANDING_ONE_FOOT</v>
      </c>
      <c r="O2" s="340" t="str">
        <f>_xlfn.XLOOKUP(O1,BERG[Pregunta],BERG[ITEM_CODE],"XXXXXX")</f>
        <v>STANDING_ONE_LEG</v>
      </c>
      <c r="P2" s="340" t="s">
        <v>788</v>
      </c>
    </row>
    <row r="3" spans="1:16" s="6" customFormat="1" x14ac:dyDescent="0.2">
      <c r="A3" s="32" t="s">
        <v>297</v>
      </c>
      <c r="B3" s="33">
        <v>3</v>
      </c>
      <c r="C3" s="33">
        <v>4</v>
      </c>
      <c r="D3" s="33">
        <v>3</v>
      </c>
      <c r="E3" s="33">
        <v>3</v>
      </c>
      <c r="F3" s="33">
        <v>3</v>
      </c>
      <c r="G3" s="33">
        <v>4</v>
      </c>
      <c r="H3" s="33">
        <v>4</v>
      </c>
      <c r="I3" s="33">
        <v>3</v>
      </c>
      <c r="J3" s="33">
        <v>3</v>
      </c>
      <c r="K3" s="33">
        <v>4</v>
      </c>
      <c r="L3" s="33">
        <v>3</v>
      </c>
      <c r="M3" s="33">
        <v>3</v>
      </c>
      <c r="N3" s="33">
        <v>3</v>
      </c>
      <c r="O3" s="33">
        <v>3</v>
      </c>
      <c r="P3" s="33">
        <f t="shared" ref="P3:P31" si="0">SUM(B3:O3)</f>
        <v>46</v>
      </c>
    </row>
    <row r="4" spans="1:16" x14ac:dyDescent="0.2">
      <c r="A4" s="32" t="s">
        <v>298</v>
      </c>
      <c r="B4" s="33">
        <v>4</v>
      </c>
      <c r="C4" s="33">
        <v>4</v>
      </c>
      <c r="D4" s="33">
        <v>4</v>
      </c>
      <c r="E4" s="33">
        <v>3</v>
      </c>
      <c r="F4" s="33">
        <v>4</v>
      </c>
      <c r="G4" s="33">
        <v>4</v>
      </c>
      <c r="H4" s="33">
        <v>4</v>
      </c>
      <c r="I4" s="33">
        <v>4</v>
      </c>
      <c r="J4" s="33">
        <v>3</v>
      </c>
      <c r="K4" s="33">
        <v>4</v>
      </c>
      <c r="L4" s="33">
        <v>3</v>
      </c>
      <c r="M4" s="33">
        <v>4</v>
      </c>
      <c r="N4" s="33">
        <v>3</v>
      </c>
      <c r="O4" s="33">
        <v>3</v>
      </c>
      <c r="P4" s="33">
        <f t="shared" si="0"/>
        <v>51</v>
      </c>
    </row>
    <row r="5" spans="1:16" x14ac:dyDescent="0.2">
      <c r="A5" s="32" t="s">
        <v>299</v>
      </c>
      <c r="B5" s="33">
        <v>4</v>
      </c>
      <c r="C5" s="33">
        <v>4</v>
      </c>
      <c r="D5" s="33">
        <v>4</v>
      </c>
      <c r="E5" s="33">
        <v>4</v>
      </c>
      <c r="F5" s="33">
        <v>4</v>
      </c>
      <c r="G5" s="33">
        <v>4</v>
      </c>
      <c r="H5" s="33">
        <v>4</v>
      </c>
      <c r="I5" s="33">
        <v>3</v>
      </c>
      <c r="J5" s="33">
        <v>4</v>
      </c>
      <c r="K5" s="33">
        <v>4</v>
      </c>
      <c r="L5" s="33">
        <v>4</v>
      </c>
      <c r="M5" s="33">
        <v>4</v>
      </c>
      <c r="N5" s="33">
        <v>3</v>
      </c>
      <c r="O5" s="33">
        <v>3</v>
      </c>
      <c r="P5" s="33">
        <f t="shared" si="0"/>
        <v>53</v>
      </c>
    </row>
    <row r="6" spans="1:16" x14ac:dyDescent="0.2">
      <c r="A6" s="32" t="s">
        <v>300</v>
      </c>
      <c r="B6" s="33">
        <v>1</v>
      </c>
      <c r="C6" s="33">
        <v>0</v>
      </c>
      <c r="D6" s="33">
        <v>1</v>
      </c>
      <c r="E6" s="33">
        <v>1</v>
      </c>
      <c r="F6" s="33">
        <v>1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0</v>
      </c>
      <c r="M6" s="33">
        <v>1</v>
      </c>
      <c r="N6" s="33">
        <v>1</v>
      </c>
      <c r="O6" s="33">
        <v>0</v>
      </c>
      <c r="P6" s="33">
        <f t="shared" si="0"/>
        <v>6</v>
      </c>
    </row>
    <row r="7" spans="1:16" x14ac:dyDescent="0.2">
      <c r="A7" s="32" t="s">
        <v>301</v>
      </c>
      <c r="B7" s="33">
        <v>4</v>
      </c>
      <c r="C7" s="33">
        <v>4</v>
      </c>
      <c r="D7" s="33">
        <v>4</v>
      </c>
      <c r="E7" s="33">
        <v>4</v>
      </c>
      <c r="F7" s="33">
        <v>4</v>
      </c>
      <c r="G7" s="33">
        <v>3</v>
      </c>
      <c r="H7" s="33">
        <v>3</v>
      </c>
      <c r="I7" s="33">
        <v>3</v>
      </c>
      <c r="J7" s="33">
        <v>4</v>
      </c>
      <c r="K7" s="33">
        <v>4</v>
      </c>
      <c r="L7" s="33">
        <v>3</v>
      </c>
      <c r="M7" s="33">
        <v>4</v>
      </c>
      <c r="N7" s="33">
        <v>3</v>
      </c>
      <c r="O7" s="33">
        <v>3</v>
      </c>
      <c r="P7" s="33">
        <f t="shared" si="0"/>
        <v>50</v>
      </c>
    </row>
    <row r="8" spans="1:16" x14ac:dyDescent="0.2">
      <c r="A8" s="32" t="s">
        <v>302</v>
      </c>
      <c r="B8" s="33">
        <v>4</v>
      </c>
      <c r="C8" s="33">
        <v>4</v>
      </c>
      <c r="D8" s="33">
        <v>4</v>
      </c>
      <c r="E8" s="33">
        <v>3</v>
      </c>
      <c r="F8" s="33">
        <v>4</v>
      </c>
      <c r="G8" s="33">
        <v>4</v>
      </c>
      <c r="H8" s="33">
        <v>4</v>
      </c>
      <c r="I8" s="33">
        <v>4</v>
      </c>
      <c r="J8" s="33">
        <v>3</v>
      </c>
      <c r="K8" s="33">
        <v>3</v>
      </c>
      <c r="L8" s="33">
        <v>3</v>
      </c>
      <c r="M8" s="33">
        <v>3</v>
      </c>
      <c r="N8" s="33">
        <v>3</v>
      </c>
      <c r="O8" s="33">
        <v>3</v>
      </c>
      <c r="P8" s="33">
        <f t="shared" si="0"/>
        <v>49</v>
      </c>
    </row>
    <row r="9" spans="1:16" x14ac:dyDescent="0.2">
      <c r="A9" s="32" t="s">
        <v>303</v>
      </c>
      <c r="B9" s="33">
        <v>4</v>
      </c>
      <c r="C9" s="33">
        <v>4</v>
      </c>
      <c r="D9" s="33">
        <v>4</v>
      </c>
      <c r="E9" s="33">
        <v>4</v>
      </c>
      <c r="F9" s="33">
        <v>4</v>
      </c>
      <c r="G9" s="33">
        <v>4</v>
      </c>
      <c r="H9" s="33">
        <v>3</v>
      </c>
      <c r="I9" s="33">
        <v>4</v>
      </c>
      <c r="J9" s="33">
        <v>4</v>
      </c>
      <c r="K9" s="33">
        <v>3</v>
      </c>
      <c r="L9" s="33">
        <v>3</v>
      </c>
      <c r="M9" s="33">
        <v>3</v>
      </c>
      <c r="N9" s="33">
        <v>3</v>
      </c>
      <c r="O9" s="33">
        <v>3</v>
      </c>
      <c r="P9" s="33">
        <f t="shared" si="0"/>
        <v>50</v>
      </c>
    </row>
    <row r="10" spans="1:16" x14ac:dyDescent="0.2">
      <c r="A10" s="32" t="s">
        <v>304</v>
      </c>
      <c r="B10" s="33">
        <v>2</v>
      </c>
      <c r="C10" s="33">
        <v>3</v>
      </c>
      <c r="D10" s="33">
        <v>3</v>
      </c>
      <c r="E10" s="33">
        <v>2</v>
      </c>
      <c r="F10" s="33">
        <v>4</v>
      </c>
      <c r="G10" s="33">
        <v>3</v>
      </c>
      <c r="H10" s="33">
        <v>3</v>
      </c>
      <c r="I10" s="33">
        <v>2</v>
      </c>
      <c r="J10" s="33">
        <v>2</v>
      </c>
      <c r="K10" s="33">
        <v>3</v>
      </c>
      <c r="L10" s="33">
        <v>3</v>
      </c>
      <c r="M10" s="33">
        <v>3</v>
      </c>
      <c r="N10" s="33">
        <v>3</v>
      </c>
      <c r="O10" s="33">
        <v>2</v>
      </c>
      <c r="P10" s="33">
        <f t="shared" si="0"/>
        <v>38</v>
      </c>
    </row>
    <row r="11" spans="1:16" x14ac:dyDescent="0.2">
      <c r="A11" s="32" t="s">
        <v>305</v>
      </c>
      <c r="B11" s="33">
        <v>0</v>
      </c>
      <c r="C11" s="33">
        <v>0</v>
      </c>
      <c r="D11" s="33">
        <v>0</v>
      </c>
      <c r="E11" s="33">
        <v>1</v>
      </c>
      <c r="F11" s="33">
        <v>2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>
        <v>0</v>
      </c>
      <c r="O11" s="33">
        <v>0</v>
      </c>
      <c r="P11" s="33">
        <f t="shared" si="0"/>
        <v>4</v>
      </c>
    </row>
    <row r="12" spans="1:16" x14ac:dyDescent="0.2">
      <c r="A12" s="32" t="s">
        <v>306</v>
      </c>
      <c r="B12" s="33">
        <v>4</v>
      </c>
      <c r="C12" s="33">
        <v>2</v>
      </c>
      <c r="D12" s="33">
        <v>4</v>
      </c>
      <c r="E12" s="33">
        <v>3</v>
      </c>
      <c r="F12" s="33">
        <v>3</v>
      </c>
      <c r="G12" s="33">
        <v>3</v>
      </c>
      <c r="H12" s="33">
        <v>2</v>
      </c>
      <c r="I12" s="33">
        <v>3</v>
      </c>
      <c r="J12" s="33">
        <v>2</v>
      </c>
      <c r="K12" s="33">
        <v>3</v>
      </c>
      <c r="L12" s="33">
        <v>3</v>
      </c>
      <c r="M12" s="33">
        <v>3</v>
      </c>
      <c r="N12" s="33">
        <v>2</v>
      </c>
      <c r="O12" s="33">
        <v>2</v>
      </c>
      <c r="P12" s="33">
        <f t="shared" si="0"/>
        <v>39</v>
      </c>
    </row>
    <row r="13" spans="1:16" x14ac:dyDescent="0.2">
      <c r="A13" s="32" t="s">
        <v>307</v>
      </c>
      <c r="B13" s="33">
        <v>3</v>
      </c>
      <c r="C13" s="33">
        <v>2</v>
      </c>
      <c r="D13" s="33">
        <v>4</v>
      </c>
      <c r="E13" s="33">
        <v>3</v>
      </c>
      <c r="F13" s="33">
        <v>3</v>
      </c>
      <c r="G13" s="33">
        <v>3</v>
      </c>
      <c r="H13" s="33">
        <v>3</v>
      </c>
      <c r="I13" s="33">
        <v>2</v>
      </c>
      <c r="J13" s="33">
        <v>1</v>
      </c>
      <c r="K13" s="33">
        <v>2</v>
      </c>
      <c r="L13" s="33">
        <v>2</v>
      </c>
      <c r="M13" s="33">
        <v>2</v>
      </c>
      <c r="N13" s="33">
        <v>2</v>
      </c>
      <c r="O13" s="33">
        <v>2</v>
      </c>
      <c r="P13" s="33">
        <f t="shared" si="0"/>
        <v>34</v>
      </c>
    </row>
    <row r="14" spans="1:16" x14ac:dyDescent="0.2">
      <c r="A14" s="32" t="s">
        <v>308</v>
      </c>
      <c r="B14" s="33">
        <v>2</v>
      </c>
      <c r="C14" s="33">
        <v>3</v>
      </c>
      <c r="D14" s="33">
        <v>4</v>
      </c>
      <c r="E14" s="33">
        <v>3</v>
      </c>
      <c r="F14" s="33">
        <v>2</v>
      </c>
      <c r="G14" s="33">
        <v>3</v>
      </c>
      <c r="H14" s="33">
        <v>3</v>
      </c>
      <c r="I14" s="33">
        <v>2</v>
      </c>
      <c r="J14" s="33">
        <v>2</v>
      </c>
      <c r="K14" s="33">
        <v>3</v>
      </c>
      <c r="L14" s="33">
        <v>3</v>
      </c>
      <c r="M14" s="33">
        <v>3</v>
      </c>
      <c r="N14" s="33">
        <v>3</v>
      </c>
      <c r="O14" s="33">
        <v>2</v>
      </c>
      <c r="P14" s="33">
        <f t="shared" si="0"/>
        <v>38</v>
      </c>
    </row>
    <row r="15" spans="1:16" x14ac:dyDescent="0.2">
      <c r="A15" s="32" t="s">
        <v>310</v>
      </c>
      <c r="B15" s="33">
        <v>1</v>
      </c>
      <c r="C15" s="33">
        <v>1</v>
      </c>
      <c r="D15" s="33">
        <v>4</v>
      </c>
      <c r="E15" s="33">
        <v>2</v>
      </c>
      <c r="F15" s="33">
        <v>3</v>
      </c>
      <c r="G15" s="33">
        <v>2</v>
      </c>
      <c r="H15" s="33">
        <v>0</v>
      </c>
      <c r="I15" s="33">
        <v>0</v>
      </c>
      <c r="J15" s="33">
        <v>0</v>
      </c>
      <c r="K15" s="33">
        <v>1</v>
      </c>
      <c r="L15" s="33">
        <v>2</v>
      </c>
      <c r="M15" s="33">
        <v>0</v>
      </c>
      <c r="N15" s="33">
        <v>2</v>
      </c>
      <c r="O15" s="33">
        <v>0</v>
      </c>
      <c r="P15" s="33">
        <f t="shared" si="0"/>
        <v>18</v>
      </c>
    </row>
    <row r="16" spans="1:16" x14ac:dyDescent="0.2">
      <c r="A16" s="32" t="s">
        <v>311</v>
      </c>
      <c r="B16" s="33">
        <v>3</v>
      </c>
      <c r="C16" s="33">
        <v>3</v>
      </c>
      <c r="D16" s="33">
        <v>3</v>
      </c>
      <c r="E16" s="33">
        <v>3</v>
      </c>
      <c r="F16" s="33">
        <v>3</v>
      </c>
      <c r="G16" s="33">
        <v>3</v>
      </c>
      <c r="H16" s="33">
        <v>3</v>
      </c>
      <c r="I16" s="33">
        <v>3</v>
      </c>
      <c r="J16" s="33">
        <v>2</v>
      </c>
      <c r="K16" s="33">
        <v>3</v>
      </c>
      <c r="L16" s="33">
        <v>3</v>
      </c>
      <c r="M16" s="33">
        <v>2</v>
      </c>
      <c r="N16" s="33">
        <v>3</v>
      </c>
      <c r="O16" s="33">
        <v>3</v>
      </c>
      <c r="P16" s="33">
        <f t="shared" si="0"/>
        <v>40</v>
      </c>
    </row>
    <row r="17" spans="1:16" x14ac:dyDescent="0.2">
      <c r="A17" s="32" t="s">
        <v>312</v>
      </c>
      <c r="B17" s="33">
        <v>3</v>
      </c>
      <c r="C17" s="33">
        <v>4</v>
      </c>
      <c r="D17" s="33">
        <v>4</v>
      </c>
      <c r="E17" s="33">
        <v>3</v>
      </c>
      <c r="F17" s="33">
        <v>3</v>
      </c>
      <c r="G17" s="33">
        <v>4</v>
      </c>
      <c r="H17" s="33">
        <v>3</v>
      </c>
      <c r="I17" s="33">
        <v>3</v>
      </c>
      <c r="J17" s="33">
        <v>3</v>
      </c>
      <c r="K17" s="33">
        <v>3</v>
      </c>
      <c r="L17" s="33">
        <v>3</v>
      </c>
      <c r="M17" s="33">
        <v>3</v>
      </c>
      <c r="N17" s="33">
        <v>3</v>
      </c>
      <c r="O17" s="33">
        <v>3</v>
      </c>
      <c r="P17" s="33">
        <f t="shared" si="0"/>
        <v>45</v>
      </c>
    </row>
    <row r="18" spans="1:16" x14ac:dyDescent="0.2">
      <c r="A18" s="32" t="s">
        <v>313</v>
      </c>
      <c r="B18" s="33">
        <v>1</v>
      </c>
      <c r="C18" s="33">
        <v>1</v>
      </c>
      <c r="D18" s="33">
        <v>1</v>
      </c>
      <c r="E18" s="33">
        <v>1</v>
      </c>
      <c r="F18" s="33">
        <v>1</v>
      </c>
      <c r="G18" s="33">
        <v>1</v>
      </c>
      <c r="H18" s="33">
        <v>1</v>
      </c>
      <c r="I18" s="33">
        <v>1</v>
      </c>
      <c r="J18" s="33">
        <v>1</v>
      </c>
      <c r="K18" s="33">
        <v>1</v>
      </c>
      <c r="L18" s="33">
        <v>1</v>
      </c>
      <c r="M18" s="33">
        <v>1</v>
      </c>
      <c r="N18" s="33">
        <v>1</v>
      </c>
      <c r="O18" s="33">
        <v>1</v>
      </c>
      <c r="P18" s="33">
        <f t="shared" si="0"/>
        <v>14</v>
      </c>
    </row>
    <row r="19" spans="1:16" x14ac:dyDescent="0.2">
      <c r="A19" s="32" t="s">
        <v>314</v>
      </c>
      <c r="B19" s="33">
        <v>4</v>
      </c>
      <c r="C19" s="33">
        <v>4</v>
      </c>
      <c r="D19" s="33">
        <v>4</v>
      </c>
      <c r="E19" s="33">
        <v>4</v>
      </c>
      <c r="F19" s="33">
        <v>4</v>
      </c>
      <c r="G19" s="33">
        <v>4</v>
      </c>
      <c r="H19" s="33">
        <v>3</v>
      </c>
      <c r="I19" s="33">
        <v>3</v>
      </c>
      <c r="J19" s="33">
        <v>4</v>
      </c>
      <c r="K19" s="33">
        <v>4</v>
      </c>
      <c r="L19" s="33">
        <v>4</v>
      </c>
      <c r="M19" s="33">
        <v>4</v>
      </c>
      <c r="N19" s="33">
        <v>3</v>
      </c>
      <c r="O19" s="33">
        <v>3</v>
      </c>
      <c r="P19" s="33">
        <f t="shared" si="0"/>
        <v>52</v>
      </c>
    </row>
    <row r="20" spans="1:16" x14ac:dyDescent="0.2">
      <c r="A20" s="32" t="s">
        <v>315</v>
      </c>
      <c r="B20" s="33">
        <v>4</v>
      </c>
      <c r="C20" s="33">
        <v>4</v>
      </c>
      <c r="D20" s="33">
        <v>4</v>
      </c>
      <c r="E20" s="33">
        <v>3</v>
      </c>
      <c r="F20" s="33">
        <v>4</v>
      </c>
      <c r="G20" s="33">
        <v>3</v>
      </c>
      <c r="H20" s="33">
        <v>3</v>
      </c>
      <c r="I20" s="33">
        <v>3</v>
      </c>
      <c r="J20" s="33">
        <v>3</v>
      </c>
      <c r="K20" s="33">
        <v>3</v>
      </c>
      <c r="L20" s="33">
        <v>3</v>
      </c>
      <c r="M20" s="33">
        <v>3</v>
      </c>
      <c r="N20" s="33">
        <v>3</v>
      </c>
      <c r="O20" s="33">
        <v>3</v>
      </c>
      <c r="P20" s="33">
        <f t="shared" si="0"/>
        <v>46</v>
      </c>
    </row>
    <row r="21" spans="1:16" x14ac:dyDescent="0.2">
      <c r="A21" s="32" t="s">
        <v>316</v>
      </c>
      <c r="B21" s="33">
        <v>1</v>
      </c>
      <c r="C21" s="33">
        <v>1</v>
      </c>
      <c r="D21" s="33">
        <v>2</v>
      </c>
      <c r="E21" s="33">
        <v>3</v>
      </c>
      <c r="F21" s="33">
        <v>3</v>
      </c>
      <c r="G21" s="33">
        <v>1</v>
      </c>
      <c r="H21" s="33">
        <v>0</v>
      </c>
      <c r="I21" s="33">
        <v>1</v>
      </c>
      <c r="J21" s="33">
        <v>0</v>
      </c>
      <c r="K21" s="33">
        <v>1</v>
      </c>
      <c r="L21" s="33">
        <v>1</v>
      </c>
      <c r="M21" s="33">
        <v>1</v>
      </c>
      <c r="N21" s="33">
        <v>0</v>
      </c>
      <c r="O21" s="33">
        <v>0</v>
      </c>
      <c r="P21" s="33">
        <f t="shared" si="0"/>
        <v>15</v>
      </c>
    </row>
    <row r="22" spans="1:16" x14ac:dyDescent="0.2">
      <c r="A22" s="32" t="s">
        <v>317</v>
      </c>
      <c r="B22" s="33">
        <v>4</v>
      </c>
      <c r="C22" s="33">
        <v>4</v>
      </c>
      <c r="D22" s="33">
        <v>4</v>
      </c>
      <c r="E22" s="33">
        <v>4</v>
      </c>
      <c r="F22" s="33">
        <v>4</v>
      </c>
      <c r="G22" s="33">
        <v>4</v>
      </c>
      <c r="H22" s="33">
        <v>4</v>
      </c>
      <c r="I22" s="33">
        <v>3</v>
      </c>
      <c r="J22" s="33">
        <v>4</v>
      </c>
      <c r="K22" s="33">
        <v>4</v>
      </c>
      <c r="L22" s="33">
        <v>3</v>
      </c>
      <c r="M22" s="33">
        <v>4</v>
      </c>
      <c r="N22" s="33">
        <v>3</v>
      </c>
      <c r="O22" s="33">
        <v>3</v>
      </c>
      <c r="P22" s="33">
        <f t="shared" si="0"/>
        <v>52</v>
      </c>
    </row>
    <row r="23" spans="1:16" x14ac:dyDescent="0.2">
      <c r="A23" s="32" t="s">
        <v>318</v>
      </c>
      <c r="B23" s="33">
        <v>4</v>
      </c>
      <c r="C23" s="33">
        <v>4</v>
      </c>
      <c r="D23" s="33">
        <v>4</v>
      </c>
      <c r="E23" s="33">
        <v>4</v>
      </c>
      <c r="F23" s="33">
        <v>4</v>
      </c>
      <c r="G23" s="33">
        <v>4</v>
      </c>
      <c r="H23" s="33">
        <v>4</v>
      </c>
      <c r="I23" s="33">
        <v>3</v>
      </c>
      <c r="J23" s="33">
        <v>3</v>
      </c>
      <c r="K23" s="33">
        <v>4</v>
      </c>
      <c r="L23" s="33">
        <v>3</v>
      </c>
      <c r="M23" s="33">
        <v>4</v>
      </c>
      <c r="N23" s="33">
        <v>3</v>
      </c>
      <c r="O23" s="33">
        <v>3</v>
      </c>
      <c r="P23" s="33">
        <f t="shared" si="0"/>
        <v>51</v>
      </c>
    </row>
    <row r="24" spans="1:16" x14ac:dyDescent="0.2">
      <c r="A24" s="32" t="s">
        <v>319</v>
      </c>
      <c r="B24" s="33">
        <v>4</v>
      </c>
      <c r="C24" s="33">
        <v>4</v>
      </c>
      <c r="D24" s="33">
        <v>4</v>
      </c>
      <c r="E24" s="33">
        <v>4</v>
      </c>
      <c r="F24" s="33">
        <v>4</v>
      </c>
      <c r="G24" s="33">
        <v>4</v>
      </c>
      <c r="H24" s="33">
        <v>4</v>
      </c>
      <c r="I24" s="33">
        <v>4</v>
      </c>
      <c r="J24" s="33">
        <v>4</v>
      </c>
      <c r="K24" s="33">
        <v>4</v>
      </c>
      <c r="L24" s="33">
        <v>4</v>
      </c>
      <c r="M24" s="33">
        <v>4</v>
      </c>
      <c r="N24" s="33">
        <v>4</v>
      </c>
      <c r="O24" s="33">
        <v>4</v>
      </c>
      <c r="P24" s="33">
        <f t="shared" si="0"/>
        <v>56</v>
      </c>
    </row>
    <row r="25" spans="1:16" x14ac:dyDescent="0.2">
      <c r="A25" s="32" t="s">
        <v>489</v>
      </c>
      <c r="B25" s="33">
        <v>2</v>
      </c>
      <c r="C25" s="33">
        <v>2</v>
      </c>
      <c r="D25" s="33">
        <v>3</v>
      </c>
      <c r="E25" s="33">
        <v>3</v>
      </c>
      <c r="F25" s="33">
        <v>2</v>
      </c>
      <c r="G25" s="33">
        <v>3</v>
      </c>
      <c r="H25" s="33">
        <v>3</v>
      </c>
      <c r="I25" s="33">
        <v>1</v>
      </c>
      <c r="J25" s="33">
        <v>3</v>
      </c>
      <c r="K25" s="33">
        <v>1</v>
      </c>
      <c r="L25" s="33">
        <v>1</v>
      </c>
      <c r="M25" s="33">
        <v>2</v>
      </c>
      <c r="N25" s="33">
        <v>0</v>
      </c>
      <c r="O25" s="33">
        <v>1</v>
      </c>
      <c r="P25" s="33">
        <f t="shared" si="0"/>
        <v>27</v>
      </c>
    </row>
    <row r="26" spans="1:16" x14ac:dyDescent="0.2">
      <c r="A26" s="32" t="s">
        <v>321</v>
      </c>
      <c r="B26" s="33">
        <v>2</v>
      </c>
      <c r="C26" s="33">
        <v>2</v>
      </c>
      <c r="D26" s="33">
        <v>3</v>
      </c>
      <c r="E26" s="33">
        <v>3</v>
      </c>
      <c r="F26" s="33">
        <v>3</v>
      </c>
      <c r="G26" s="33">
        <v>3</v>
      </c>
      <c r="H26" s="33">
        <v>3</v>
      </c>
      <c r="I26" s="33">
        <v>3</v>
      </c>
      <c r="J26" s="33">
        <v>2</v>
      </c>
      <c r="K26" s="33">
        <v>2</v>
      </c>
      <c r="L26" s="33">
        <v>3</v>
      </c>
      <c r="M26" s="33">
        <v>3</v>
      </c>
      <c r="N26" s="33">
        <v>2</v>
      </c>
      <c r="O26" s="33">
        <v>1</v>
      </c>
      <c r="P26" s="33">
        <f t="shared" si="0"/>
        <v>35</v>
      </c>
    </row>
    <row r="27" spans="1:16" x14ac:dyDescent="0.2">
      <c r="A27" s="32" t="s">
        <v>322</v>
      </c>
      <c r="B27" s="33">
        <v>3</v>
      </c>
      <c r="C27" s="33">
        <v>4</v>
      </c>
      <c r="D27" s="33">
        <v>4</v>
      </c>
      <c r="E27" s="33">
        <v>4</v>
      </c>
      <c r="F27" s="33">
        <v>4</v>
      </c>
      <c r="G27" s="33">
        <v>4</v>
      </c>
      <c r="H27" s="33">
        <v>4</v>
      </c>
      <c r="I27" s="33">
        <v>4</v>
      </c>
      <c r="J27" s="33">
        <v>4</v>
      </c>
      <c r="K27" s="33">
        <v>3</v>
      </c>
      <c r="L27" s="33">
        <v>3</v>
      </c>
      <c r="M27" s="33">
        <v>4</v>
      </c>
      <c r="N27" s="33">
        <v>3</v>
      </c>
      <c r="O27" s="33">
        <v>3</v>
      </c>
      <c r="P27" s="33">
        <f t="shared" si="0"/>
        <v>51</v>
      </c>
    </row>
    <row r="28" spans="1:16" x14ac:dyDescent="0.2">
      <c r="A28" s="32" t="s">
        <v>323</v>
      </c>
      <c r="B28" s="33">
        <v>3</v>
      </c>
      <c r="C28" s="33">
        <v>1</v>
      </c>
      <c r="D28" s="33">
        <v>2</v>
      </c>
      <c r="E28" s="33">
        <v>0</v>
      </c>
      <c r="F28" s="33">
        <v>0</v>
      </c>
      <c r="G28" s="33">
        <v>0</v>
      </c>
      <c r="H28" s="33">
        <v>1</v>
      </c>
      <c r="I28" s="33">
        <v>0</v>
      </c>
      <c r="J28" s="33">
        <v>0</v>
      </c>
      <c r="K28" s="33">
        <v>0</v>
      </c>
      <c r="L28" s="33">
        <v>0</v>
      </c>
      <c r="M28" s="33">
        <v>0</v>
      </c>
      <c r="N28" s="33">
        <v>1</v>
      </c>
      <c r="O28" s="8">
        <v>4</v>
      </c>
      <c r="P28" s="33">
        <f t="shared" si="0"/>
        <v>12</v>
      </c>
    </row>
    <row r="29" spans="1:16" x14ac:dyDescent="0.2">
      <c r="A29" s="32" t="s">
        <v>324</v>
      </c>
      <c r="B29" s="33">
        <v>3</v>
      </c>
      <c r="C29" s="33">
        <v>3</v>
      </c>
      <c r="D29" s="33">
        <v>4</v>
      </c>
      <c r="E29" s="33">
        <v>3</v>
      </c>
      <c r="F29" s="33">
        <v>4</v>
      </c>
      <c r="G29" s="33">
        <v>3</v>
      </c>
      <c r="H29" s="33">
        <v>3</v>
      </c>
      <c r="I29" s="33">
        <v>3</v>
      </c>
      <c r="J29" s="33">
        <v>3</v>
      </c>
      <c r="K29" s="33">
        <v>3</v>
      </c>
      <c r="L29" s="33">
        <v>3</v>
      </c>
      <c r="M29" s="33">
        <v>3</v>
      </c>
      <c r="N29" s="33">
        <v>2</v>
      </c>
      <c r="O29" s="33">
        <v>2</v>
      </c>
      <c r="P29" s="33">
        <f t="shared" si="0"/>
        <v>42</v>
      </c>
    </row>
    <row r="30" spans="1:16" x14ac:dyDescent="0.2">
      <c r="A30" s="32" t="s">
        <v>325</v>
      </c>
      <c r="B30" s="33">
        <v>2</v>
      </c>
      <c r="C30" s="33">
        <v>4</v>
      </c>
      <c r="D30" s="33">
        <v>4</v>
      </c>
      <c r="E30" s="33">
        <v>4</v>
      </c>
      <c r="F30" s="33">
        <v>2</v>
      </c>
      <c r="G30" s="33">
        <v>3</v>
      </c>
      <c r="H30" s="33">
        <v>1</v>
      </c>
      <c r="I30" s="33">
        <v>1</v>
      </c>
      <c r="J30" s="33">
        <v>1</v>
      </c>
      <c r="K30" s="33">
        <v>2</v>
      </c>
      <c r="L30" s="33">
        <v>1</v>
      </c>
      <c r="M30" s="33">
        <v>1</v>
      </c>
      <c r="N30" s="33">
        <v>2</v>
      </c>
      <c r="O30" s="33">
        <v>3</v>
      </c>
      <c r="P30" s="33">
        <f t="shared" si="0"/>
        <v>31</v>
      </c>
    </row>
    <row r="31" spans="1:16" x14ac:dyDescent="0.2">
      <c r="A31" s="34" t="s">
        <v>326</v>
      </c>
      <c r="B31" s="35">
        <v>2</v>
      </c>
      <c r="C31" s="35">
        <v>4</v>
      </c>
      <c r="D31" s="35">
        <v>4</v>
      </c>
      <c r="E31" s="35">
        <v>4</v>
      </c>
      <c r="F31" s="35">
        <v>2</v>
      </c>
      <c r="G31" s="35">
        <v>3</v>
      </c>
      <c r="H31" s="35">
        <v>1</v>
      </c>
      <c r="I31" s="35">
        <v>1</v>
      </c>
      <c r="J31" s="35">
        <v>1</v>
      </c>
      <c r="K31" s="35">
        <v>2</v>
      </c>
      <c r="L31" s="35">
        <v>1</v>
      </c>
      <c r="M31" s="35">
        <v>1</v>
      </c>
      <c r="N31" s="35">
        <v>2</v>
      </c>
      <c r="O31" s="35">
        <v>3</v>
      </c>
      <c r="P31" s="33">
        <f t="shared" si="0"/>
        <v>31</v>
      </c>
    </row>
    <row r="32" spans="1:16" x14ac:dyDescent="0.2">
      <c r="A32" s="32" t="s">
        <v>327</v>
      </c>
      <c r="B32" s="33">
        <v>4</v>
      </c>
      <c r="C32" s="33">
        <v>4</v>
      </c>
      <c r="D32" s="33">
        <v>4</v>
      </c>
      <c r="E32" s="33">
        <v>4</v>
      </c>
      <c r="F32" s="33">
        <v>4</v>
      </c>
      <c r="G32" s="33">
        <v>4</v>
      </c>
      <c r="H32" s="33">
        <v>4</v>
      </c>
      <c r="I32" s="33">
        <v>4</v>
      </c>
      <c r="J32" s="33">
        <v>4</v>
      </c>
      <c r="K32" s="33">
        <v>4</v>
      </c>
      <c r="L32" s="33">
        <v>4</v>
      </c>
      <c r="M32" s="33">
        <v>4</v>
      </c>
      <c r="N32" s="33">
        <v>4</v>
      </c>
      <c r="O32" s="33">
        <v>4</v>
      </c>
      <c r="P32" s="33">
        <f>SUM(B32:O32)</f>
        <v>56</v>
      </c>
    </row>
    <row r="33" spans="1:16" x14ac:dyDescent="0.2">
      <c r="A33" s="40" t="s">
        <v>328</v>
      </c>
      <c r="B33" s="69">
        <v>2</v>
      </c>
      <c r="C33" s="66">
        <v>3</v>
      </c>
      <c r="D33" s="66">
        <v>3</v>
      </c>
      <c r="E33" s="66">
        <v>3</v>
      </c>
      <c r="F33" s="66">
        <v>4</v>
      </c>
      <c r="G33" s="66">
        <v>3</v>
      </c>
      <c r="H33" s="66">
        <v>3</v>
      </c>
      <c r="I33" s="66">
        <v>3</v>
      </c>
      <c r="J33" s="66">
        <v>3</v>
      </c>
      <c r="K33" s="66">
        <v>3</v>
      </c>
      <c r="L33" s="66">
        <v>3</v>
      </c>
      <c r="M33" s="66">
        <v>2</v>
      </c>
      <c r="N33" s="66">
        <v>3</v>
      </c>
      <c r="O33" s="66">
        <v>2</v>
      </c>
      <c r="P33" s="66">
        <v>40</v>
      </c>
    </row>
    <row r="34" spans="1:16" x14ac:dyDescent="0.2">
      <c r="A34" s="40" t="s">
        <v>329</v>
      </c>
      <c r="B34" s="33">
        <v>0</v>
      </c>
      <c r="C34" s="33">
        <v>0</v>
      </c>
      <c r="D34" s="33">
        <v>0</v>
      </c>
      <c r="E34" s="33">
        <v>0</v>
      </c>
      <c r="F34" s="33">
        <v>0</v>
      </c>
      <c r="G34" s="33">
        <v>0</v>
      </c>
      <c r="H34" s="33">
        <v>0</v>
      </c>
      <c r="I34" s="33">
        <v>0</v>
      </c>
      <c r="J34" s="33">
        <v>0</v>
      </c>
      <c r="K34" s="33">
        <v>0</v>
      </c>
      <c r="L34" s="33">
        <v>0</v>
      </c>
      <c r="M34" s="33">
        <v>0</v>
      </c>
      <c r="N34" s="33">
        <v>0</v>
      </c>
      <c r="O34" s="33">
        <v>0</v>
      </c>
      <c r="P34" s="33">
        <f t="shared" ref="P34:P46" si="1">SUM(B34:O34)</f>
        <v>0</v>
      </c>
    </row>
    <row r="35" spans="1:16" x14ac:dyDescent="0.2">
      <c r="A35" s="40" t="s">
        <v>330</v>
      </c>
      <c r="B35" s="33">
        <v>4</v>
      </c>
      <c r="C35" s="33">
        <v>4</v>
      </c>
      <c r="D35" s="33">
        <v>4</v>
      </c>
      <c r="E35" s="33">
        <v>4</v>
      </c>
      <c r="F35" s="33">
        <v>4</v>
      </c>
      <c r="G35" s="33">
        <v>4</v>
      </c>
      <c r="H35" s="33">
        <v>4</v>
      </c>
      <c r="I35" s="33">
        <v>3</v>
      </c>
      <c r="J35" s="33">
        <v>4</v>
      </c>
      <c r="K35" s="33">
        <v>4</v>
      </c>
      <c r="L35" s="33">
        <v>3</v>
      </c>
      <c r="M35" s="33">
        <v>4</v>
      </c>
      <c r="N35" s="33">
        <v>4</v>
      </c>
      <c r="O35" s="33">
        <v>2</v>
      </c>
      <c r="P35" s="33">
        <f t="shared" si="1"/>
        <v>52</v>
      </c>
    </row>
    <row r="36" spans="1:16" x14ac:dyDescent="0.2">
      <c r="A36" s="40" t="s">
        <v>331</v>
      </c>
      <c r="B36" s="33">
        <v>4</v>
      </c>
      <c r="C36" s="33">
        <v>4</v>
      </c>
      <c r="D36" s="33">
        <v>4</v>
      </c>
      <c r="E36" s="33">
        <v>4</v>
      </c>
      <c r="F36" s="33">
        <v>4</v>
      </c>
      <c r="G36" s="33">
        <v>4</v>
      </c>
      <c r="H36" s="33">
        <v>4</v>
      </c>
      <c r="I36" s="33">
        <v>3</v>
      </c>
      <c r="J36" s="33">
        <v>4</v>
      </c>
      <c r="K36" s="33">
        <v>3</v>
      </c>
      <c r="L36" s="33">
        <v>2</v>
      </c>
      <c r="M36" s="33">
        <v>4</v>
      </c>
      <c r="N36" s="33">
        <v>3</v>
      </c>
      <c r="O36" s="33">
        <v>2</v>
      </c>
      <c r="P36" s="33">
        <f t="shared" si="1"/>
        <v>49</v>
      </c>
    </row>
    <row r="37" spans="1:16" x14ac:dyDescent="0.2">
      <c r="A37" s="40" t="s">
        <v>332</v>
      </c>
      <c r="B37" s="33">
        <v>2</v>
      </c>
      <c r="C37" s="33">
        <v>1</v>
      </c>
      <c r="D37" s="33">
        <v>3</v>
      </c>
      <c r="E37" s="33">
        <v>2</v>
      </c>
      <c r="F37" s="96">
        <v>2</v>
      </c>
      <c r="G37" s="33">
        <v>1</v>
      </c>
      <c r="H37" s="33">
        <v>1</v>
      </c>
      <c r="I37" s="33">
        <v>1</v>
      </c>
      <c r="J37" s="33">
        <v>1</v>
      </c>
      <c r="K37" s="33">
        <v>1</v>
      </c>
      <c r="L37" s="33">
        <v>1</v>
      </c>
      <c r="M37" s="33">
        <v>1</v>
      </c>
      <c r="N37" s="33">
        <v>1</v>
      </c>
      <c r="O37" s="33">
        <v>0</v>
      </c>
      <c r="P37" s="33">
        <f t="shared" si="1"/>
        <v>18</v>
      </c>
    </row>
    <row r="38" spans="1:16" x14ac:dyDescent="0.2">
      <c r="A38" s="40" t="s">
        <v>333</v>
      </c>
      <c r="B38" s="33">
        <v>1</v>
      </c>
      <c r="C38" s="33">
        <v>1</v>
      </c>
      <c r="D38" s="33">
        <v>3</v>
      </c>
      <c r="E38" s="33">
        <v>1</v>
      </c>
      <c r="F38" s="33">
        <v>2</v>
      </c>
      <c r="G38" s="33">
        <v>2</v>
      </c>
      <c r="H38" s="33">
        <v>1</v>
      </c>
      <c r="I38" s="33">
        <v>1</v>
      </c>
      <c r="J38" s="33">
        <v>0</v>
      </c>
      <c r="K38" s="33">
        <v>0</v>
      </c>
      <c r="L38" s="33">
        <v>0</v>
      </c>
      <c r="M38" s="33">
        <v>0</v>
      </c>
      <c r="N38" s="33">
        <v>0</v>
      </c>
      <c r="O38" s="33">
        <v>0</v>
      </c>
      <c r="P38" s="33">
        <f t="shared" si="1"/>
        <v>12</v>
      </c>
    </row>
    <row r="39" spans="1:16" x14ac:dyDescent="0.2">
      <c r="A39" s="40" t="s">
        <v>334</v>
      </c>
      <c r="B39" s="33">
        <v>2</v>
      </c>
      <c r="C39" s="33">
        <v>2</v>
      </c>
      <c r="D39" s="33">
        <v>3</v>
      </c>
      <c r="E39" s="33">
        <v>3</v>
      </c>
      <c r="F39" s="33">
        <v>2</v>
      </c>
      <c r="G39" s="33">
        <v>2</v>
      </c>
      <c r="H39" s="33">
        <v>2</v>
      </c>
      <c r="I39" s="33">
        <v>2</v>
      </c>
      <c r="J39" s="33">
        <v>2</v>
      </c>
      <c r="K39" s="33">
        <v>2</v>
      </c>
      <c r="L39" s="33">
        <v>1</v>
      </c>
      <c r="M39" s="33">
        <v>1</v>
      </c>
      <c r="N39" s="33">
        <v>1</v>
      </c>
      <c r="O39" s="33">
        <v>1</v>
      </c>
      <c r="P39" s="33">
        <f t="shared" si="1"/>
        <v>26</v>
      </c>
    </row>
    <row r="40" spans="1:16" x14ac:dyDescent="0.2">
      <c r="A40" s="40" t="s">
        <v>335</v>
      </c>
      <c r="B40" s="33">
        <v>4</v>
      </c>
      <c r="C40" s="33">
        <v>4</v>
      </c>
      <c r="D40" s="33">
        <v>4</v>
      </c>
      <c r="E40" s="33">
        <v>4</v>
      </c>
      <c r="F40" s="33">
        <v>4</v>
      </c>
      <c r="G40" s="33">
        <v>4</v>
      </c>
      <c r="H40" s="33">
        <v>4</v>
      </c>
      <c r="I40" s="33">
        <v>4</v>
      </c>
      <c r="J40" s="33">
        <v>4</v>
      </c>
      <c r="K40" s="33">
        <v>4</v>
      </c>
      <c r="L40" s="33">
        <v>4</v>
      </c>
      <c r="M40" s="33">
        <v>4</v>
      </c>
      <c r="N40" s="33">
        <v>4</v>
      </c>
      <c r="O40" s="33">
        <v>4</v>
      </c>
      <c r="P40" s="33">
        <f t="shared" si="1"/>
        <v>56</v>
      </c>
    </row>
    <row r="41" spans="1:16" x14ac:dyDescent="0.2">
      <c r="A41" s="40" t="s">
        <v>336</v>
      </c>
      <c r="B41" s="33">
        <v>4</v>
      </c>
      <c r="C41" s="33">
        <v>4</v>
      </c>
      <c r="D41" s="33">
        <v>4</v>
      </c>
      <c r="E41" s="33">
        <v>4</v>
      </c>
      <c r="F41" s="33">
        <v>4</v>
      </c>
      <c r="G41" s="33">
        <v>4</v>
      </c>
      <c r="H41" s="33">
        <v>4</v>
      </c>
      <c r="I41" s="33">
        <v>4</v>
      </c>
      <c r="J41" s="33">
        <v>4</v>
      </c>
      <c r="K41" s="33">
        <v>4</v>
      </c>
      <c r="L41" s="33">
        <v>4</v>
      </c>
      <c r="M41" s="33">
        <v>4</v>
      </c>
      <c r="N41" s="33">
        <v>4</v>
      </c>
      <c r="O41" s="33">
        <v>4</v>
      </c>
      <c r="P41" s="33">
        <f t="shared" si="1"/>
        <v>56</v>
      </c>
    </row>
    <row r="42" spans="1:16" x14ac:dyDescent="0.2">
      <c r="A42" s="36" t="s">
        <v>337</v>
      </c>
      <c r="B42" s="176">
        <v>4</v>
      </c>
      <c r="C42" s="176">
        <v>4</v>
      </c>
      <c r="D42" s="176">
        <v>4</v>
      </c>
      <c r="E42" s="176">
        <v>4</v>
      </c>
      <c r="F42" s="176">
        <v>4</v>
      </c>
      <c r="G42" s="176">
        <v>4</v>
      </c>
      <c r="H42" s="176">
        <v>4</v>
      </c>
      <c r="I42" s="176">
        <v>4</v>
      </c>
      <c r="J42" s="176">
        <v>4</v>
      </c>
      <c r="K42" s="176">
        <v>4</v>
      </c>
      <c r="L42" s="176">
        <v>2</v>
      </c>
      <c r="M42" s="176">
        <v>4</v>
      </c>
      <c r="N42" s="176">
        <v>3</v>
      </c>
      <c r="O42" s="176">
        <v>2</v>
      </c>
      <c r="P42" s="33">
        <f t="shared" si="1"/>
        <v>51</v>
      </c>
    </row>
    <row r="43" spans="1:16" x14ac:dyDescent="0.2">
      <c r="A43" s="40" t="s">
        <v>339</v>
      </c>
      <c r="B43" s="33">
        <v>2</v>
      </c>
      <c r="C43" s="33">
        <v>3</v>
      </c>
      <c r="D43" s="33">
        <v>3</v>
      </c>
      <c r="E43" s="33">
        <v>3</v>
      </c>
      <c r="F43" s="33">
        <v>4</v>
      </c>
      <c r="G43" s="33">
        <v>3</v>
      </c>
      <c r="H43" s="33">
        <v>3</v>
      </c>
      <c r="I43" s="33">
        <v>3</v>
      </c>
      <c r="J43" s="33">
        <v>2</v>
      </c>
      <c r="K43" s="33">
        <v>3</v>
      </c>
      <c r="L43" s="33">
        <v>2</v>
      </c>
      <c r="M43" s="33">
        <v>2</v>
      </c>
      <c r="N43" s="33">
        <v>2</v>
      </c>
      <c r="O43" s="33">
        <v>3</v>
      </c>
      <c r="P43" s="33">
        <f t="shared" si="1"/>
        <v>38</v>
      </c>
    </row>
    <row r="44" spans="1:16" x14ac:dyDescent="0.2">
      <c r="A44" s="36" t="s">
        <v>340</v>
      </c>
      <c r="B44" s="33">
        <v>4</v>
      </c>
      <c r="C44" s="33">
        <v>4</v>
      </c>
      <c r="D44" s="33">
        <v>4</v>
      </c>
      <c r="E44" s="33">
        <v>4</v>
      </c>
      <c r="F44" s="33">
        <v>4</v>
      </c>
      <c r="G44" s="33">
        <v>4</v>
      </c>
      <c r="H44" s="33">
        <v>4</v>
      </c>
      <c r="I44" s="33">
        <v>3</v>
      </c>
      <c r="J44" s="33">
        <v>4</v>
      </c>
      <c r="K44" s="33">
        <v>4</v>
      </c>
      <c r="L44" s="33">
        <v>2</v>
      </c>
      <c r="M44" s="33">
        <v>4</v>
      </c>
      <c r="N44" s="33">
        <v>2</v>
      </c>
      <c r="O44" s="33">
        <v>2</v>
      </c>
      <c r="P44" s="33">
        <f t="shared" si="1"/>
        <v>49</v>
      </c>
    </row>
    <row r="45" spans="1:16" x14ac:dyDescent="0.2">
      <c r="A45" s="36" t="s">
        <v>341</v>
      </c>
      <c r="B45" s="33">
        <v>3</v>
      </c>
      <c r="C45" s="33">
        <v>3</v>
      </c>
      <c r="D45" s="33">
        <v>4</v>
      </c>
      <c r="E45" s="33">
        <v>3</v>
      </c>
      <c r="F45" s="33">
        <v>3</v>
      </c>
      <c r="G45" s="33">
        <v>3</v>
      </c>
      <c r="H45" s="33">
        <v>3</v>
      </c>
      <c r="I45" s="33">
        <v>2</v>
      </c>
      <c r="J45" s="33">
        <v>1</v>
      </c>
      <c r="K45" s="33">
        <v>3</v>
      </c>
      <c r="L45" s="33">
        <v>1</v>
      </c>
      <c r="M45" s="33">
        <v>0</v>
      </c>
      <c r="N45" s="33">
        <v>3</v>
      </c>
      <c r="O45" s="33">
        <v>0</v>
      </c>
      <c r="P45" s="33">
        <f t="shared" si="1"/>
        <v>32</v>
      </c>
    </row>
    <row r="46" spans="1:16" x14ac:dyDescent="0.2">
      <c r="A46" s="36" t="s">
        <v>342</v>
      </c>
      <c r="B46" s="33">
        <v>4</v>
      </c>
      <c r="C46" s="33">
        <v>4</v>
      </c>
      <c r="D46" s="33">
        <v>4</v>
      </c>
      <c r="E46" s="33">
        <v>4</v>
      </c>
      <c r="F46" s="33">
        <v>4</v>
      </c>
      <c r="G46" s="33">
        <v>4</v>
      </c>
      <c r="H46" s="33">
        <v>4</v>
      </c>
      <c r="I46" s="33">
        <v>4</v>
      </c>
      <c r="J46" s="33">
        <v>4</v>
      </c>
      <c r="K46" s="33">
        <v>4</v>
      </c>
      <c r="L46" s="33">
        <v>4</v>
      </c>
      <c r="M46" s="33">
        <v>4</v>
      </c>
      <c r="N46" s="33">
        <v>4</v>
      </c>
      <c r="O46" s="33">
        <v>4</v>
      </c>
      <c r="P46" s="33">
        <f t="shared" si="1"/>
        <v>56</v>
      </c>
    </row>
    <row r="47" spans="1:16" x14ac:dyDescent="0.2">
      <c r="A47" s="36" t="s">
        <v>343</v>
      </c>
      <c r="B47" s="33">
        <v>3</v>
      </c>
      <c r="C47" s="33">
        <v>3</v>
      </c>
      <c r="D47" s="33">
        <v>4</v>
      </c>
      <c r="E47" s="33">
        <v>3</v>
      </c>
      <c r="F47" s="33">
        <v>3</v>
      </c>
      <c r="G47" s="33">
        <v>3</v>
      </c>
      <c r="H47" s="33">
        <v>2</v>
      </c>
      <c r="I47" s="33">
        <v>3</v>
      </c>
      <c r="J47" s="33">
        <v>3</v>
      </c>
      <c r="K47" s="33">
        <v>3</v>
      </c>
      <c r="L47" s="33">
        <v>3</v>
      </c>
      <c r="M47" s="33">
        <v>2</v>
      </c>
      <c r="N47" s="33">
        <v>2</v>
      </c>
      <c r="O47" s="33">
        <v>3</v>
      </c>
      <c r="P47" s="33">
        <v>40</v>
      </c>
    </row>
    <row r="48" spans="1:16" x14ac:dyDescent="0.2">
      <c r="A48" s="36" t="s">
        <v>344</v>
      </c>
      <c r="B48" s="33">
        <v>4</v>
      </c>
      <c r="C48" s="33">
        <v>4</v>
      </c>
      <c r="D48" s="33">
        <v>4</v>
      </c>
      <c r="E48" s="33">
        <v>4</v>
      </c>
      <c r="F48" s="33">
        <v>4</v>
      </c>
      <c r="G48" s="33">
        <v>4</v>
      </c>
      <c r="H48" s="33">
        <v>4</v>
      </c>
      <c r="I48" s="33">
        <v>4</v>
      </c>
      <c r="J48" s="33">
        <v>4</v>
      </c>
      <c r="K48" s="33">
        <v>4</v>
      </c>
      <c r="L48" s="33">
        <v>4</v>
      </c>
      <c r="M48" s="33">
        <v>4</v>
      </c>
      <c r="N48" s="33">
        <v>4</v>
      </c>
      <c r="O48" s="33">
        <v>4</v>
      </c>
      <c r="P48" s="33">
        <f>SUM(B48:O48)</f>
        <v>56</v>
      </c>
    </row>
    <row r="49" spans="1:16" x14ac:dyDescent="0.2">
      <c r="A49" s="38" t="s">
        <v>345</v>
      </c>
      <c r="B49" s="40">
        <v>2</v>
      </c>
      <c r="C49" s="33">
        <v>2</v>
      </c>
      <c r="D49" s="33">
        <v>3</v>
      </c>
      <c r="E49" s="33">
        <v>2</v>
      </c>
      <c r="F49" s="33">
        <v>2</v>
      </c>
      <c r="G49" s="33">
        <v>2</v>
      </c>
      <c r="H49" s="33">
        <v>2</v>
      </c>
      <c r="I49" s="33">
        <v>1</v>
      </c>
      <c r="J49" s="33">
        <v>2</v>
      </c>
      <c r="K49" s="33">
        <v>2</v>
      </c>
      <c r="L49" s="33">
        <v>1</v>
      </c>
      <c r="M49" s="33">
        <v>1</v>
      </c>
      <c r="N49" s="33">
        <v>1</v>
      </c>
      <c r="O49" s="33">
        <v>2</v>
      </c>
      <c r="P49" s="33">
        <f>SUM(B49:O49)</f>
        <v>25</v>
      </c>
    </row>
    <row r="50" spans="1:16" x14ac:dyDescent="0.2">
      <c r="A50" s="38" t="s">
        <v>346</v>
      </c>
      <c r="B50" s="37">
        <v>3</v>
      </c>
      <c r="C50" s="37">
        <v>4</v>
      </c>
      <c r="D50" s="37">
        <v>4</v>
      </c>
      <c r="E50" s="37">
        <v>2</v>
      </c>
      <c r="F50" s="37">
        <v>3</v>
      </c>
      <c r="G50" s="37">
        <v>3</v>
      </c>
      <c r="H50" s="37">
        <v>4</v>
      </c>
      <c r="I50" s="37">
        <v>2</v>
      </c>
      <c r="J50" s="37">
        <v>3</v>
      </c>
      <c r="K50" s="37">
        <v>2</v>
      </c>
      <c r="L50" s="37">
        <v>2</v>
      </c>
      <c r="M50" s="37">
        <v>2</v>
      </c>
      <c r="N50" s="37">
        <v>2</v>
      </c>
      <c r="O50" s="37">
        <v>2</v>
      </c>
      <c r="P50" s="37">
        <f>SUM(B50:O50)</f>
        <v>38</v>
      </c>
    </row>
    <row r="51" spans="1:16" x14ac:dyDescent="0.2">
      <c r="A51" s="32" t="s">
        <v>347</v>
      </c>
      <c r="B51" s="33">
        <v>4</v>
      </c>
      <c r="C51" s="33">
        <v>4</v>
      </c>
      <c r="D51" s="33">
        <v>4</v>
      </c>
      <c r="E51" s="33">
        <v>4</v>
      </c>
      <c r="F51" s="33">
        <v>4</v>
      </c>
      <c r="G51" s="33">
        <v>4</v>
      </c>
      <c r="H51" s="33">
        <v>4</v>
      </c>
      <c r="I51" s="33">
        <v>3</v>
      </c>
      <c r="J51" s="33">
        <v>4</v>
      </c>
      <c r="K51" s="33">
        <v>4</v>
      </c>
      <c r="L51" s="33">
        <v>4</v>
      </c>
      <c r="M51" s="33">
        <v>4</v>
      </c>
      <c r="N51" s="33">
        <v>4</v>
      </c>
      <c r="O51" s="33">
        <v>2</v>
      </c>
      <c r="P51" s="33">
        <f t="shared" ref="P51:P90" si="2">SUM(B51:O51)</f>
        <v>53</v>
      </c>
    </row>
    <row r="52" spans="1:16" x14ac:dyDescent="0.2">
      <c r="A52" s="32" t="s">
        <v>348</v>
      </c>
      <c r="B52" s="33">
        <v>4</v>
      </c>
      <c r="C52" s="33">
        <v>4</v>
      </c>
      <c r="D52" s="33">
        <v>4</v>
      </c>
      <c r="E52" s="33">
        <v>4</v>
      </c>
      <c r="F52" s="33">
        <v>3</v>
      </c>
      <c r="G52" s="33">
        <v>4</v>
      </c>
      <c r="H52" s="33">
        <v>4</v>
      </c>
      <c r="I52" s="33">
        <v>3</v>
      </c>
      <c r="J52" s="33">
        <v>4</v>
      </c>
      <c r="K52" s="33">
        <v>4</v>
      </c>
      <c r="L52" s="33">
        <v>2</v>
      </c>
      <c r="M52" s="33">
        <v>1</v>
      </c>
      <c r="N52" s="33">
        <v>2</v>
      </c>
      <c r="O52" s="33">
        <v>0</v>
      </c>
      <c r="P52" s="33">
        <f t="shared" si="2"/>
        <v>43</v>
      </c>
    </row>
    <row r="53" spans="1:16" x14ac:dyDescent="0.2">
      <c r="A53" s="32" t="s">
        <v>349</v>
      </c>
      <c r="B53" s="33">
        <v>4</v>
      </c>
      <c r="C53" s="33">
        <v>4</v>
      </c>
      <c r="D53" s="33">
        <v>4</v>
      </c>
      <c r="E53" s="33">
        <v>4</v>
      </c>
      <c r="F53" s="33">
        <v>4</v>
      </c>
      <c r="G53" s="33">
        <v>4</v>
      </c>
      <c r="H53" s="33">
        <v>4</v>
      </c>
      <c r="I53" s="33">
        <v>4</v>
      </c>
      <c r="J53" s="33">
        <v>4</v>
      </c>
      <c r="K53" s="33">
        <v>4</v>
      </c>
      <c r="L53" s="33">
        <v>4</v>
      </c>
      <c r="M53" s="33">
        <v>4</v>
      </c>
      <c r="N53" s="33">
        <v>3</v>
      </c>
      <c r="O53" s="33">
        <v>4</v>
      </c>
      <c r="P53" s="33">
        <f t="shared" si="2"/>
        <v>55</v>
      </c>
    </row>
    <row r="54" spans="1:16" x14ac:dyDescent="0.2">
      <c r="A54" s="32" t="s">
        <v>350</v>
      </c>
      <c r="B54" s="33">
        <v>4</v>
      </c>
      <c r="C54" s="33">
        <v>4</v>
      </c>
      <c r="D54" s="33">
        <v>4</v>
      </c>
      <c r="E54" s="33">
        <v>4</v>
      </c>
      <c r="F54" s="33">
        <v>4</v>
      </c>
      <c r="G54" s="33">
        <v>4</v>
      </c>
      <c r="H54" s="33">
        <v>4</v>
      </c>
      <c r="I54" s="33">
        <v>3</v>
      </c>
      <c r="J54" s="33">
        <v>4</v>
      </c>
      <c r="K54" s="33">
        <v>2</v>
      </c>
      <c r="L54" s="33">
        <v>2</v>
      </c>
      <c r="M54" s="33">
        <v>4</v>
      </c>
      <c r="N54" s="33">
        <v>3</v>
      </c>
      <c r="O54" s="33">
        <v>3</v>
      </c>
      <c r="P54" s="33">
        <f t="shared" si="2"/>
        <v>49</v>
      </c>
    </row>
    <row r="55" spans="1:16" x14ac:dyDescent="0.2">
      <c r="A55" s="32" t="s">
        <v>351</v>
      </c>
      <c r="B55" s="33">
        <v>4</v>
      </c>
      <c r="C55" s="33">
        <v>4</v>
      </c>
      <c r="D55" s="33">
        <v>4</v>
      </c>
      <c r="E55" s="33">
        <v>4</v>
      </c>
      <c r="F55" s="33">
        <v>4</v>
      </c>
      <c r="G55" s="33">
        <v>4</v>
      </c>
      <c r="H55" s="33">
        <v>4</v>
      </c>
      <c r="I55" s="33">
        <v>4</v>
      </c>
      <c r="J55" s="33">
        <v>4</v>
      </c>
      <c r="K55" s="33">
        <v>4</v>
      </c>
      <c r="L55" s="33">
        <v>4</v>
      </c>
      <c r="M55" s="33">
        <v>4</v>
      </c>
      <c r="N55" s="33">
        <v>4</v>
      </c>
      <c r="O55" s="33">
        <v>4</v>
      </c>
      <c r="P55" s="33">
        <f t="shared" si="2"/>
        <v>56</v>
      </c>
    </row>
    <row r="56" spans="1:16" x14ac:dyDescent="0.2">
      <c r="A56" s="32" t="s">
        <v>352</v>
      </c>
      <c r="B56" s="33">
        <v>4</v>
      </c>
      <c r="C56" s="33">
        <v>4</v>
      </c>
      <c r="D56" s="33">
        <v>4</v>
      </c>
      <c r="E56" s="33">
        <v>4</v>
      </c>
      <c r="F56" s="33">
        <v>4</v>
      </c>
      <c r="G56" s="33">
        <v>4</v>
      </c>
      <c r="H56" s="33">
        <v>4</v>
      </c>
      <c r="I56" s="33">
        <v>4</v>
      </c>
      <c r="J56" s="33">
        <v>4</v>
      </c>
      <c r="K56" s="33">
        <v>4</v>
      </c>
      <c r="L56" s="33">
        <v>4</v>
      </c>
      <c r="M56" s="33">
        <v>4</v>
      </c>
      <c r="N56" s="33">
        <v>4</v>
      </c>
      <c r="O56" s="33">
        <v>4</v>
      </c>
      <c r="P56" s="33">
        <f t="shared" si="2"/>
        <v>56</v>
      </c>
    </row>
    <row r="57" spans="1:16" x14ac:dyDescent="0.2">
      <c r="A57" s="32" t="s">
        <v>353</v>
      </c>
      <c r="B57" s="33">
        <v>4</v>
      </c>
      <c r="C57" s="33">
        <v>4</v>
      </c>
      <c r="D57" s="33">
        <v>4</v>
      </c>
      <c r="E57" s="33">
        <v>4</v>
      </c>
      <c r="F57" s="33">
        <v>4</v>
      </c>
      <c r="G57" s="33">
        <v>4</v>
      </c>
      <c r="H57" s="33">
        <v>4</v>
      </c>
      <c r="I57" s="33">
        <v>3</v>
      </c>
      <c r="J57" s="33">
        <v>4</v>
      </c>
      <c r="K57" s="33">
        <v>4</v>
      </c>
      <c r="L57" s="33">
        <v>3</v>
      </c>
      <c r="M57" s="33">
        <v>3</v>
      </c>
      <c r="N57" s="33">
        <v>3</v>
      </c>
      <c r="O57" s="33">
        <v>3</v>
      </c>
      <c r="P57" s="33">
        <f t="shared" si="2"/>
        <v>51</v>
      </c>
    </row>
    <row r="58" spans="1:16" x14ac:dyDescent="0.2">
      <c r="A58" s="32" t="s">
        <v>354</v>
      </c>
      <c r="B58" s="33">
        <v>4</v>
      </c>
      <c r="C58" s="33">
        <v>4</v>
      </c>
      <c r="D58" s="33">
        <v>4</v>
      </c>
      <c r="E58" s="33">
        <v>4</v>
      </c>
      <c r="F58" s="33">
        <v>4</v>
      </c>
      <c r="G58" s="33">
        <v>4</v>
      </c>
      <c r="H58" s="33">
        <v>4</v>
      </c>
      <c r="I58" s="33">
        <v>3</v>
      </c>
      <c r="J58" s="33">
        <v>4</v>
      </c>
      <c r="K58" s="33">
        <v>3</v>
      </c>
      <c r="L58" s="33">
        <v>4</v>
      </c>
      <c r="M58" s="33">
        <v>4</v>
      </c>
      <c r="N58" s="33">
        <v>4</v>
      </c>
      <c r="O58" s="33">
        <v>4</v>
      </c>
      <c r="P58" s="33">
        <f t="shared" si="2"/>
        <v>54</v>
      </c>
    </row>
    <row r="59" spans="1:16" x14ac:dyDescent="0.2">
      <c r="A59" s="32" t="s">
        <v>355</v>
      </c>
      <c r="B59" s="33">
        <v>4</v>
      </c>
      <c r="C59" s="33">
        <v>4</v>
      </c>
      <c r="D59" s="33">
        <v>4</v>
      </c>
      <c r="E59" s="33">
        <v>4</v>
      </c>
      <c r="F59" s="33">
        <v>4</v>
      </c>
      <c r="G59" s="33">
        <v>4</v>
      </c>
      <c r="H59" s="33">
        <v>4</v>
      </c>
      <c r="I59" s="33">
        <v>4</v>
      </c>
      <c r="J59" s="33">
        <v>4</v>
      </c>
      <c r="K59" s="33">
        <v>4</v>
      </c>
      <c r="L59" s="33">
        <v>4</v>
      </c>
      <c r="M59" s="33">
        <v>4</v>
      </c>
      <c r="N59" s="33">
        <v>4</v>
      </c>
      <c r="O59" s="33">
        <v>4</v>
      </c>
      <c r="P59" s="33">
        <f t="shared" si="2"/>
        <v>56</v>
      </c>
    </row>
    <row r="60" spans="1:16" x14ac:dyDescent="0.2">
      <c r="A60" s="32" t="s">
        <v>358</v>
      </c>
      <c r="B60" s="33">
        <v>4</v>
      </c>
      <c r="C60" s="33">
        <v>4</v>
      </c>
      <c r="D60" s="33">
        <v>4</v>
      </c>
      <c r="E60" s="33">
        <v>4</v>
      </c>
      <c r="F60" s="33">
        <v>4</v>
      </c>
      <c r="G60" s="33">
        <v>4</v>
      </c>
      <c r="H60" s="33">
        <v>4</v>
      </c>
      <c r="I60" s="33">
        <v>4</v>
      </c>
      <c r="J60" s="33">
        <v>4</v>
      </c>
      <c r="K60" s="33">
        <v>4</v>
      </c>
      <c r="L60" s="33">
        <v>4</v>
      </c>
      <c r="M60" s="33">
        <v>4</v>
      </c>
      <c r="N60" s="33">
        <v>3</v>
      </c>
      <c r="O60" s="33">
        <v>3</v>
      </c>
      <c r="P60" s="33">
        <f t="shared" si="2"/>
        <v>54</v>
      </c>
    </row>
    <row r="61" spans="1:16" x14ac:dyDescent="0.2">
      <c r="A61" s="32" t="s">
        <v>360</v>
      </c>
      <c r="B61" s="33">
        <v>4</v>
      </c>
      <c r="C61" s="33">
        <v>4</v>
      </c>
      <c r="D61" s="33">
        <v>4</v>
      </c>
      <c r="E61" s="33">
        <v>4</v>
      </c>
      <c r="F61" s="33">
        <v>4</v>
      </c>
      <c r="G61" s="33">
        <v>4</v>
      </c>
      <c r="H61" s="33">
        <v>4</v>
      </c>
      <c r="I61" s="33">
        <v>4</v>
      </c>
      <c r="J61" s="33">
        <v>4</v>
      </c>
      <c r="K61" s="33">
        <v>4</v>
      </c>
      <c r="L61" s="33">
        <v>4</v>
      </c>
      <c r="M61" s="33">
        <v>4</v>
      </c>
      <c r="N61" s="33">
        <v>4</v>
      </c>
      <c r="O61" s="33">
        <v>4</v>
      </c>
      <c r="P61" s="33">
        <f t="shared" si="2"/>
        <v>56</v>
      </c>
    </row>
    <row r="62" spans="1:16" x14ac:dyDescent="0.2">
      <c r="A62" s="32" t="s">
        <v>362</v>
      </c>
      <c r="B62" s="33">
        <v>4</v>
      </c>
      <c r="C62" s="33">
        <v>4</v>
      </c>
      <c r="D62" s="33">
        <v>4</v>
      </c>
      <c r="E62" s="33">
        <v>4</v>
      </c>
      <c r="F62" s="33">
        <v>4</v>
      </c>
      <c r="G62" s="33">
        <v>3</v>
      </c>
      <c r="H62" s="33">
        <v>3</v>
      </c>
      <c r="I62" s="33">
        <v>4</v>
      </c>
      <c r="J62" s="33">
        <v>4</v>
      </c>
      <c r="K62" s="33">
        <v>4</v>
      </c>
      <c r="L62" s="33">
        <v>3</v>
      </c>
      <c r="M62" s="33">
        <v>3</v>
      </c>
      <c r="N62" s="33">
        <v>3</v>
      </c>
      <c r="O62" s="33">
        <v>3</v>
      </c>
      <c r="P62" s="33">
        <f t="shared" si="2"/>
        <v>50</v>
      </c>
    </row>
    <row r="63" spans="1:16" x14ac:dyDescent="0.2">
      <c r="A63" s="32" t="s">
        <v>365</v>
      </c>
      <c r="B63" s="33">
        <v>4</v>
      </c>
      <c r="C63" s="33">
        <v>4</v>
      </c>
      <c r="D63" s="33">
        <v>4</v>
      </c>
      <c r="E63" s="33">
        <v>4</v>
      </c>
      <c r="F63" s="33">
        <v>4</v>
      </c>
      <c r="G63" s="33">
        <v>4</v>
      </c>
      <c r="H63" s="33">
        <v>4</v>
      </c>
      <c r="I63" s="33">
        <v>3</v>
      </c>
      <c r="J63" s="33">
        <v>4</v>
      </c>
      <c r="K63" s="33">
        <v>4</v>
      </c>
      <c r="L63" s="33">
        <v>3</v>
      </c>
      <c r="M63" s="33">
        <v>4</v>
      </c>
      <c r="N63" s="33">
        <v>2</v>
      </c>
      <c r="O63" s="33">
        <v>4</v>
      </c>
      <c r="P63" s="33">
        <f t="shared" si="2"/>
        <v>52</v>
      </c>
    </row>
    <row r="64" spans="1:16" x14ac:dyDescent="0.2">
      <c r="A64" s="32" t="s">
        <v>366</v>
      </c>
      <c r="B64" s="33">
        <v>4</v>
      </c>
      <c r="C64" s="33">
        <v>4</v>
      </c>
      <c r="D64" s="33">
        <v>4</v>
      </c>
      <c r="E64" s="33">
        <v>4</v>
      </c>
      <c r="F64" s="33">
        <v>4</v>
      </c>
      <c r="G64" s="33">
        <v>4</v>
      </c>
      <c r="H64" s="33">
        <v>4</v>
      </c>
      <c r="I64" s="33">
        <v>4</v>
      </c>
      <c r="J64" s="33">
        <v>4</v>
      </c>
      <c r="K64" s="33">
        <v>4</v>
      </c>
      <c r="L64" s="33">
        <v>3</v>
      </c>
      <c r="M64" s="33">
        <v>4</v>
      </c>
      <c r="N64" s="33">
        <v>3</v>
      </c>
      <c r="O64" s="33">
        <v>2</v>
      </c>
      <c r="P64" s="33">
        <f t="shared" si="2"/>
        <v>52</v>
      </c>
    </row>
    <row r="65" spans="1:16" x14ac:dyDescent="0.2">
      <c r="A65" s="32" t="s">
        <v>368</v>
      </c>
      <c r="B65" s="33">
        <v>4</v>
      </c>
      <c r="C65" s="33">
        <v>4</v>
      </c>
      <c r="D65" s="33">
        <v>4</v>
      </c>
      <c r="E65" s="33">
        <v>4</v>
      </c>
      <c r="F65" s="33">
        <v>4</v>
      </c>
      <c r="G65" s="33">
        <v>4</v>
      </c>
      <c r="H65" s="33">
        <v>4</v>
      </c>
      <c r="I65" s="33">
        <v>4</v>
      </c>
      <c r="J65" s="33">
        <v>4</v>
      </c>
      <c r="K65" s="33">
        <v>4</v>
      </c>
      <c r="L65" s="33">
        <v>4</v>
      </c>
      <c r="M65" s="33">
        <v>4</v>
      </c>
      <c r="N65" s="33">
        <v>4</v>
      </c>
      <c r="O65" s="33">
        <v>4</v>
      </c>
      <c r="P65" s="33">
        <f t="shared" si="2"/>
        <v>56</v>
      </c>
    </row>
    <row r="66" spans="1:16" x14ac:dyDescent="0.2">
      <c r="A66" s="32" t="s">
        <v>369</v>
      </c>
      <c r="B66" s="33">
        <v>3</v>
      </c>
      <c r="C66" s="33">
        <v>3</v>
      </c>
      <c r="D66" s="33">
        <v>3</v>
      </c>
      <c r="E66" s="33">
        <v>3</v>
      </c>
      <c r="F66" s="33">
        <v>3</v>
      </c>
      <c r="G66" s="33">
        <v>3</v>
      </c>
      <c r="H66" s="33">
        <v>3</v>
      </c>
      <c r="I66" s="33">
        <v>2</v>
      </c>
      <c r="J66" s="33">
        <v>3</v>
      </c>
      <c r="K66" s="33">
        <v>3</v>
      </c>
      <c r="L66" s="33">
        <v>2</v>
      </c>
      <c r="M66" s="33">
        <v>2</v>
      </c>
      <c r="N66" s="33">
        <v>1</v>
      </c>
      <c r="O66" s="33">
        <v>0</v>
      </c>
      <c r="P66" s="33">
        <f t="shared" si="2"/>
        <v>34</v>
      </c>
    </row>
    <row r="67" spans="1:16" x14ac:dyDescent="0.2">
      <c r="A67" s="32" t="s">
        <v>370</v>
      </c>
      <c r="B67" s="33">
        <v>3</v>
      </c>
      <c r="C67" s="33">
        <v>4</v>
      </c>
      <c r="D67" s="33">
        <v>4</v>
      </c>
      <c r="E67" s="33">
        <v>3</v>
      </c>
      <c r="F67" s="33">
        <v>2</v>
      </c>
      <c r="G67" s="33">
        <v>4</v>
      </c>
      <c r="H67" s="33">
        <v>4</v>
      </c>
      <c r="I67" s="33">
        <v>3</v>
      </c>
      <c r="J67" s="33">
        <v>3</v>
      </c>
      <c r="K67" s="33">
        <v>2</v>
      </c>
      <c r="L67" s="33">
        <v>2</v>
      </c>
      <c r="M67" s="33">
        <v>4</v>
      </c>
      <c r="N67" s="33">
        <v>2</v>
      </c>
      <c r="O67" s="33">
        <v>4</v>
      </c>
      <c r="P67" s="33">
        <f t="shared" si="2"/>
        <v>44</v>
      </c>
    </row>
    <row r="68" spans="1:16" x14ac:dyDescent="0.2">
      <c r="A68" s="32" t="s">
        <v>371</v>
      </c>
      <c r="B68" s="33">
        <v>4</v>
      </c>
      <c r="C68" s="33">
        <v>4</v>
      </c>
      <c r="D68" s="33">
        <v>4</v>
      </c>
      <c r="E68" s="33">
        <v>4</v>
      </c>
      <c r="F68" s="33">
        <v>4</v>
      </c>
      <c r="G68" s="33">
        <v>4</v>
      </c>
      <c r="H68" s="33">
        <v>4</v>
      </c>
      <c r="I68" s="33">
        <v>3</v>
      </c>
      <c r="J68" s="33">
        <v>4</v>
      </c>
      <c r="K68" s="33">
        <v>3</v>
      </c>
      <c r="L68" s="33">
        <v>3</v>
      </c>
      <c r="M68" s="33">
        <v>4</v>
      </c>
      <c r="N68" s="33">
        <v>4</v>
      </c>
      <c r="O68" s="33">
        <v>4</v>
      </c>
      <c r="P68" s="33">
        <f t="shared" si="2"/>
        <v>53</v>
      </c>
    </row>
    <row r="69" spans="1:16" x14ac:dyDescent="0.2">
      <c r="A69" s="32" t="s">
        <v>372</v>
      </c>
      <c r="B69" s="33">
        <v>4</v>
      </c>
      <c r="C69" s="33">
        <v>4</v>
      </c>
      <c r="D69" s="33">
        <v>4</v>
      </c>
      <c r="E69" s="33">
        <v>4</v>
      </c>
      <c r="F69" s="33">
        <v>3</v>
      </c>
      <c r="G69" s="33">
        <v>4</v>
      </c>
      <c r="H69" s="33">
        <v>4</v>
      </c>
      <c r="I69" s="33">
        <v>4</v>
      </c>
      <c r="J69" s="33">
        <v>4</v>
      </c>
      <c r="K69" s="33">
        <v>4</v>
      </c>
      <c r="L69" s="33">
        <v>4</v>
      </c>
      <c r="M69" s="33">
        <v>4</v>
      </c>
      <c r="N69" s="33">
        <v>3</v>
      </c>
      <c r="O69" s="33">
        <v>3</v>
      </c>
      <c r="P69" s="33">
        <f t="shared" si="2"/>
        <v>53</v>
      </c>
    </row>
    <row r="70" spans="1:16" x14ac:dyDescent="0.2">
      <c r="A70" s="32" t="s">
        <v>375</v>
      </c>
      <c r="B70" s="32">
        <v>4</v>
      </c>
      <c r="C70" s="32">
        <v>4</v>
      </c>
      <c r="D70" s="32">
        <v>4</v>
      </c>
      <c r="E70" s="32">
        <v>4</v>
      </c>
      <c r="F70" s="32">
        <v>4</v>
      </c>
      <c r="G70" s="32">
        <v>4</v>
      </c>
      <c r="H70" s="32">
        <v>4</v>
      </c>
      <c r="I70" s="32">
        <v>3</v>
      </c>
      <c r="J70" s="32">
        <v>4</v>
      </c>
      <c r="K70" s="32">
        <v>4</v>
      </c>
      <c r="L70" s="32">
        <v>4</v>
      </c>
      <c r="M70" s="32">
        <v>4</v>
      </c>
      <c r="N70" s="32">
        <v>3</v>
      </c>
      <c r="O70" s="32">
        <v>4</v>
      </c>
      <c r="P70" s="33">
        <f t="shared" si="2"/>
        <v>54</v>
      </c>
    </row>
    <row r="71" spans="1:16" x14ac:dyDescent="0.2">
      <c r="A71" s="32" t="s">
        <v>379</v>
      </c>
      <c r="B71" s="32">
        <v>3</v>
      </c>
      <c r="C71" s="32">
        <v>4</v>
      </c>
      <c r="D71" s="32">
        <v>4</v>
      </c>
      <c r="E71" s="32">
        <v>3</v>
      </c>
      <c r="F71" s="32">
        <v>3</v>
      </c>
      <c r="G71" s="32">
        <v>4</v>
      </c>
      <c r="H71" s="32">
        <v>4</v>
      </c>
      <c r="I71" s="32">
        <v>1</v>
      </c>
      <c r="J71" s="32">
        <v>4</v>
      </c>
      <c r="K71" s="32">
        <v>4</v>
      </c>
      <c r="L71" s="32">
        <v>4</v>
      </c>
      <c r="M71" s="32">
        <v>4</v>
      </c>
      <c r="N71" s="32">
        <v>3</v>
      </c>
      <c r="O71" s="32">
        <v>1</v>
      </c>
      <c r="P71" s="33">
        <f t="shared" si="2"/>
        <v>46</v>
      </c>
    </row>
    <row r="72" spans="1:16" x14ac:dyDescent="0.2">
      <c r="A72" s="32" t="s">
        <v>380</v>
      </c>
      <c r="B72" s="32">
        <v>4</v>
      </c>
      <c r="C72" s="32">
        <v>4</v>
      </c>
      <c r="D72" s="32">
        <v>4</v>
      </c>
      <c r="E72" s="32">
        <v>4</v>
      </c>
      <c r="F72" s="32">
        <v>4</v>
      </c>
      <c r="G72" s="32">
        <v>4</v>
      </c>
      <c r="H72" s="32">
        <v>4</v>
      </c>
      <c r="I72" s="32">
        <v>4</v>
      </c>
      <c r="J72" s="32">
        <v>4</v>
      </c>
      <c r="K72" s="32">
        <v>4</v>
      </c>
      <c r="L72" s="32">
        <v>4</v>
      </c>
      <c r="M72" s="32">
        <v>4</v>
      </c>
      <c r="N72" s="32">
        <v>4</v>
      </c>
      <c r="O72" s="32">
        <v>4</v>
      </c>
      <c r="P72" s="33">
        <f t="shared" si="2"/>
        <v>56</v>
      </c>
    </row>
    <row r="73" spans="1:16" x14ac:dyDescent="0.2">
      <c r="A73" s="32" t="s">
        <v>381</v>
      </c>
      <c r="B73" s="33">
        <v>2</v>
      </c>
      <c r="C73" s="33">
        <v>2</v>
      </c>
      <c r="D73" s="33">
        <v>2</v>
      </c>
      <c r="E73" s="33">
        <v>2</v>
      </c>
      <c r="F73" s="33">
        <v>1</v>
      </c>
      <c r="G73" s="33">
        <v>0</v>
      </c>
      <c r="H73" s="33">
        <v>1</v>
      </c>
      <c r="I73" s="33">
        <v>2</v>
      </c>
      <c r="J73" s="33">
        <v>1</v>
      </c>
      <c r="K73" s="33">
        <v>1</v>
      </c>
      <c r="L73" s="33">
        <v>0</v>
      </c>
      <c r="M73" s="33">
        <v>1</v>
      </c>
      <c r="N73" s="33">
        <v>0</v>
      </c>
      <c r="O73" s="33">
        <v>0</v>
      </c>
      <c r="P73" s="33">
        <f t="shared" si="2"/>
        <v>15</v>
      </c>
    </row>
    <row r="74" spans="1:16" x14ac:dyDescent="0.2">
      <c r="A74" s="32" t="s">
        <v>382</v>
      </c>
      <c r="B74" s="33">
        <v>3</v>
      </c>
      <c r="C74" s="42">
        <v>4</v>
      </c>
      <c r="D74" s="33">
        <v>4</v>
      </c>
      <c r="E74" s="33">
        <v>4</v>
      </c>
      <c r="F74" s="33">
        <v>3</v>
      </c>
      <c r="G74" s="33">
        <v>4</v>
      </c>
      <c r="H74" s="33">
        <v>4</v>
      </c>
      <c r="I74" s="33">
        <v>4</v>
      </c>
      <c r="J74" s="33">
        <v>4</v>
      </c>
      <c r="K74" s="33">
        <v>3</v>
      </c>
      <c r="L74" s="33">
        <v>2</v>
      </c>
      <c r="M74" s="33">
        <v>0</v>
      </c>
      <c r="N74" s="33">
        <v>2</v>
      </c>
      <c r="O74" s="33">
        <v>1</v>
      </c>
      <c r="P74" s="33">
        <f t="shared" si="2"/>
        <v>42</v>
      </c>
    </row>
    <row r="75" spans="1:16" x14ac:dyDescent="0.2">
      <c r="A75" s="32" t="s">
        <v>384</v>
      </c>
      <c r="B75" s="33">
        <v>4</v>
      </c>
      <c r="C75" s="42">
        <v>4</v>
      </c>
      <c r="D75" s="33">
        <v>4</v>
      </c>
      <c r="E75" s="33">
        <v>4</v>
      </c>
      <c r="F75" s="33">
        <v>4</v>
      </c>
      <c r="G75" s="33">
        <v>4</v>
      </c>
      <c r="H75" s="33">
        <v>4</v>
      </c>
      <c r="I75" s="33">
        <v>4</v>
      </c>
      <c r="J75" s="33">
        <v>4</v>
      </c>
      <c r="K75" s="33">
        <v>4</v>
      </c>
      <c r="L75" s="33">
        <v>4</v>
      </c>
      <c r="M75" s="33">
        <v>4</v>
      </c>
      <c r="N75" s="33">
        <v>4</v>
      </c>
      <c r="O75" s="33">
        <v>3</v>
      </c>
      <c r="P75" s="33">
        <f t="shared" si="2"/>
        <v>55</v>
      </c>
    </row>
    <row r="76" spans="1:16" x14ac:dyDescent="0.2">
      <c r="A76" s="32" t="s">
        <v>385</v>
      </c>
      <c r="B76" s="33">
        <v>4</v>
      </c>
      <c r="C76" s="42">
        <v>4</v>
      </c>
      <c r="D76" s="33">
        <v>4</v>
      </c>
      <c r="E76" s="33">
        <v>4</v>
      </c>
      <c r="F76" s="33">
        <v>4</v>
      </c>
      <c r="G76" s="33">
        <v>4</v>
      </c>
      <c r="H76" s="33">
        <v>4</v>
      </c>
      <c r="I76" s="33">
        <v>3</v>
      </c>
      <c r="J76" s="33">
        <v>4</v>
      </c>
      <c r="K76" s="33">
        <v>3</v>
      </c>
      <c r="L76" s="33">
        <v>4</v>
      </c>
      <c r="M76" s="33">
        <v>4</v>
      </c>
      <c r="N76" s="33">
        <v>4</v>
      </c>
      <c r="O76" s="33">
        <v>4</v>
      </c>
      <c r="P76" s="33">
        <f t="shared" si="2"/>
        <v>54</v>
      </c>
    </row>
    <row r="77" spans="1:16" x14ac:dyDescent="0.2">
      <c r="A77" s="32" t="s">
        <v>386</v>
      </c>
      <c r="B77" s="33">
        <v>4</v>
      </c>
      <c r="C77" s="42">
        <v>4</v>
      </c>
      <c r="D77" s="33">
        <v>4</v>
      </c>
      <c r="E77" s="33">
        <v>4</v>
      </c>
      <c r="F77" s="33">
        <v>4</v>
      </c>
      <c r="G77" s="33">
        <v>4</v>
      </c>
      <c r="H77" s="33">
        <v>4</v>
      </c>
      <c r="I77" s="33">
        <v>4</v>
      </c>
      <c r="J77" s="33">
        <v>4</v>
      </c>
      <c r="K77" s="33">
        <v>4</v>
      </c>
      <c r="L77" s="33">
        <v>4</v>
      </c>
      <c r="M77" s="33">
        <v>4</v>
      </c>
      <c r="N77" s="33">
        <v>3</v>
      </c>
      <c r="O77" s="33">
        <v>4</v>
      </c>
      <c r="P77" s="33">
        <f t="shared" si="2"/>
        <v>55</v>
      </c>
    </row>
    <row r="78" spans="1:16" x14ac:dyDescent="0.2">
      <c r="A78" s="32" t="s">
        <v>387</v>
      </c>
      <c r="B78" s="33">
        <v>4</v>
      </c>
      <c r="C78" s="42">
        <v>4</v>
      </c>
      <c r="D78" s="33">
        <v>4</v>
      </c>
      <c r="E78" s="33">
        <v>4</v>
      </c>
      <c r="F78" s="33">
        <v>4</v>
      </c>
      <c r="G78" s="33">
        <v>4</v>
      </c>
      <c r="H78" s="33">
        <v>4</v>
      </c>
      <c r="I78" s="33">
        <v>4</v>
      </c>
      <c r="J78" s="33">
        <v>4</v>
      </c>
      <c r="K78" s="33">
        <v>4</v>
      </c>
      <c r="L78" s="33">
        <v>3</v>
      </c>
      <c r="M78" s="33">
        <v>4</v>
      </c>
      <c r="N78" s="33">
        <v>3</v>
      </c>
      <c r="O78" s="33">
        <v>2</v>
      </c>
      <c r="P78" s="33">
        <f t="shared" si="2"/>
        <v>52</v>
      </c>
    </row>
    <row r="79" spans="1:16" x14ac:dyDescent="0.2">
      <c r="A79" s="32" t="s">
        <v>388</v>
      </c>
      <c r="B79" s="33">
        <v>4</v>
      </c>
      <c r="C79" s="42">
        <v>4</v>
      </c>
      <c r="D79" s="33">
        <v>4</v>
      </c>
      <c r="E79" s="33">
        <v>4</v>
      </c>
      <c r="F79" s="33">
        <v>4</v>
      </c>
      <c r="G79" s="33">
        <v>4</v>
      </c>
      <c r="H79" s="33">
        <v>4</v>
      </c>
      <c r="I79" s="33">
        <v>4</v>
      </c>
      <c r="J79" s="33">
        <v>4</v>
      </c>
      <c r="K79" s="33">
        <v>4</v>
      </c>
      <c r="L79" s="33">
        <v>4</v>
      </c>
      <c r="M79" s="33">
        <v>4</v>
      </c>
      <c r="N79" s="33">
        <v>2</v>
      </c>
      <c r="O79" s="33">
        <v>2</v>
      </c>
      <c r="P79" s="33">
        <f t="shared" si="2"/>
        <v>52</v>
      </c>
    </row>
    <row r="80" spans="1:16" x14ac:dyDescent="0.2">
      <c r="A80" s="32" t="s">
        <v>389</v>
      </c>
      <c r="B80" s="33">
        <v>4</v>
      </c>
      <c r="C80" s="42">
        <v>3</v>
      </c>
      <c r="D80" s="33">
        <v>4</v>
      </c>
      <c r="E80" s="33">
        <v>4</v>
      </c>
      <c r="F80" s="33">
        <v>2</v>
      </c>
      <c r="G80" s="33">
        <v>3</v>
      </c>
      <c r="H80" s="33">
        <v>3</v>
      </c>
      <c r="I80" s="33">
        <v>2</v>
      </c>
      <c r="J80" s="33">
        <v>4</v>
      </c>
      <c r="K80" s="33">
        <v>4</v>
      </c>
      <c r="L80" s="33">
        <v>1</v>
      </c>
      <c r="M80" s="33">
        <v>2</v>
      </c>
      <c r="N80" s="33">
        <v>2</v>
      </c>
      <c r="O80" s="33">
        <v>2</v>
      </c>
      <c r="P80" s="33">
        <f t="shared" si="2"/>
        <v>40</v>
      </c>
    </row>
    <row r="81" spans="1:16" x14ac:dyDescent="0.2">
      <c r="A81" s="32" t="s">
        <v>390</v>
      </c>
      <c r="B81" s="33">
        <v>4</v>
      </c>
      <c r="C81" s="42">
        <v>4</v>
      </c>
      <c r="D81" s="33">
        <v>4</v>
      </c>
      <c r="E81" s="33">
        <v>4</v>
      </c>
      <c r="F81" s="33">
        <v>4</v>
      </c>
      <c r="G81" s="33">
        <v>4</v>
      </c>
      <c r="H81" s="33">
        <v>4</v>
      </c>
      <c r="I81" s="33">
        <v>4</v>
      </c>
      <c r="J81" s="33">
        <v>4</v>
      </c>
      <c r="K81" s="33">
        <v>4</v>
      </c>
      <c r="L81" s="33">
        <v>4</v>
      </c>
      <c r="M81" s="33">
        <v>4</v>
      </c>
      <c r="N81" s="33">
        <v>4</v>
      </c>
      <c r="O81" s="33">
        <v>4</v>
      </c>
      <c r="P81" s="33">
        <f t="shared" si="2"/>
        <v>56</v>
      </c>
    </row>
    <row r="82" spans="1:16" x14ac:dyDescent="0.2">
      <c r="A82" s="32" t="s">
        <v>391</v>
      </c>
      <c r="B82" s="33">
        <v>4</v>
      </c>
      <c r="C82" s="42">
        <v>4</v>
      </c>
      <c r="D82" s="33">
        <v>4</v>
      </c>
      <c r="E82" s="33">
        <v>4</v>
      </c>
      <c r="F82" s="33">
        <v>4</v>
      </c>
      <c r="G82" s="33">
        <v>4</v>
      </c>
      <c r="H82" s="33">
        <v>4</v>
      </c>
      <c r="I82" s="33">
        <v>3</v>
      </c>
      <c r="J82" s="33">
        <v>4</v>
      </c>
      <c r="K82" s="33">
        <v>4</v>
      </c>
      <c r="L82" s="33">
        <v>3</v>
      </c>
      <c r="M82" s="33">
        <v>4</v>
      </c>
      <c r="N82" s="33">
        <v>4</v>
      </c>
      <c r="O82" s="33">
        <v>4</v>
      </c>
      <c r="P82" s="33">
        <f t="shared" si="2"/>
        <v>54</v>
      </c>
    </row>
    <row r="83" spans="1:16" x14ac:dyDescent="0.2">
      <c r="A83" s="32" t="s">
        <v>392</v>
      </c>
      <c r="B83" s="33">
        <v>4</v>
      </c>
      <c r="C83" s="42">
        <v>4</v>
      </c>
      <c r="D83" s="33">
        <v>4</v>
      </c>
      <c r="E83" s="33">
        <v>4</v>
      </c>
      <c r="F83" s="33">
        <v>4</v>
      </c>
      <c r="G83" s="33">
        <v>4</v>
      </c>
      <c r="H83" s="33">
        <v>4</v>
      </c>
      <c r="I83" s="33">
        <v>4</v>
      </c>
      <c r="J83" s="33">
        <v>4</v>
      </c>
      <c r="K83" s="33">
        <v>4</v>
      </c>
      <c r="L83" s="33">
        <v>4</v>
      </c>
      <c r="M83" s="33">
        <v>4</v>
      </c>
      <c r="N83" s="33">
        <v>4</v>
      </c>
      <c r="O83" s="33">
        <v>4</v>
      </c>
      <c r="P83" s="33">
        <f t="shared" si="2"/>
        <v>56</v>
      </c>
    </row>
    <row r="84" spans="1:16" x14ac:dyDescent="0.2">
      <c r="A84" s="32" t="s">
        <v>393</v>
      </c>
      <c r="B84" s="33">
        <v>4</v>
      </c>
      <c r="C84" s="42">
        <v>4</v>
      </c>
      <c r="D84" s="33">
        <v>4</v>
      </c>
      <c r="E84" s="33">
        <v>4</v>
      </c>
      <c r="F84" s="33">
        <v>4</v>
      </c>
      <c r="G84" s="33">
        <v>4</v>
      </c>
      <c r="H84" s="33">
        <v>4</v>
      </c>
      <c r="I84" s="33">
        <v>3</v>
      </c>
      <c r="J84" s="33">
        <v>4</v>
      </c>
      <c r="K84" s="33">
        <v>4</v>
      </c>
      <c r="L84" s="33">
        <v>3</v>
      </c>
      <c r="M84" s="33">
        <v>3</v>
      </c>
      <c r="N84" s="33">
        <v>3</v>
      </c>
      <c r="O84" s="33">
        <v>2</v>
      </c>
      <c r="P84" s="33">
        <f t="shared" si="2"/>
        <v>50</v>
      </c>
    </row>
    <row r="85" spans="1:16" x14ac:dyDescent="0.2">
      <c r="A85" s="32" t="s">
        <v>395</v>
      </c>
      <c r="B85" s="33">
        <v>4</v>
      </c>
      <c r="C85" s="42">
        <v>4</v>
      </c>
      <c r="D85" s="33">
        <v>4</v>
      </c>
      <c r="E85" s="33">
        <v>4</v>
      </c>
      <c r="F85" s="33">
        <v>4</v>
      </c>
      <c r="G85" s="33">
        <v>4</v>
      </c>
      <c r="H85" s="33">
        <v>4</v>
      </c>
      <c r="I85" s="33">
        <v>3</v>
      </c>
      <c r="J85" s="33">
        <v>3</v>
      </c>
      <c r="K85" s="33">
        <v>4</v>
      </c>
      <c r="L85" s="33">
        <v>3</v>
      </c>
      <c r="M85" s="33">
        <v>4</v>
      </c>
      <c r="N85" s="33">
        <v>4</v>
      </c>
      <c r="O85" s="33">
        <v>4</v>
      </c>
      <c r="P85" s="33">
        <f t="shared" si="2"/>
        <v>53</v>
      </c>
    </row>
    <row r="86" spans="1:16" x14ac:dyDescent="0.2">
      <c r="A86" s="32" t="s">
        <v>396</v>
      </c>
      <c r="B86" s="33">
        <v>4</v>
      </c>
      <c r="C86" s="42">
        <v>4</v>
      </c>
      <c r="D86" s="33">
        <v>4</v>
      </c>
      <c r="E86" s="33">
        <v>4</v>
      </c>
      <c r="F86" s="33">
        <v>4</v>
      </c>
      <c r="G86" s="33">
        <v>4</v>
      </c>
      <c r="H86" s="33">
        <v>4</v>
      </c>
      <c r="I86" s="33">
        <v>3</v>
      </c>
      <c r="J86" s="33">
        <v>4</v>
      </c>
      <c r="K86" s="33">
        <v>4</v>
      </c>
      <c r="L86" s="33">
        <v>3</v>
      </c>
      <c r="M86" s="33">
        <v>2</v>
      </c>
      <c r="N86" s="33">
        <v>3</v>
      </c>
      <c r="O86" s="33">
        <v>1</v>
      </c>
      <c r="P86" s="33">
        <f t="shared" si="2"/>
        <v>48</v>
      </c>
    </row>
    <row r="87" spans="1:16" x14ac:dyDescent="0.2">
      <c r="A87" s="32" t="s">
        <v>398</v>
      </c>
      <c r="B87" s="33">
        <v>4</v>
      </c>
      <c r="C87" s="42">
        <v>4</v>
      </c>
      <c r="D87" s="33">
        <v>4</v>
      </c>
      <c r="E87" s="33">
        <v>4</v>
      </c>
      <c r="F87" s="33">
        <v>4</v>
      </c>
      <c r="G87" s="33">
        <v>4</v>
      </c>
      <c r="H87" s="33">
        <v>4</v>
      </c>
      <c r="I87" s="33">
        <v>2</v>
      </c>
      <c r="J87" s="33">
        <v>4</v>
      </c>
      <c r="K87" s="33">
        <v>4</v>
      </c>
      <c r="L87" s="33">
        <v>2</v>
      </c>
      <c r="M87" s="33">
        <v>3</v>
      </c>
      <c r="N87" s="33">
        <v>3</v>
      </c>
      <c r="O87" s="33">
        <v>1</v>
      </c>
      <c r="P87" s="33">
        <f t="shared" si="2"/>
        <v>47</v>
      </c>
    </row>
    <row r="88" spans="1:16" x14ac:dyDescent="0.2">
      <c r="A88" s="32" t="s">
        <v>400</v>
      </c>
      <c r="B88" s="33">
        <v>4</v>
      </c>
      <c r="C88" s="42">
        <v>4</v>
      </c>
      <c r="D88" s="33">
        <v>4</v>
      </c>
      <c r="E88" s="33">
        <v>4</v>
      </c>
      <c r="F88" s="33">
        <v>4</v>
      </c>
      <c r="G88" s="33">
        <v>4</v>
      </c>
      <c r="H88" s="33">
        <v>4</v>
      </c>
      <c r="I88" s="33">
        <v>4</v>
      </c>
      <c r="J88" s="33">
        <v>4</v>
      </c>
      <c r="K88" s="33">
        <v>4</v>
      </c>
      <c r="L88" s="33">
        <v>4</v>
      </c>
      <c r="M88" s="33">
        <v>4</v>
      </c>
      <c r="N88" s="33">
        <v>4</v>
      </c>
      <c r="O88" s="33">
        <v>4</v>
      </c>
      <c r="P88" s="33">
        <f t="shared" si="2"/>
        <v>56</v>
      </c>
    </row>
    <row r="89" spans="1:16" x14ac:dyDescent="0.2">
      <c r="A89" s="32" t="s">
        <v>401</v>
      </c>
      <c r="B89" s="33">
        <v>4</v>
      </c>
      <c r="C89" s="42">
        <v>4</v>
      </c>
      <c r="D89" s="33">
        <v>4</v>
      </c>
      <c r="E89" s="33">
        <v>4</v>
      </c>
      <c r="F89" s="33">
        <v>4</v>
      </c>
      <c r="G89" s="33">
        <v>4</v>
      </c>
      <c r="H89" s="33">
        <v>4</v>
      </c>
      <c r="I89" s="33">
        <v>4</v>
      </c>
      <c r="J89" s="33">
        <v>4</v>
      </c>
      <c r="K89" s="33">
        <v>4</v>
      </c>
      <c r="L89" s="33">
        <v>4</v>
      </c>
      <c r="M89" s="33">
        <v>4</v>
      </c>
      <c r="N89" s="33">
        <v>4</v>
      </c>
      <c r="O89" s="33">
        <v>4</v>
      </c>
      <c r="P89" s="33">
        <f t="shared" si="2"/>
        <v>56</v>
      </c>
    </row>
    <row r="90" spans="1:16" x14ac:dyDescent="0.2">
      <c r="A90" s="32" t="s">
        <v>402</v>
      </c>
      <c r="B90" s="33">
        <v>4</v>
      </c>
      <c r="C90" s="42">
        <v>4</v>
      </c>
      <c r="D90" s="33">
        <v>4</v>
      </c>
      <c r="E90" s="33">
        <v>4</v>
      </c>
      <c r="F90" s="33">
        <v>4</v>
      </c>
      <c r="G90" s="33">
        <v>4</v>
      </c>
      <c r="H90" s="33">
        <v>4</v>
      </c>
      <c r="I90" s="33">
        <v>4</v>
      </c>
      <c r="J90" s="33">
        <v>4</v>
      </c>
      <c r="K90" s="33">
        <v>4</v>
      </c>
      <c r="L90" s="33">
        <v>4</v>
      </c>
      <c r="M90" s="33">
        <v>4</v>
      </c>
      <c r="N90" s="33">
        <v>4</v>
      </c>
      <c r="O90" s="33">
        <v>4</v>
      </c>
      <c r="P90" s="33">
        <f t="shared" si="2"/>
        <v>56</v>
      </c>
    </row>
    <row r="91" spans="1:16" x14ac:dyDescent="0.2">
      <c r="A91" s="34" t="s">
        <v>403</v>
      </c>
      <c r="B91" s="35">
        <v>4</v>
      </c>
      <c r="C91" s="35">
        <v>4</v>
      </c>
      <c r="D91" s="35">
        <v>4</v>
      </c>
      <c r="E91" s="35">
        <v>3</v>
      </c>
      <c r="F91" s="35">
        <v>4</v>
      </c>
      <c r="G91" s="35">
        <v>4</v>
      </c>
      <c r="H91" s="35">
        <v>4</v>
      </c>
      <c r="I91" s="35">
        <v>4</v>
      </c>
      <c r="J91" s="35">
        <v>3</v>
      </c>
      <c r="K91" s="35">
        <v>3</v>
      </c>
      <c r="L91" s="35">
        <v>3</v>
      </c>
      <c r="M91" s="35">
        <v>3</v>
      </c>
      <c r="N91" s="35">
        <v>3</v>
      </c>
      <c r="O91" s="35">
        <v>3</v>
      </c>
      <c r="P91" s="35">
        <f>SUM(B91:O91)</f>
        <v>49</v>
      </c>
    </row>
    <row r="92" spans="1:16" ht="16" x14ac:dyDescent="0.2">
      <c r="A92" s="44" t="s">
        <v>404</v>
      </c>
      <c r="B92" s="67">
        <v>1</v>
      </c>
      <c r="C92" s="46">
        <v>3</v>
      </c>
      <c r="D92" s="46">
        <v>4</v>
      </c>
      <c r="E92" s="46">
        <v>3</v>
      </c>
      <c r="F92" s="46">
        <v>2</v>
      </c>
      <c r="G92" s="46">
        <v>1</v>
      </c>
      <c r="H92" s="46">
        <v>1</v>
      </c>
      <c r="I92" s="46">
        <v>1</v>
      </c>
      <c r="J92" s="46">
        <v>2</v>
      </c>
      <c r="K92" s="46">
        <v>2</v>
      </c>
      <c r="L92" s="46">
        <v>2</v>
      </c>
      <c r="M92" s="46">
        <v>1</v>
      </c>
      <c r="N92" s="46">
        <v>1</v>
      </c>
      <c r="O92" s="46">
        <v>0</v>
      </c>
      <c r="P92" s="35">
        <f t="shared" ref="P92:P154" si="3">SUM(B92:O92)</f>
        <v>24</v>
      </c>
    </row>
    <row r="93" spans="1:16" x14ac:dyDescent="0.2">
      <c r="A93" s="50" t="s">
        <v>405</v>
      </c>
      <c r="B93" s="67">
        <v>2</v>
      </c>
      <c r="C93" s="46">
        <v>2</v>
      </c>
      <c r="D93" s="46">
        <v>4</v>
      </c>
      <c r="E93" s="46">
        <v>2</v>
      </c>
      <c r="F93" s="46">
        <v>2</v>
      </c>
      <c r="G93" s="46">
        <v>1</v>
      </c>
      <c r="H93" s="46">
        <v>2</v>
      </c>
      <c r="I93" s="46">
        <v>1</v>
      </c>
      <c r="J93" s="46">
        <v>1</v>
      </c>
      <c r="K93" s="46">
        <v>1</v>
      </c>
      <c r="L93" s="46">
        <v>1</v>
      </c>
      <c r="M93" s="46">
        <v>1</v>
      </c>
      <c r="N93" s="46">
        <v>1</v>
      </c>
      <c r="O93" s="46">
        <v>0</v>
      </c>
      <c r="P93" s="35">
        <f t="shared" si="3"/>
        <v>21</v>
      </c>
    </row>
    <row r="94" spans="1:16" x14ac:dyDescent="0.2">
      <c r="A94" s="50" t="s">
        <v>406</v>
      </c>
      <c r="B94" s="67">
        <v>3</v>
      </c>
      <c r="C94" s="46">
        <v>3</v>
      </c>
      <c r="D94" s="46">
        <v>4</v>
      </c>
      <c r="E94" s="46">
        <v>3</v>
      </c>
      <c r="F94" s="46">
        <v>3</v>
      </c>
      <c r="G94" s="46">
        <v>3</v>
      </c>
      <c r="H94" s="46">
        <v>3</v>
      </c>
      <c r="I94" s="46">
        <v>4</v>
      </c>
      <c r="J94" s="46">
        <v>3</v>
      </c>
      <c r="K94" s="46">
        <v>4</v>
      </c>
      <c r="L94" s="46">
        <v>3</v>
      </c>
      <c r="M94" s="46">
        <v>3</v>
      </c>
      <c r="N94" s="46">
        <v>3</v>
      </c>
      <c r="O94" s="46">
        <v>3</v>
      </c>
      <c r="P94" s="35">
        <f t="shared" si="3"/>
        <v>45</v>
      </c>
    </row>
    <row r="95" spans="1:16" x14ac:dyDescent="0.2">
      <c r="A95" s="50" t="s">
        <v>407</v>
      </c>
      <c r="B95" s="67">
        <v>3</v>
      </c>
      <c r="C95" s="46">
        <v>4</v>
      </c>
      <c r="D95" s="46">
        <v>4</v>
      </c>
      <c r="E95" s="46">
        <v>4</v>
      </c>
      <c r="F95" s="46">
        <v>4</v>
      </c>
      <c r="G95" s="46">
        <v>4</v>
      </c>
      <c r="H95" s="46">
        <v>4</v>
      </c>
      <c r="I95" s="46">
        <v>4</v>
      </c>
      <c r="J95" s="46">
        <v>4</v>
      </c>
      <c r="K95" s="46">
        <v>4</v>
      </c>
      <c r="L95" s="46">
        <v>4</v>
      </c>
      <c r="M95" s="46">
        <v>4</v>
      </c>
      <c r="N95" s="46">
        <v>3</v>
      </c>
      <c r="O95" s="46">
        <v>3</v>
      </c>
      <c r="P95" s="35">
        <f t="shared" si="3"/>
        <v>53</v>
      </c>
    </row>
    <row r="96" spans="1:16" ht="16" x14ac:dyDescent="0.2">
      <c r="A96" s="55" t="s">
        <v>411</v>
      </c>
      <c r="B96" s="47">
        <v>3</v>
      </c>
      <c r="C96" s="48">
        <v>4</v>
      </c>
      <c r="D96" s="48">
        <v>4</v>
      </c>
      <c r="E96" s="48">
        <v>3</v>
      </c>
      <c r="F96" s="48">
        <v>4</v>
      </c>
      <c r="G96" s="48">
        <v>4</v>
      </c>
      <c r="H96" s="48">
        <v>4</v>
      </c>
      <c r="I96" s="48">
        <v>3</v>
      </c>
      <c r="J96" s="48">
        <v>3</v>
      </c>
      <c r="K96" s="48">
        <v>4</v>
      </c>
      <c r="L96" s="48">
        <v>4</v>
      </c>
      <c r="M96" s="48">
        <v>3</v>
      </c>
      <c r="N96" s="48">
        <v>3</v>
      </c>
      <c r="O96" s="48">
        <v>3</v>
      </c>
      <c r="P96" s="35">
        <f t="shared" si="3"/>
        <v>49</v>
      </c>
    </row>
    <row r="97" spans="1:16" x14ac:dyDescent="0.2">
      <c r="A97" s="54" t="s">
        <v>412</v>
      </c>
      <c r="B97" s="47">
        <v>3</v>
      </c>
      <c r="C97" s="48">
        <v>4</v>
      </c>
      <c r="D97" s="48">
        <v>4</v>
      </c>
      <c r="E97" s="48">
        <v>4</v>
      </c>
      <c r="F97" s="48">
        <v>3</v>
      </c>
      <c r="G97" s="48">
        <v>4</v>
      </c>
      <c r="H97" s="48">
        <v>3</v>
      </c>
      <c r="I97" s="48">
        <v>4</v>
      </c>
      <c r="J97" s="48">
        <v>4</v>
      </c>
      <c r="K97" s="48">
        <v>4</v>
      </c>
      <c r="L97" s="48">
        <v>4</v>
      </c>
      <c r="M97" s="48">
        <v>3</v>
      </c>
      <c r="N97" s="48">
        <v>4</v>
      </c>
      <c r="O97" s="48">
        <v>4</v>
      </c>
      <c r="P97" s="35">
        <f t="shared" si="3"/>
        <v>52</v>
      </c>
    </row>
    <row r="98" spans="1:16" x14ac:dyDescent="0.2">
      <c r="A98" s="56" t="s">
        <v>416</v>
      </c>
      <c r="B98" s="67">
        <v>2</v>
      </c>
      <c r="C98" s="46">
        <v>3</v>
      </c>
      <c r="D98" s="46">
        <v>3</v>
      </c>
      <c r="E98" s="46">
        <v>3</v>
      </c>
      <c r="F98" s="46">
        <v>4</v>
      </c>
      <c r="G98" s="46">
        <v>3</v>
      </c>
      <c r="H98" s="46">
        <v>3</v>
      </c>
      <c r="I98" s="46">
        <v>3</v>
      </c>
      <c r="J98" s="46">
        <v>3</v>
      </c>
      <c r="K98" s="46">
        <v>4</v>
      </c>
      <c r="L98" s="46">
        <v>3</v>
      </c>
      <c r="M98" s="46">
        <v>2</v>
      </c>
      <c r="N98" s="46">
        <v>3</v>
      </c>
      <c r="O98" s="46">
        <v>2</v>
      </c>
      <c r="P98" s="35">
        <f t="shared" si="3"/>
        <v>41</v>
      </c>
    </row>
    <row r="99" spans="1:16" x14ac:dyDescent="0.2">
      <c r="A99" s="56" t="s">
        <v>418</v>
      </c>
      <c r="B99" s="67">
        <v>3</v>
      </c>
      <c r="C99" s="46">
        <v>4</v>
      </c>
      <c r="D99" s="46">
        <v>4</v>
      </c>
      <c r="E99" s="46">
        <v>4</v>
      </c>
      <c r="F99" s="46">
        <v>4</v>
      </c>
      <c r="G99" s="46">
        <v>3</v>
      </c>
      <c r="H99" s="46">
        <v>3</v>
      </c>
      <c r="I99" s="46">
        <v>3</v>
      </c>
      <c r="J99" s="46">
        <v>4</v>
      </c>
      <c r="K99" s="46">
        <v>4</v>
      </c>
      <c r="L99" s="46">
        <v>4</v>
      </c>
      <c r="M99" s="46">
        <v>3</v>
      </c>
      <c r="N99" s="46">
        <v>3</v>
      </c>
      <c r="O99" s="46">
        <v>3</v>
      </c>
      <c r="P99" s="35">
        <f t="shared" si="3"/>
        <v>49</v>
      </c>
    </row>
    <row r="100" spans="1:16" x14ac:dyDescent="0.2">
      <c r="A100" s="56" t="s">
        <v>419</v>
      </c>
      <c r="B100" s="67">
        <v>3</v>
      </c>
      <c r="C100" s="46">
        <v>4</v>
      </c>
      <c r="D100" s="46">
        <v>3</v>
      </c>
      <c r="E100" s="46">
        <v>3</v>
      </c>
      <c r="F100" s="46">
        <v>4</v>
      </c>
      <c r="G100" s="46">
        <v>3</v>
      </c>
      <c r="H100" s="46">
        <v>3</v>
      </c>
      <c r="I100" s="46">
        <v>3</v>
      </c>
      <c r="J100" s="46">
        <v>4</v>
      </c>
      <c r="K100" s="46">
        <v>3</v>
      </c>
      <c r="L100" s="46">
        <v>3</v>
      </c>
      <c r="M100" s="46">
        <v>2</v>
      </c>
      <c r="N100" s="46">
        <v>3</v>
      </c>
      <c r="O100" s="46">
        <v>3</v>
      </c>
      <c r="P100" s="35">
        <f t="shared" si="3"/>
        <v>44</v>
      </c>
    </row>
    <row r="101" spans="1:16" x14ac:dyDescent="0.2">
      <c r="A101" s="56" t="s">
        <v>420</v>
      </c>
      <c r="B101" s="67">
        <v>4</v>
      </c>
      <c r="C101" s="46">
        <v>4</v>
      </c>
      <c r="D101" s="46">
        <v>4</v>
      </c>
      <c r="E101" s="46">
        <v>3</v>
      </c>
      <c r="F101" s="46">
        <v>4</v>
      </c>
      <c r="G101" s="46">
        <v>3</v>
      </c>
      <c r="H101" s="46">
        <v>4</v>
      </c>
      <c r="I101" s="46">
        <v>3</v>
      </c>
      <c r="J101" s="46">
        <v>4</v>
      </c>
      <c r="K101" s="46">
        <v>4</v>
      </c>
      <c r="L101" s="46">
        <v>3</v>
      </c>
      <c r="M101" s="46">
        <v>3</v>
      </c>
      <c r="N101" s="46">
        <v>3</v>
      </c>
      <c r="O101" s="46">
        <v>3</v>
      </c>
      <c r="P101" s="35">
        <f t="shared" si="3"/>
        <v>49</v>
      </c>
    </row>
    <row r="102" spans="1:16" x14ac:dyDescent="0.2">
      <c r="A102" s="56" t="s">
        <v>421</v>
      </c>
      <c r="B102" s="67">
        <v>3</v>
      </c>
      <c r="C102" s="46">
        <v>4</v>
      </c>
      <c r="D102" s="46">
        <v>3</v>
      </c>
      <c r="E102" s="46">
        <v>3</v>
      </c>
      <c r="F102" s="46">
        <v>4</v>
      </c>
      <c r="G102" s="46">
        <v>3</v>
      </c>
      <c r="H102" s="46">
        <v>3</v>
      </c>
      <c r="I102" s="46">
        <v>3</v>
      </c>
      <c r="J102" s="46">
        <v>3</v>
      </c>
      <c r="K102" s="46">
        <v>4</v>
      </c>
      <c r="L102" s="46">
        <v>4</v>
      </c>
      <c r="M102" s="46">
        <v>3</v>
      </c>
      <c r="N102" s="46">
        <v>3</v>
      </c>
      <c r="O102" s="46">
        <v>3</v>
      </c>
      <c r="P102" s="35">
        <f t="shared" si="3"/>
        <v>46</v>
      </c>
    </row>
    <row r="103" spans="1:16" x14ac:dyDescent="0.2">
      <c r="A103" s="56" t="s">
        <v>422</v>
      </c>
      <c r="B103" s="67">
        <v>4</v>
      </c>
      <c r="C103" s="46">
        <v>4</v>
      </c>
      <c r="D103" s="46">
        <v>4</v>
      </c>
      <c r="E103" s="46">
        <v>3</v>
      </c>
      <c r="F103" s="46">
        <v>4</v>
      </c>
      <c r="G103" s="46">
        <v>3</v>
      </c>
      <c r="H103" s="46">
        <v>4</v>
      </c>
      <c r="I103" s="46">
        <v>3</v>
      </c>
      <c r="J103" s="46">
        <v>3</v>
      </c>
      <c r="K103" s="46">
        <v>4</v>
      </c>
      <c r="L103" s="46">
        <v>3</v>
      </c>
      <c r="M103" s="46">
        <v>3</v>
      </c>
      <c r="N103" s="46">
        <v>3</v>
      </c>
      <c r="O103" s="46">
        <v>2</v>
      </c>
      <c r="P103" s="35">
        <f t="shared" si="3"/>
        <v>47</v>
      </c>
    </row>
    <row r="104" spans="1:16" x14ac:dyDescent="0.2">
      <c r="A104" s="56" t="s">
        <v>423</v>
      </c>
      <c r="B104" s="67">
        <v>3</v>
      </c>
      <c r="C104" s="46">
        <v>3</v>
      </c>
      <c r="D104" s="46">
        <v>3</v>
      </c>
      <c r="E104" s="46">
        <v>3</v>
      </c>
      <c r="F104" s="46">
        <v>4</v>
      </c>
      <c r="G104" s="46">
        <v>3</v>
      </c>
      <c r="H104" s="46">
        <v>3</v>
      </c>
      <c r="I104" s="46">
        <v>3</v>
      </c>
      <c r="J104" s="46">
        <v>3</v>
      </c>
      <c r="K104" s="46">
        <v>3</v>
      </c>
      <c r="L104" s="46">
        <v>2</v>
      </c>
      <c r="M104" s="46">
        <v>2</v>
      </c>
      <c r="N104" s="46">
        <v>2</v>
      </c>
      <c r="O104" s="46">
        <v>2</v>
      </c>
      <c r="P104" s="35">
        <f t="shared" si="3"/>
        <v>39</v>
      </c>
    </row>
    <row r="105" spans="1:16" ht="16" x14ac:dyDescent="0.2">
      <c r="A105" s="44" t="s">
        <v>424</v>
      </c>
      <c r="B105" s="47">
        <v>3</v>
      </c>
      <c r="C105" s="48">
        <v>4</v>
      </c>
      <c r="D105" s="48">
        <v>4</v>
      </c>
      <c r="E105" s="48">
        <v>3</v>
      </c>
      <c r="F105" s="48">
        <v>3</v>
      </c>
      <c r="G105" s="48">
        <v>3</v>
      </c>
      <c r="H105" s="48">
        <v>3</v>
      </c>
      <c r="I105" s="48">
        <v>3</v>
      </c>
      <c r="J105" s="48">
        <v>3</v>
      </c>
      <c r="K105" s="48">
        <v>4</v>
      </c>
      <c r="L105" s="48">
        <v>2</v>
      </c>
      <c r="M105" s="48">
        <v>2</v>
      </c>
      <c r="N105" s="48">
        <v>2</v>
      </c>
      <c r="O105" s="48">
        <v>2</v>
      </c>
      <c r="P105" s="35">
        <f t="shared" si="3"/>
        <v>41</v>
      </c>
    </row>
    <row r="106" spans="1:16" x14ac:dyDescent="0.2">
      <c r="A106" s="56" t="s">
        <v>425</v>
      </c>
      <c r="B106" s="67">
        <v>4</v>
      </c>
      <c r="C106" s="46">
        <v>4</v>
      </c>
      <c r="D106" s="46">
        <v>4</v>
      </c>
      <c r="E106" s="46">
        <v>3</v>
      </c>
      <c r="F106" s="46">
        <v>4</v>
      </c>
      <c r="G106" s="46">
        <v>3</v>
      </c>
      <c r="H106" s="46">
        <v>4</v>
      </c>
      <c r="I106" s="46">
        <v>3</v>
      </c>
      <c r="J106" s="46">
        <v>4</v>
      </c>
      <c r="K106" s="46">
        <v>4</v>
      </c>
      <c r="L106" s="46">
        <v>4</v>
      </c>
      <c r="M106" s="46">
        <v>3</v>
      </c>
      <c r="N106" s="46">
        <v>3</v>
      </c>
      <c r="O106" s="46">
        <v>3</v>
      </c>
      <c r="P106" s="35">
        <f t="shared" si="3"/>
        <v>50</v>
      </c>
    </row>
    <row r="107" spans="1:16" x14ac:dyDescent="0.2">
      <c r="A107" s="56" t="s">
        <v>426</v>
      </c>
      <c r="B107" s="67">
        <v>3</v>
      </c>
      <c r="C107" s="46">
        <v>3</v>
      </c>
      <c r="D107" s="46">
        <v>3</v>
      </c>
      <c r="E107" s="46">
        <v>3</v>
      </c>
      <c r="F107" s="46">
        <v>3</v>
      </c>
      <c r="G107" s="46">
        <v>3</v>
      </c>
      <c r="H107" s="46">
        <v>3</v>
      </c>
      <c r="I107" s="46">
        <v>3</v>
      </c>
      <c r="J107" s="46">
        <v>3</v>
      </c>
      <c r="K107" s="46">
        <v>3</v>
      </c>
      <c r="L107" s="46">
        <v>2</v>
      </c>
      <c r="M107" s="46">
        <v>2</v>
      </c>
      <c r="N107" s="46">
        <v>2</v>
      </c>
      <c r="O107" s="46">
        <v>2</v>
      </c>
      <c r="P107" s="35">
        <f t="shared" si="3"/>
        <v>38</v>
      </c>
    </row>
    <row r="108" spans="1:16" x14ac:dyDescent="0.2">
      <c r="A108" s="64" t="s">
        <v>427</v>
      </c>
      <c r="B108" s="67">
        <v>3</v>
      </c>
      <c r="C108" s="46">
        <v>3</v>
      </c>
      <c r="D108" s="46">
        <v>3</v>
      </c>
      <c r="E108" s="46">
        <v>3</v>
      </c>
      <c r="F108" s="46">
        <v>3</v>
      </c>
      <c r="G108" s="46">
        <v>3</v>
      </c>
      <c r="H108" s="46">
        <v>3</v>
      </c>
      <c r="I108" s="46">
        <v>3</v>
      </c>
      <c r="J108" s="46">
        <v>3</v>
      </c>
      <c r="K108" s="46">
        <v>3</v>
      </c>
      <c r="L108" s="46">
        <v>2</v>
      </c>
      <c r="M108" s="46">
        <v>2</v>
      </c>
      <c r="N108" s="46">
        <v>2</v>
      </c>
      <c r="O108" s="46">
        <v>2</v>
      </c>
      <c r="P108" s="35">
        <f t="shared" si="3"/>
        <v>38</v>
      </c>
    </row>
    <row r="109" spans="1:16" ht="16" x14ac:dyDescent="0.2">
      <c r="A109" s="65" t="s">
        <v>428</v>
      </c>
      <c r="B109" s="47">
        <v>3</v>
      </c>
      <c r="C109" s="48">
        <v>4</v>
      </c>
      <c r="D109" s="48">
        <v>4</v>
      </c>
      <c r="E109" s="48">
        <v>3</v>
      </c>
      <c r="F109" s="48">
        <v>4</v>
      </c>
      <c r="G109" s="48">
        <v>3</v>
      </c>
      <c r="H109" s="48">
        <v>4</v>
      </c>
      <c r="I109" s="48">
        <v>3</v>
      </c>
      <c r="J109" s="48">
        <v>4</v>
      </c>
      <c r="K109" s="48">
        <v>4</v>
      </c>
      <c r="L109" s="48">
        <v>4</v>
      </c>
      <c r="M109" s="48">
        <v>3</v>
      </c>
      <c r="N109" s="48">
        <v>3</v>
      </c>
      <c r="O109" s="48">
        <v>3</v>
      </c>
      <c r="P109" s="35">
        <f t="shared" si="3"/>
        <v>49</v>
      </c>
    </row>
    <row r="110" spans="1:16" ht="16" x14ac:dyDescent="0.2">
      <c r="A110" s="65" t="s">
        <v>429</v>
      </c>
      <c r="B110" s="67">
        <v>4</v>
      </c>
      <c r="C110" s="46">
        <v>4</v>
      </c>
      <c r="D110" s="46">
        <v>4</v>
      </c>
      <c r="E110" s="46">
        <v>3</v>
      </c>
      <c r="F110" s="46">
        <v>4</v>
      </c>
      <c r="G110" s="46">
        <v>3</v>
      </c>
      <c r="H110" s="46">
        <v>4</v>
      </c>
      <c r="I110" s="46">
        <v>3</v>
      </c>
      <c r="J110" s="46">
        <v>3</v>
      </c>
      <c r="K110" s="46">
        <v>4</v>
      </c>
      <c r="L110" s="46">
        <v>3</v>
      </c>
      <c r="M110" s="46">
        <v>3</v>
      </c>
      <c r="N110" s="46">
        <v>3</v>
      </c>
      <c r="O110" s="46">
        <v>3</v>
      </c>
      <c r="P110" s="35">
        <f t="shared" si="3"/>
        <v>48</v>
      </c>
    </row>
    <row r="111" spans="1:16" ht="16" x14ac:dyDescent="0.2">
      <c r="A111" s="68" t="s">
        <v>430</v>
      </c>
      <c r="B111" s="69">
        <v>1</v>
      </c>
      <c r="C111" s="66">
        <v>4</v>
      </c>
      <c r="D111" s="66">
        <v>4</v>
      </c>
      <c r="E111" s="66">
        <v>3</v>
      </c>
      <c r="F111" s="66">
        <v>4</v>
      </c>
      <c r="G111" s="66">
        <v>3</v>
      </c>
      <c r="H111" s="66">
        <v>4</v>
      </c>
      <c r="I111" s="66">
        <v>3</v>
      </c>
      <c r="J111" s="66">
        <v>3</v>
      </c>
      <c r="K111" s="66">
        <v>3</v>
      </c>
      <c r="L111" s="66">
        <v>2</v>
      </c>
      <c r="M111" s="66">
        <v>3</v>
      </c>
      <c r="N111" s="66">
        <v>3</v>
      </c>
      <c r="O111" s="66">
        <v>3</v>
      </c>
      <c r="P111" s="35">
        <f t="shared" si="3"/>
        <v>43</v>
      </c>
    </row>
    <row r="112" spans="1:16" ht="16" x14ac:dyDescent="0.2">
      <c r="A112" s="68" t="s">
        <v>431</v>
      </c>
      <c r="B112" s="67">
        <v>1</v>
      </c>
      <c r="C112" s="46">
        <v>4</v>
      </c>
      <c r="D112" s="46">
        <v>4</v>
      </c>
      <c r="E112" s="46">
        <v>4</v>
      </c>
      <c r="F112" s="46">
        <v>4</v>
      </c>
      <c r="G112" s="46">
        <v>3</v>
      </c>
      <c r="H112" s="46">
        <v>4</v>
      </c>
      <c r="I112" s="46">
        <v>3</v>
      </c>
      <c r="J112" s="46">
        <v>3</v>
      </c>
      <c r="K112" s="46">
        <v>3</v>
      </c>
      <c r="L112" s="46">
        <v>2</v>
      </c>
      <c r="M112" s="46">
        <v>3</v>
      </c>
      <c r="N112" s="46">
        <v>3</v>
      </c>
      <c r="O112" s="46">
        <v>3</v>
      </c>
      <c r="P112" s="35">
        <f t="shared" si="3"/>
        <v>44</v>
      </c>
    </row>
    <row r="113" spans="1:16" x14ac:dyDescent="0.2">
      <c r="A113" s="54" t="s">
        <v>432</v>
      </c>
      <c r="B113" s="177">
        <v>1</v>
      </c>
      <c r="C113" s="178">
        <v>2</v>
      </c>
      <c r="D113" s="178">
        <v>1</v>
      </c>
      <c r="E113" s="178">
        <v>1</v>
      </c>
      <c r="F113" s="178">
        <v>1</v>
      </c>
      <c r="G113" s="178">
        <v>1</v>
      </c>
      <c r="H113" s="178">
        <v>2</v>
      </c>
      <c r="I113" s="178">
        <v>2</v>
      </c>
      <c r="J113" s="178">
        <v>1</v>
      </c>
      <c r="K113" s="178">
        <v>1</v>
      </c>
      <c r="L113" s="178">
        <v>1</v>
      </c>
      <c r="M113" s="48">
        <v>1</v>
      </c>
      <c r="N113" s="48">
        <v>1</v>
      </c>
      <c r="O113" s="48">
        <v>1</v>
      </c>
      <c r="P113" s="35">
        <f t="shared" si="3"/>
        <v>17</v>
      </c>
    </row>
    <row r="114" spans="1:16" x14ac:dyDescent="0.2">
      <c r="A114" s="54" t="s">
        <v>433</v>
      </c>
      <c r="B114" s="45">
        <v>1</v>
      </c>
      <c r="C114" s="45">
        <v>1</v>
      </c>
      <c r="D114" s="45">
        <v>2</v>
      </c>
      <c r="E114" s="45">
        <v>1</v>
      </c>
      <c r="F114" s="45">
        <v>1</v>
      </c>
      <c r="G114" s="45">
        <v>1</v>
      </c>
      <c r="H114" s="45">
        <v>1</v>
      </c>
      <c r="I114" s="45">
        <v>1</v>
      </c>
      <c r="J114" s="45">
        <v>1</v>
      </c>
      <c r="K114" s="45">
        <v>1</v>
      </c>
      <c r="L114" s="45">
        <v>1</v>
      </c>
      <c r="M114" s="46">
        <v>1</v>
      </c>
      <c r="N114" s="46">
        <v>0</v>
      </c>
      <c r="O114" s="46">
        <v>0</v>
      </c>
      <c r="P114" s="35">
        <f t="shared" si="3"/>
        <v>13</v>
      </c>
    </row>
    <row r="115" spans="1:16" x14ac:dyDescent="0.2">
      <c r="A115" s="54" t="s">
        <v>434</v>
      </c>
      <c r="B115" s="45">
        <v>1</v>
      </c>
      <c r="C115" s="45">
        <v>1</v>
      </c>
      <c r="D115" s="45">
        <v>2</v>
      </c>
      <c r="E115" s="45">
        <v>1</v>
      </c>
      <c r="F115" s="45">
        <v>1</v>
      </c>
      <c r="G115" s="45">
        <v>1</v>
      </c>
      <c r="H115" s="45">
        <v>1</v>
      </c>
      <c r="I115" s="45">
        <v>1</v>
      </c>
      <c r="J115" s="45">
        <v>1</v>
      </c>
      <c r="K115" s="45">
        <v>1</v>
      </c>
      <c r="L115" s="45">
        <v>1</v>
      </c>
      <c r="M115" s="48">
        <v>1</v>
      </c>
      <c r="N115" s="48">
        <v>0</v>
      </c>
      <c r="O115" s="48">
        <v>0</v>
      </c>
      <c r="P115" s="35">
        <f t="shared" si="3"/>
        <v>13</v>
      </c>
    </row>
    <row r="116" spans="1:16" x14ac:dyDescent="0.2">
      <c r="A116" s="54" t="s">
        <v>435</v>
      </c>
      <c r="B116" s="45">
        <v>1</v>
      </c>
      <c r="C116" s="45">
        <v>1</v>
      </c>
      <c r="D116" s="45">
        <v>2</v>
      </c>
      <c r="E116" s="45">
        <v>1</v>
      </c>
      <c r="F116" s="45">
        <v>1</v>
      </c>
      <c r="G116" s="45">
        <v>1</v>
      </c>
      <c r="H116" s="45">
        <v>1</v>
      </c>
      <c r="I116" s="45">
        <v>1</v>
      </c>
      <c r="J116" s="45">
        <v>1</v>
      </c>
      <c r="K116" s="45">
        <v>1</v>
      </c>
      <c r="L116" s="45">
        <v>1</v>
      </c>
      <c r="M116" s="46">
        <v>1</v>
      </c>
      <c r="N116" s="46">
        <v>0</v>
      </c>
      <c r="O116" s="46">
        <v>0</v>
      </c>
      <c r="P116" s="35">
        <f t="shared" si="3"/>
        <v>13</v>
      </c>
    </row>
    <row r="117" spans="1:16" x14ac:dyDescent="0.2">
      <c r="A117" s="54" t="s">
        <v>436</v>
      </c>
      <c r="B117" s="45">
        <v>2</v>
      </c>
      <c r="C117" s="45">
        <v>2</v>
      </c>
      <c r="D117" s="45">
        <v>3</v>
      </c>
      <c r="E117" s="45">
        <v>2</v>
      </c>
      <c r="F117" s="45">
        <v>2</v>
      </c>
      <c r="G117" s="45">
        <v>2</v>
      </c>
      <c r="H117" s="45">
        <v>2</v>
      </c>
      <c r="I117" s="45">
        <v>2</v>
      </c>
      <c r="J117" s="45">
        <v>1</v>
      </c>
      <c r="K117" s="45">
        <v>2</v>
      </c>
      <c r="L117" s="45">
        <v>2</v>
      </c>
      <c r="M117" s="46">
        <v>2</v>
      </c>
      <c r="N117" s="46">
        <v>2</v>
      </c>
      <c r="O117" s="46">
        <v>2</v>
      </c>
      <c r="P117" s="35">
        <f t="shared" si="3"/>
        <v>28</v>
      </c>
    </row>
    <row r="118" spans="1:16" x14ac:dyDescent="0.2">
      <c r="A118" s="54" t="s">
        <v>437</v>
      </c>
      <c r="B118" s="45">
        <v>1</v>
      </c>
      <c r="C118" s="45">
        <v>1</v>
      </c>
      <c r="D118" s="45">
        <v>2</v>
      </c>
      <c r="E118" s="45">
        <v>1</v>
      </c>
      <c r="F118" s="45">
        <v>1</v>
      </c>
      <c r="G118" s="45">
        <v>0</v>
      </c>
      <c r="H118" s="45">
        <v>1</v>
      </c>
      <c r="I118" s="45">
        <v>1</v>
      </c>
      <c r="J118" s="45">
        <v>0</v>
      </c>
      <c r="K118" s="45">
        <v>1</v>
      </c>
      <c r="L118" s="45">
        <v>1</v>
      </c>
      <c r="M118" s="46">
        <v>1</v>
      </c>
      <c r="N118" s="46">
        <v>0</v>
      </c>
      <c r="O118" s="46">
        <v>0</v>
      </c>
      <c r="P118" s="35">
        <f t="shared" si="3"/>
        <v>11</v>
      </c>
    </row>
    <row r="119" spans="1:16" x14ac:dyDescent="0.2">
      <c r="A119" s="54" t="s">
        <v>438</v>
      </c>
      <c r="B119" s="45">
        <v>1</v>
      </c>
      <c r="C119" s="45">
        <v>1</v>
      </c>
      <c r="D119" s="45">
        <v>2</v>
      </c>
      <c r="E119" s="45">
        <v>2</v>
      </c>
      <c r="F119" s="45">
        <v>2</v>
      </c>
      <c r="G119" s="45">
        <v>1</v>
      </c>
      <c r="H119" s="45">
        <v>2</v>
      </c>
      <c r="I119" s="45">
        <v>2</v>
      </c>
      <c r="J119" s="45">
        <v>1</v>
      </c>
      <c r="K119" s="45">
        <v>2</v>
      </c>
      <c r="L119" s="45">
        <v>1</v>
      </c>
      <c r="M119" s="52">
        <v>2</v>
      </c>
      <c r="N119" s="52">
        <v>1</v>
      </c>
      <c r="O119" s="52">
        <v>1</v>
      </c>
      <c r="P119" s="35">
        <f t="shared" si="3"/>
        <v>21</v>
      </c>
    </row>
    <row r="120" spans="1:16" ht="16" x14ac:dyDescent="0.2">
      <c r="A120" s="73" t="s">
        <v>439</v>
      </c>
      <c r="B120" s="45">
        <v>4</v>
      </c>
      <c r="C120" s="45">
        <v>4</v>
      </c>
      <c r="D120" s="45">
        <v>4</v>
      </c>
      <c r="E120" s="45">
        <v>4</v>
      </c>
      <c r="F120" s="45">
        <v>4</v>
      </c>
      <c r="G120" s="45">
        <v>4</v>
      </c>
      <c r="H120" s="45">
        <v>4</v>
      </c>
      <c r="I120" s="45">
        <v>4</v>
      </c>
      <c r="J120" s="45">
        <v>4</v>
      </c>
      <c r="K120" s="45">
        <v>4</v>
      </c>
      <c r="L120" s="45">
        <v>4</v>
      </c>
      <c r="M120" s="48">
        <v>3</v>
      </c>
      <c r="N120" s="48">
        <v>4</v>
      </c>
      <c r="O120" s="48">
        <v>3</v>
      </c>
      <c r="P120" s="35">
        <f t="shared" si="3"/>
        <v>54</v>
      </c>
    </row>
    <row r="121" spans="1:16" ht="16" x14ac:dyDescent="0.2">
      <c r="A121" s="53" t="s">
        <v>440</v>
      </c>
      <c r="B121" s="45">
        <v>4</v>
      </c>
      <c r="C121" s="45">
        <v>4</v>
      </c>
      <c r="D121" s="45">
        <v>4</v>
      </c>
      <c r="E121" s="45">
        <v>4</v>
      </c>
      <c r="F121" s="45">
        <v>4</v>
      </c>
      <c r="G121" s="45">
        <v>4</v>
      </c>
      <c r="H121" s="45">
        <v>4</v>
      </c>
      <c r="I121" s="45">
        <v>4</v>
      </c>
      <c r="J121" s="45">
        <v>4</v>
      </c>
      <c r="K121" s="45">
        <v>4</v>
      </c>
      <c r="L121" s="45">
        <v>4</v>
      </c>
      <c r="M121" s="46">
        <v>3</v>
      </c>
      <c r="N121" s="46">
        <v>3</v>
      </c>
      <c r="O121" s="46">
        <v>3</v>
      </c>
      <c r="P121" s="35">
        <f t="shared" si="3"/>
        <v>53</v>
      </c>
    </row>
    <row r="122" spans="1:16" x14ac:dyDescent="0.2">
      <c r="A122" s="54" t="s">
        <v>441</v>
      </c>
      <c r="B122" s="45">
        <v>3</v>
      </c>
      <c r="C122" s="45">
        <v>4</v>
      </c>
      <c r="D122" s="45">
        <v>4</v>
      </c>
      <c r="E122" s="45">
        <v>3</v>
      </c>
      <c r="F122" s="45">
        <v>4</v>
      </c>
      <c r="G122" s="45">
        <v>4</v>
      </c>
      <c r="H122" s="45">
        <v>3</v>
      </c>
      <c r="I122" s="45">
        <v>4</v>
      </c>
      <c r="J122" s="45">
        <v>3</v>
      </c>
      <c r="K122" s="45">
        <v>4</v>
      </c>
      <c r="L122" s="45">
        <v>3</v>
      </c>
      <c r="M122" s="48">
        <v>3</v>
      </c>
      <c r="N122" s="48">
        <v>2</v>
      </c>
      <c r="O122" s="48">
        <v>2</v>
      </c>
      <c r="P122" s="35">
        <f t="shared" si="3"/>
        <v>46</v>
      </c>
    </row>
    <row r="123" spans="1:16" x14ac:dyDescent="0.2">
      <c r="A123" s="54" t="s">
        <v>442</v>
      </c>
      <c r="B123" s="45">
        <v>4</v>
      </c>
      <c r="C123" s="45">
        <v>4</v>
      </c>
      <c r="D123" s="45">
        <v>4</v>
      </c>
      <c r="E123" s="45">
        <v>4</v>
      </c>
      <c r="F123" s="45">
        <v>4</v>
      </c>
      <c r="G123" s="45">
        <v>3</v>
      </c>
      <c r="H123" s="45">
        <v>3</v>
      </c>
      <c r="I123" s="45">
        <v>4</v>
      </c>
      <c r="J123" s="45">
        <v>3</v>
      </c>
      <c r="K123" s="45">
        <v>4</v>
      </c>
      <c r="L123" s="45">
        <v>3</v>
      </c>
      <c r="M123" s="11">
        <v>3</v>
      </c>
      <c r="N123" s="11">
        <v>3</v>
      </c>
      <c r="O123" s="11">
        <v>3</v>
      </c>
      <c r="P123" s="35">
        <f t="shared" si="3"/>
        <v>49</v>
      </c>
    </row>
    <row r="124" spans="1:16" x14ac:dyDescent="0.2">
      <c r="A124" s="54" t="s">
        <v>443</v>
      </c>
      <c r="B124" s="45">
        <v>3</v>
      </c>
      <c r="C124" s="45">
        <v>4</v>
      </c>
      <c r="D124" s="45">
        <v>4</v>
      </c>
      <c r="E124" s="45">
        <v>3</v>
      </c>
      <c r="F124" s="45">
        <v>4</v>
      </c>
      <c r="G124" s="45">
        <v>3</v>
      </c>
      <c r="H124" s="45">
        <v>3</v>
      </c>
      <c r="I124" s="45">
        <v>3</v>
      </c>
      <c r="J124" s="45">
        <v>4</v>
      </c>
      <c r="K124" s="45">
        <v>4</v>
      </c>
      <c r="L124" s="45">
        <v>3</v>
      </c>
      <c r="M124" s="48">
        <v>3</v>
      </c>
      <c r="N124" s="48">
        <v>3</v>
      </c>
      <c r="O124" s="48">
        <v>3</v>
      </c>
      <c r="P124" s="35">
        <f t="shared" si="3"/>
        <v>47</v>
      </c>
    </row>
    <row r="125" spans="1:16" x14ac:dyDescent="0.2">
      <c r="A125" s="54" t="s">
        <v>444</v>
      </c>
      <c r="B125" s="45">
        <v>3</v>
      </c>
      <c r="C125" s="45">
        <v>4</v>
      </c>
      <c r="D125" s="45">
        <v>4</v>
      </c>
      <c r="E125" s="45">
        <v>3</v>
      </c>
      <c r="F125" s="45">
        <v>4</v>
      </c>
      <c r="G125" s="45">
        <v>3</v>
      </c>
      <c r="H125" s="45">
        <v>3</v>
      </c>
      <c r="I125" s="45">
        <v>3</v>
      </c>
      <c r="J125" s="45">
        <v>3</v>
      </c>
      <c r="K125" s="45">
        <v>4</v>
      </c>
      <c r="L125" s="45">
        <v>4</v>
      </c>
      <c r="M125" s="46">
        <v>3</v>
      </c>
      <c r="N125" s="46">
        <v>3</v>
      </c>
      <c r="O125" s="46">
        <v>3</v>
      </c>
      <c r="P125" s="35">
        <f t="shared" si="3"/>
        <v>47</v>
      </c>
    </row>
    <row r="126" spans="1:16" x14ac:dyDescent="0.2">
      <c r="A126" s="54" t="s">
        <v>445</v>
      </c>
      <c r="B126" s="45">
        <v>3</v>
      </c>
      <c r="C126" s="45">
        <v>4</v>
      </c>
      <c r="D126" s="45">
        <v>4</v>
      </c>
      <c r="E126" s="45">
        <v>3</v>
      </c>
      <c r="F126" s="45">
        <v>4</v>
      </c>
      <c r="G126" s="45">
        <v>4</v>
      </c>
      <c r="H126" s="45">
        <v>4</v>
      </c>
      <c r="I126" s="45">
        <v>4</v>
      </c>
      <c r="J126" s="45">
        <v>4</v>
      </c>
      <c r="K126" s="45">
        <v>4</v>
      </c>
      <c r="L126" s="45">
        <v>4</v>
      </c>
      <c r="M126" s="46">
        <v>3</v>
      </c>
      <c r="N126" s="46">
        <v>3</v>
      </c>
      <c r="O126" s="46">
        <v>3</v>
      </c>
      <c r="P126" s="35">
        <f t="shared" si="3"/>
        <v>51</v>
      </c>
    </row>
    <row r="127" spans="1:16" ht="16" x14ac:dyDescent="0.2">
      <c r="A127" s="53" t="s">
        <v>446</v>
      </c>
      <c r="B127" s="67">
        <v>3</v>
      </c>
      <c r="C127" s="46">
        <v>4</v>
      </c>
      <c r="D127" s="46">
        <v>4</v>
      </c>
      <c r="E127" s="46">
        <v>3</v>
      </c>
      <c r="F127" s="46">
        <v>4</v>
      </c>
      <c r="G127" s="46">
        <v>4</v>
      </c>
      <c r="H127" s="46">
        <v>4</v>
      </c>
      <c r="I127" s="46">
        <v>4</v>
      </c>
      <c r="J127" s="46">
        <v>4</v>
      </c>
      <c r="K127" s="46">
        <v>4</v>
      </c>
      <c r="L127" s="46">
        <v>4</v>
      </c>
      <c r="M127" s="48">
        <v>3</v>
      </c>
      <c r="N127" s="48">
        <v>3</v>
      </c>
      <c r="O127" s="48">
        <v>3</v>
      </c>
      <c r="P127" s="35">
        <f t="shared" si="3"/>
        <v>51</v>
      </c>
    </row>
    <row r="128" spans="1:16" x14ac:dyDescent="0.2">
      <c r="A128" s="50" t="s">
        <v>447</v>
      </c>
      <c r="B128" s="47">
        <v>4</v>
      </c>
      <c r="C128" s="48">
        <v>4</v>
      </c>
      <c r="D128" s="48">
        <v>4</v>
      </c>
      <c r="E128" s="48">
        <v>4</v>
      </c>
      <c r="F128" s="48">
        <v>4</v>
      </c>
      <c r="G128" s="48">
        <v>3</v>
      </c>
      <c r="H128" s="48">
        <v>3</v>
      </c>
      <c r="I128" s="48">
        <v>4</v>
      </c>
      <c r="J128" s="48">
        <v>3</v>
      </c>
      <c r="K128" s="48">
        <v>4</v>
      </c>
      <c r="L128" s="48">
        <v>4</v>
      </c>
      <c r="M128" s="48">
        <v>3</v>
      </c>
      <c r="N128" s="48">
        <v>3</v>
      </c>
      <c r="O128" s="48">
        <v>3</v>
      </c>
      <c r="P128" s="35">
        <f t="shared" si="3"/>
        <v>50</v>
      </c>
    </row>
    <row r="129" spans="1:16" x14ac:dyDescent="0.2">
      <c r="A129" s="50" t="s">
        <v>448</v>
      </c>
      <c r="B129" s="47">
        <v>3</v>
      </c>
      <c r="C129" s="48">
        <v>4</v>
      </c>
      <c r="D129" s="48">
        <v>4</v>
      </c>
      <c r="E129" s="48">
        <v>4</v>
      </c>
      <c r="F129" s="48">
        <v>4</v>
      </c>
      <c r="G129" s="48">
        <v>4</v>
      </c>
      <c r="H129" s="48">
        <v>4</v>
      </c>
      <c r="I129" s="48">
        <v>4</v>
      </c>
      <c r="J129" s="48">
        <v>4</v>
      </c>
      <c r="K129" s="48">
        <v>4</v>
      </c>
      <c r="L129" s="48">
        <v>4</v>
      </c>
      <c r="M129" s="48">
        <v>3</v>
      </c>
      <c r="N129" s="48">
        <v>4</v>
      </c>
      <c r="O129" s="48">
        <v>4</v>
      </c>
      <c r="P129" s="35">
        <f t="shared" si="3"/>
        <v>54</v>
      </c>
    </row>
    <row r="130" spans="1:16" x14ac:dyDescent="0.2">
      <c r="A130" s="50" t="s">
        <v>449</v>
      </c>
      <c r="B130" s="47">
        <v>4</v>
      </c>
      <c r="C130" s="48">
        <v>4</v>
      </c>
      <c r="D130" s="48">
        <v>4</v>
      </c>
      <c r="E130" s="48">
        <v>4</v>
      </c>
      <c r="F130" s="48">
        <v>4</v>
      </c>
      <c r="G130" s="48">
        <v>4</v>
      </c>
      <c r="H130" s="48">
        <v>4</v>
      </c>
      <c r="I130" s="48">
        <v>4</v>
      </c>
      <c r="J130" s="48">
        <v>4</v>
      </c>
      <c r="K130" s="48">
        <v>4</v>
      </c>
      <c r="L130" s="48">
        <v>4</v>
      </c>
      <c r="M130" s="48">
        <v>4</v>
      </c>
      <c r="N130" s="48">
        <v>3</v>
      </c>
      <c r="O130" s="48">
        <v>3</v>
      </c>
      <c r="P130" s="35">
        <f t="shared" si="3"/>
        <v>54</v>
      </c>
    </row>
    <row r="131" spans="1:16" x14ac:dyDescent="0.2">
      <c r="A131" s="77" t="s">
        <v>450</v>
      </c>
      <c r="B131" s="48">
        <v>3</v>
      </c>
      <c r="C131" s="48">
        <v>4</v>
      </c>
      <c r="D131" s="48">
        <v>4</v>
      </c>
      <c r="E131" s="48">
        <v>3</v>
      </c>
      <c r="F131" s="48">
        <v>3</v>
      </c>
      <c r="G131" s="48">
        <v>3</v>
      </c>
      <c r="H131" s="48">
        <v>3</v>
      </c>
      <c r="I131" s="48">
        <v>2</v>
      </c>
      <c r="J131" s="48">
        <v>2</v>
      </c>
      <c r="K131" s="48">
        <v>3</v>
      </c>
      <c r="L131" s="48">
        <v>2</v>
      </c>
      <c r="M131" s="48">
        <v>2</v>
      </c>
      <c r="N131" s="48">
        <v>1</v>
      </c>
      <c r="O131" s="48">
        <v>1</v>
      </c>
      <c r="P131" s="35">
        <f t="shared" si="3"/>
        <v>36</v>
      </c>
    </row>
    <row r="132" spans="1:16" x14ac:dyDescent="0.2">
      <c r="A132" s="77" t="s">
        <v>451</v>
      </c>
      <c r="B132" s="46">
        <v>3</v>
      </c>
      <c r="C132" s="46">
        <v>4</v>
      </c>
      <c r="D132" s="46">
        <v>4</v>
      </c>
      <c r="E132" s="46">
        <v>3</v>
      </c>
      <c r="F132" s="46">
        <v>3</v>
      </c>
      <c r="G132" s="46">
        <v>3</v>
      </c>
      <c r="H132" s="46">
        <v>3</v>
      </c>
      <c r="I132" s="46">
        <v>3</v>
      </c>
      <c r="J132" s="46">
        <v>3</v>
      </c>
      <c r="K132" s="46">
        <v>4</v>
      </c>
      <c r="L132" s="46">
        <v>3</v>
      </c>
      <c r="M132" s="46">
        <v>3</v>
      </c>
      <c r="N132" s="46">
        <v>3</v>
      </c>
      <c r="O132" s="46">
        <v>3</v>
      </c>
      <c r="P132" s="35">
        <f t="shared" si="3"/>
        <v>45</v>
      </c>
    </row>
    <row r="133" spans="1:16" x14ac:dyDescent="0.2">
      <c r="A133" s="77" t="s">
        <v>452</v>
      </c>
      <c r="B133" s="47">
        <v>3</v>
      </c>
      <c r="C133" s="48">
        <v>4</v>
      </c>
      <c r="D133" s="48">
        <v>4</v>
      </c>
      <c r="E133" s="48">
        <v>4</v>
      </c>
      <c r="F133" s="48">
        <v>4</v>
      </c>
      <c r="G133" s="48">
        <v>3</v>
      </c>
      <c r="H133" s="48">
        <v>4</v>
      </c>
      <c r="I133" s="48">
        <v>4</v>
      </c>
      <c r="J133" s="48">
        <v>4</v>
      </c>
      <c r="K133" s="48">
        <v>4</v>
      </c>
      <c r="L133" s="48">
        <v>4</v>
      </c>
      <c r="M133" s="48">
        <v>3</v>
      </c>
      <c r="N133" s="48">
        <v>3</v>
      </c>
      <c r="O133" s="48">
        <v>3</v>
      </c>
      <c r="P133" s="35">
        <f t="shared" si="3"/>
        <v>51</v>
      </c>
    </row>
    <row r="134" spans="1:16" x14ac:dyDescent="0.2">
      <c r="A134" s="77" t="s">
        <v>453</v>
      </c>
      <c r="B134" s="67">
        <v>2</v>
      </c>
      <c r="C134" s="46">
        <v>4</v>
      </c>
      <c r="D134" s="46">
        <v>4</v>
      </c>
      <c r="E134" s="46">
        <v>3</v>
      </c>
      <c r="F134" s="46">
        <v>3</v>
      </c>
      <c r="G134" s="46">
        <v>3</v>
      </c>
      <c r="H134" s="46">
        <v>2</v>
      </c>
      <c r="I134" s="46">
        <v>2</v>
      </c>
      <c r="J134" s="46">
        <v>2</v>
      </c>
      <c r="K134" s="46">
        <v>3</v>
      </c>
      <c r="L134" s="46">
        <v>2</v>
      </c>
      <c r="M134" s="46">
        <v>2</v>
      </c>
      <c r="N134" s="46">
        <v>2</v>
      </c>
      <c r="O134" s="46">
        <v>2</v>
      </c>
      <c r="P134" s="35">
        <f t="shared" si="3"/>
        <v>36</v>
      </c>
    </row>
    <row r="135" spans="1:16" x14ac:dyDescent="0.2">
      <c r="A135" s="77" t="s">
        <v>454</v>
      </c>
      <c r="B135" s="70">
        <v>4</v>
      </c>
      <c r="C135" s="60">
        <v>4</v>
      </c>
      <c r="D135" s="60">
        <v>4</v>
      </c>
      <c r="E135" s="60">
        <v>4</v>
      </c>
      <c r="F135" s="60">
        <v>4</v>
      </c>
      <c r="G135" s="60">
        <v>4</v>
      </c>
      <c r="H135" s="60">
        <v>4</v>
      </c>
      <c r="I135" s="60">
        <v>4</v>
      </c>
      <c r="J135" s="60">
        <v>4</v>
      </c>
      <c r="K135" s="60">
        <v>4</v>
      </c>
      <c r="L135" s="60">
        <v>4</v>
      </c>
      <c r="M135" s="60">
        <v>4</v>
      </c>
      <c r="N135" s="60">
        <v>4</v>
      </c>
      <c r="O135" s="60">
        <v>4</v>
      </c>
      <c r="P135" s="35">
        <f t="shared" si="3"/>
        <v>56</v>
      </c>
    </row>
    <row r="136" spans="1:16" ht="16" x14ac:dyDescent="0.2">
      <c r="A136" s="82" t="s">
        <v>455</v>
      </c>
      <c r="B136" s="47">
        <v>3</v>
      </c>
      <c r="C136" s="48">
        <v>4</v>
      </c>
      <c r="D136" s="48">
        <v>4</v>
      </c>
      <c r="E136" s="48">
        <v>3</v>
      </c>
      <c r="F136" s="48">
        <v>4</v>
      </c>
      <c r="G136" s="48">
        <v>4</v>
      </c>
      <c r="H136" s="48">
        <v>4</v>
      </c>
      <c r="I136" s="48">
        <v>3</v>
      </c>
      <c r="J136" s="48">
        <v>4</v>
      </c>
      <c r="K136" s="48">
        <v>4</v>
      </c>
      <c r="L136" s="48">
        <v>3</v>
      </c>
      <c r="M136" s="48">
        <v>3</v>
      </c>
      <c r="N136" s="48">
        <v>4</v>
      </c>
      <c r="O136" s="48">
        <v>2</v>
      </c>
      <c r="P136" s="35">
        <f t="shared" si="3"/>
        <v>49</v>
      </c>
    </row>
    <row r="137" spans="1:16" ht="16" x14ac:dyDescent="0.2">
      <c r="A137" s="82" t="s">
        <v>456</v>
      </c>
      <c r="B137" s="67">
        <v>4</v>
      </c>
      <c r="C137" s="46">
        <v>4</v>
      </c>
      <c r="D137" s="46">
        <v>4</v>
      </c>
      <c r="E137" s="46">
        <v>4</v>
      </c>
      <c r="F137" s="46">
        <v>4</v>
      </c>
      <c r="G137" s="46">
        <v>4</v>
      </c>
      <c r="H137" s="46">
        <v>4</v>
      </c>
      <c r="I137" s="46">
        <v>4</v>
      </c>
      <c r="J137" s="46">
        <v>4</v>
      </c>
      <c r="K137" s="46">
        <v>4</v>
      </c>
      <c r="L137" s="46">
        <v>4</v>
      </c>
      <c r="M137" s="46">
        <v>4</v>
      </c>
      <c r="N137" s="46">
        <v>4</v>
      </c>
      <c r="O137" s="46">
        <v>4</v>
      </c>
      <c r="P137" s="35">
        <f t="shared" si="3"/>
        <v>56</v>
      </c>
    </row>
    <row r="138" spans="1:16" ht="16" x14ac:dyDescent="0.2">
      <c r="A138" s="82" t="s">
        <v>457</v>
      </c>
      <c r="B138" s="81">
        <v>3</v>
      </c>
      <c r="C138" s="61">
        <v>4</v>
      </c>
      <c r="D138" s="61">
        <v>3</v>
      </c>
      <c r="E138" s="61">
        <v>3</v>
      </c>
      <c r="F138" s="61">
        <v>3</v>
      </c>
      <c r="G138" s="61">
        <v>4</v>
      </c>
      <c r="H138" s="61">
        <v>3</v>
      </c>
      <c r="I138" s="61">
        <v>3</v>
      </c>
      <c r="J138" s="61">
        <v>2</v>
      </c>
      <c r="K138" s="61">
        <v>3</v>
      </c>
      <c r="L138" s="61">
        <v>3</v>
      </c>
      <c r="M138" s="61">
        <v>2</v>
      </c>
      <c r="N138" s="61">
        <v>2</v>
      </c>
      <c r="O138" s="61">
        <v>2</v>
      </c>
      <c r="P138" s="35">
        <f t="shared" si="3"/>
        <v>40</v>
      </c>
    </row>
    <row r="139" spans="1:16" ht="16" x14ac:dyDescent="0.2">
      <c r="A139" s="82" t="s">
        <v>458</v>
      </c>
      <c r="B139" s="70">
        <v>4</v>
      </c>
      <c r="C139" s="60">
        <v>4</v>
      </c>
      <c r="D139" s="60">
        <v>4</v>
      </c>
      <c r="E139" s="60">
        <v>4</v>
      </c>
      <c r="F139" s="60">
        <v>4</v>
      </c>
      <c r="G139" s="60">
        <v>4</v>
      </c>
      <c r="H139" s="60">
        <v>4</v>
      </c>
      <c r="I139" s="60">
        <v>4</v>
      </c>
      <c r="J139" s="60">
        <v>4</v>
      </c>
      <c r="K139" s="60">
        <v>4</v>
      </c>
      <c r="L139" s="60">
        <v>4</v>
      </c>
      <c r="M139" s="60">
        <v>4</v>
      </c>
      <c r="N139" s="60">
        <v>4</v>
      </c>
      <c r="O139" s="60">
        <v>4</v>
      </c>
      <c r="P139" s="35">
        <f t="shared" si="3"/>
        <v>56</v>
      </c>
    </row>
    <row r="140" spans="1:16" ht="16" x14ac:dyDescent="0.2">
      <c r="A140" s="82" t="s">
        <v>459</v>
      </c>
      <c r="B140" s="81">
        <v>3</v>
      </c>
      <c r="C140" s="61">
        <v>4</v>
      </c>
      <c r="D140" s="61">
        <v>4</v>
      </c>
      <c r="E140" s="61">
        <v>3</v>
      </c>
      <c r="F140" s="61">
        <v>3</v>
      </c>
      <c r="G140" s="61">
        <v>4</v>
      </c>
      <c r="H140" s="61">
        <v>4</v>
      </c>
      <c r="I140" s="61">
        <v>3</v>
      </c>
      <c r="J140" s="61">
        <v>3</v>
      </c>
      <c r="K140" s="61">
        <v>4</v>
      </c>
      <c r="L140" s="61">
        <v>3</v>
      </c>
      <c r="M140" s="61">
        <v>3</v>
      </c>
      <c r="N140" s="61">
        <v>4</v>
      </c>
      <c r="O140" s="61">
        <v>3</v>
      </c>
      <c r="P140" s="35">
        <f t="shared" si="3"/>
        <v>48</v>
      </c>
    </row>
    <row r="141" spans="1:16" ht="16" x14ac:dyDescent="0.2">
      <c r="A141" s="82" t="s">
        <v>460</v>
      </c>
      <c r="B141" s="81">
        <v>3</v>
      </c>
      <c r="C141" s="61">
        <v>4</v>
      </c>
      <c r="D141" s="61">
        <v>4</v>
      </c>
      <c r="E141" s="61">
        <v>3</v>
      </c>
      <c r="F141" s="61">
        <v>4</v>
      </c>
      <c r="G141" s="61">
        <v>4</v>
      </c>
      <c r="H141" s="61">
        <v>4</v>
      </c>
      <c r="I141" s="61">
        <v>3</v>
      </c>
      <c r="J141" s="61">
        <v>4</v>
      </c>
      <c r="K141" s="61">
        <v>4</v>
      </c>
      <c r="L141" s="61">
        <v>3</v>
      </c>
      <c r="M141" s="61">
        <v>3</v>
      </c>
      <c r="N141" s="61">
        <v>3</v>
      </c>
      <c r="O141" s="61">
        <v>3</v>
      </c>
      <c r="P141" s="35">
        <f t="shared" si="3"/>
        <v>49</v>
      </c>
    </row>
    <row r="142" spans="1:16" x14ac:dyDescent="0.2">
      <c r="A142" s="86" t="s">
        <v>462</v>
      </c>
      <c r="B142" s="47">
        <v>3</v>
      </c>
      <c r="C142" s="48">
        <v>4</v>
      </c>
      <c r="D142" s="48">
        <v>4</v>
      </c>
      <c r="E142" s="48">
        <v>3</v>
      </c>
      <c r="F142" s="48">
        <v>4</v>
      </c>
      <c r="G142" s="48">
        <v>4</v>
      </c>
      <c r="H142" s="48">
        <v>4</v>
      </c>
      <c r="I142" s="48">
        <v>4</v>
      </c>
      <c r="J142" s="48">
        <v>3</v>
      </c>
      <c r="K142" s="48">
        <v>4</v>
      </c>
      <c r="L142" s="48">
        <v>4</v>
      </c>
      <c r="M142" s="48">
        <v>3</v>
      </c>
      <c r="N142" s="48">
        <v>4</v>
      </c>
      <c r="O142" s="48">
        <v>3</v>
      </c>
      <c r="P142" s="35">
        <f t="shared" si="3"/>
        <v>51</v>
      </c>
    </row>
    <row r="143" spans="1:16" ht="16" x14ac:dyDescent="0.2">
      <c r="A143" s="53" t="s">
        <v>463</v>
      </c>
      <c r="B143" s="70">
        <v>4</v>
      </c>
      <c r="C143" s="60">
        <v>4</v>
      </c>
      <c r="D143" s="60">
        <v>4</v>
      </c>
      <c r="E143" s="60">
        <v>4</v>
      </c>
      <c r="F143" s="60">
        <v>4</v>
      </c>
      <c r="G143" s="60">
        <v>4</v>
      </c>
      <c r="H143" s="60">
        <v>4</v>
      </c>
      <c r="I143" s="60">
        <v>3</v>
      </c>
      <c r="J143" s="60">
        <v>3</v>
      </c>
      <c r="K143" s="60">
        <v>4</v>
      </c>
      <c r="L143" s="60">
        <v>3</v>
      </c>
      <c r="M143" s="60">
        <v>3</v>
      </c>
      <c r="N143" s="60">
        <v>2</v>
      </c>
      <c r="O143" s="60">
        <v>3</v>
      </c>
      <c r="P143" s="35">
        <f t="shared" si="3"/>
        <v>49</v>
      </c>
    </row>
    <row r="144" spans="1:16" ht="17" thickBot="1" x14ac:dyDescent="0.25">
      <c r="A144" s="53" t="s">
        <v>464</v>
      </c>
      <c r="B144" s="89">
        <v>4</v>
      </c>
      <c r="C144" s="90">
        <v>4</v>
      </c>
      <c r="D144" s="90">
        <v>4</v>
      </c>
      <c r="E144" s="90">
        <v>4</v>
      </c>
      <c r="F144" s="90">
        <v>4</v>
      </c>
      <c r="G144" s="90">
        <v>3</v>
      </c>
      <c r="H144" s="90">
        <v>4</v>
      </c>
      <c r="I144" s="90">
        <v>4</v>
      </c>
      <c r="J144" s="90">
        <v>3</v>
      </c>
      <c r="K144" s="90">
        <v>4</v>
      </c>
      <c r="L144" s="90">
        <v>3</v>
      </c>
      <c r="M144" s="90">
        <v>4</v>
      </c>
      <c r="N144" s="90">
        <v>4</v>
      </c>
      <c r="O144" s="90">
        <v>3</v>
      </c>
      <c r="P144" s="35">
        <f t="shared" si="3"/>
        <v>52</v>
      </c>
    </row>
    <row r="145" spans="1:16" x14ac:dyDescent="0.2">
      <c r="A145" s="50" t="s">
        <v>465</v>
      </c>
      <c r="B145" s="47">
        <v>4</v>
      </c>
      <c r="C145" s="48">
        <v>4</v>
      </c>
      <c r="D145" s="48">
        <v>4</v>
      </c>
      <c r="E145" s="48">
        <v>4</v>
      </c>
      <c r="F145" s="48">
        <v>4</v>
      </c>
      <c r="G145" s="48">
        <v>4</v>
      </c>
      <c r="H145" s="48">
        <v>4</v>
      </c>
      <c r="I145" s="48">
        <v>4</v>
      </c>
      <c r="J145" s="48">
        <v>4</v>
      </c>
      <c r="K145" s="48">
        <v>4</v>
      </c>
      <c r="L145" s="48">
        <v>4</v>
      </c>
      <c r="M145" s="48">
        <v>3</v>
      </c>
      <c r="N145" s="48">
        <v>4</v>
      </c>
      <c r="O145" s="48">
        <v>4</v>
      </c>
      <c r="P145" s="35">
        <f t="shared" si="3"/>
        <v>55</v>
      </c>
    </row>
    <row r="146" spans="1:16" x14ac:dyDescent="0.2">
      <c r="A146" s="50" t="s">
        <v>466</v>
      </c>
      <c r="B146" s="67">
        <v>4</v>
      </c>
      <c r="C146" s="46">
        <v>4</v>
      </c>
      <c r="D146" s="46">
        <v>4</v>
      </c>
      <c r="E146" s="46">
        <v>4</v>
      </c>
      <c r="F146" s="46">
        <v>4</v>
      </c>
      <c r="G146" s="46">
        <v>4</v>
      </c>
      <c r="H146" s="46">
        <v>4</v>
      </c>
      <c r="I146" s="46">
        <v>4</v>
      </c>
      <c r="J146" s="46">
        <v>4</v>
      </c>
      <c r="K146" s="46">
        <v>3</v>
      </c>
      <c r="L146" s="46">
        <v>3</v>
      </c>
      <c r="M146" s="46">
        <v>3</v>
      </c>
      <c r="N146" s="46">
        <v>4</v>
      </c>
      <c r="O146" s="46">
        <v>3</v>
      </c>
      <c r="P146" s="35">
        <f t="shared" si="3"/>
        <v>52</v>
      </c>
    </row>
    <row r="147" spans="1:16" ht="16" x14ac:dyDescent="0.2">
      <c r="A147" s="53" t="s">
        <v>467</v>
      </c>
      <c r="B147" s="47">
        <v>4</v>
      </c>
      <c r="C147" s="48">
        <v>4</v>
      </c>
      <c r="D147" s="48">
        <v>4</v>
      </c>
      <c r="E147" s="48">
        <v>4</v>
      </c>
      <c r="F147" s="48">
        <v>4</v>
      </c>
      <c r="G147" s="48">
        <v>4</v>
      </c>
      <c r="H147" s="48">
        <v>4</v>
      </c>
      <c r="I147" s="48">
        <v>4</v>
      </c>
      <c r="J147" s="48">
        <v>4</v>
      </c>
      <c r="K147" s="48">
        <v>4</v>
      </c>
      <c r="L147" s="48">
        <v>4</v>
      </c>
      <c r="M147" s="48">
        <v>3</v>
      </c>
      <c r="N147" s="48">
        <v>4</v>
      </c>
      <c r="O147" s="48">
        <v>3</v>
      </c>
      <c r="P147" s="35">
        <f t="shared" si="3"/>
        <v>54</v>
      </c>
    </row>
    <row r="148" spans="1:16" ht="16" x14ac:dyDescent="0.2">
      <c r="A148" s="53" t="s">
        <v>468</v>
      </c>
      <c r="B148" s="47">
        <v>3</v>
      </c>
      <c r="C148" s="48">
        <v>4</v>
      </c>
      <c r="D148" s="48">
        <v>4</v>
      </c>
      <c r="E148" s="48">
        <v>3</v>
      </c>
      <c r="F148" s="48">
        <v>3</v>
      </c>
      <c r="G148" s="48">
        <v>2</v>
      </c>
      <c r="H148" s="48">
        <v>2</v>
      </c>
      <c r="I148" s="48">
        <v>2</v>
      </c>
      <c r="J148" s="48">
        <v>0</v>
      </c>
      <c r="K148" s="48">
        <v>1</v>
      </c>
      <c r="L148" s="48">
        <v>1</v>
      </c>
      <c r="M148" s="48">
        <v>0</v>
      </c>
      <c r="N148" s="48">
        <v>1</v>
      </c>
      <c r="O148" s="48">
        <v>1</v>
      </c>
      <c r="P148" s="35">
        <f t="shared" si="3"/>
        <v>27</v>
      </c>
    </row>
    <row r="149" spans="1:16" ht="16" x14ac:dyDescent="0.2">
      <c r="A149" s="53" t="s">
        <v>469</v>
      </c>
      <c r="B149" s="47">
        <v>2</v>
      </c>
      <c r="C149" s="48">
        <v>4</v>
      </c>
      <c r="D149" s="48">
        <v>4</v>
      </c>
      <c r="E149" s="48">
        <v>2</v>
      </c>
      <c r="F149" s="48">
        <v>2</v>
      </c>
      <c r="G149" s="48">
        <v>3</v>
      </c>
      <c r="H149" s="48">
        <v>3</v>
      </c>
      <c r="I149" s="48">
        <v>2</v>
      </c>
      <c r="J149" s="48">
        <v>2</v>
      </c>
      <c r="K149" s="48">
        <v>3</v>
      </c>
      <c r="L149" s="48">
        <v>2</v>
      </c>
      <c r="M149" s="48">
        <v>1</v>
      </c>
      <c r="N149" s="48">
        <v>2</v>
      </c>
      <c r="O149" s="48">
        <v>2</v>
      </c>
      <c r="P149" s="35">
        <f t="shared" si="3"/>
        <v>34</v>
      </c>
    </row>
    <row r="150" spans="1:16" ht="16" x14ac:dyDescent="0.2">
      <c r="A150" s="53" t="s">
        <v>470</v>
      </c>
      <c r="B150" s="67">
        <v>3</v>
      </c>
      <c r="C150" s="46">
        <v>4</v>
      </c>
      <c r="D150" s="46">
        <v>4</v>
      </c>
      <c r="E150" s="46">
        <v>3</v>
      </c>
      <c r="F150" s="46">
        <v>3</v>
      </c>
      <c r="G150" s="46">
        <v>3</v>
      </c>
      <c r="H150" s="46">
        <v>4</v>
      </c>
      <c r="I150" s="46">
        <v>3</v>
      </c>
      <c r="J150" s="46">
        <v>3</v>
      </c>
      <c r="K150" s="46">
        <v>3</v>
      </c>
      <c r="L150" s="46">
        <v>4</v>
      </c>
      <c r="M150" s="46">
        <v>4</v>
      </c>
      <c r="N150" s="46">
        <v>4</v>
      </c>
      <c r="O150" s="46">
        <v>3</v>
      </c>
      <c r="P150" s="35">
        <f t="shared" si="3"/>
        <v>48</v>
      </c>
    </row>
    <row r="151" spans="1:16" ht="16" x14ac:dyDescent="0.2">
      <c r="A151" s="53" t="s">
        <v>471</v>
      </c>
      <c r="B151" s="67">
        <v>2</v>
      </c>
      <c r="C151" s="46">
        <v>4</v>
      </c>
      <c r="D151" s="46">
        <v>4</v>
      </c>
      <c r="E151" s="46">
        <v>2</v>
      </c>
      <c r="F151" s="46">
        <v>3</v>
      </c>
      <c r="G151" s="46">
        <v>3</v>
      </c>
      <c r="H151" s="46">
        <v>4</v>
      </c>
      <c r="I151" s="46">
        <v>3</v>
      </c>
      <c r="J151" s="46">
        <v>3</v>
      </c>
      <c r="K151" s="46">
        <v>2</v>
      </c>
      <c r="L151" s="46">
        <v>2</v>
      </c>
      <c r="M151" s="46">
        <v>2</v>
      </c>
      <c r="N151" s="46">
        <v>2</v>
      </c>
      <c r="O151" s="46">
        <v>2</v>
      </c>
      <c r="P151" s="35">
        <f t="shared" si="3"/>
        <v>38</v>
      </c>
    </row>
    <row r="152" spans="1:16" ht="16" x14ac:dyDescent="0.2">
      <c r="A152" s="53" t="s">
        <v>472</v>
      </c>
      <c r="B152" s="67">
        <v>3</v>
      </c>
      <c r="C152" s="46">
        <v>4</v>
      </c>
      <c r="D152" s="46">
        <v>4</v>
      </c>
      <c r="E152" s="46">
        <v>4</v>
      </c>
      <c r="F152" s="46">
        <v>4</v>
      </c>
      <c r="G152" s="46">
        <v>4</v>
      </c>
      <c r="H152" s="46">
        <v>4</v>
      </c>
      <c r="I152" s="46">
        <v>4</v>
      </c>
      <c r="J152" s="46">
        <v>4</v>
      </c>
      <c r="K152" s="46">
        <v>4</v>
      </c>
      <c r="L152" s="46">
        <v>4</v>
      </c>
      <c r="M152" s="46">
        <v>3</v>
      </c>
      <c r="N152" s="46">
        <v>4</v>
      </c>
      <c r="O152" s="46">
        <v>3</v>
      </c>
      <c r="P152" s="35">
        <f t="shared" si="3"/>
        <v>53</v>
      </c>
    </row>
    <row r="153" spans="1:16" ht="16" x14ac:dyDescent="0.2">
      <c r="A153" s="53" t="s">
        <v>473</v>
      </c>
      <c r="B153" s="67">
        <v>3</v>
      </c>
      <c r="C153" s="46">
        <v>4</v>
      </c>
      <c r="D153" s="46">
        <v>4</v>
      </c>
      <c r="E153" s="46">
        <v>4</v>
      </c>
      <c r="F153" s="46">
        <v>4</v>
      </c>
      <c r="G153" s="46">
        <v>4</v>
      </c>
      <c r="H153" s="46">
        <v>4</v>
      </c>
      <c r="I153" s="46">
        <v>4</v>
      </c>
      <c r="J153" s="46">
        <v>4</v>
      </c>
      <c r="K153" s="46">
        <v>4</v>
      </c>
      <c r="L153" s="46">
        <v>4</v>
      </c>
      <c r="M153" s="46">
        <v>3</v>
      </c>
      <c r="N153" s="46">
        <v>4</v>
      </c>
      <c r="O153" s="46">
        <v>3</v>
      </c>
      <c r="P153" s="35">
        <f t="shared" si="3"/>
        <v>53</v>
      </c>
    </row>
    <row r="154" spans="1:16" ht="16" x14ac:dyDescent="0.2">
      <c r="A154" s="53" t="s">
        <v>474</v>
      </c>
      <c r="B154" s="67">
        <v>4</v>
      </c>
      <c r="C154" s="46">
        <v>4</v>
      </c>
      <c r="D154" s="46">
        <v>4</v>
      </c>
      <c r="E154" s="46">
        <v>4</v>
      </c>
      <c r="F154" s="46">
        <v>4</v>
      </c>
      <c r="G154" s="46">
        <v>4</v>
      </c>
      <c r="H154" s="46">
        <v>4</v>
      </c>
      <c r="I154" s="46">
        <v>3</v>
      </c>
      <c r="J154" s="46">
        <v>3</v>
      </c>
      <c r="K154" s="46">
        <v>4</v>
      </c>
      <c r="L154" s="46">
        <v>3</v>
      </c>
      <c r="M154" s="46">
        <v>3</v>
      </c>
      <c r="N154" s="46">
        <v>3</v>
      </c>
      <c r="O154" s="46">
        <v>3</v>
      </c>
      <c r="P154" s="35">
        <f t="shared" si="3"/>
        <v>50</v>
      </c>
    </row>
    <row r="155" spans="1:16" ht="16" x14ac:dyDescent="0.2">
      <c r="A155" s="91" t="s">
        <v>475</v>
      </c>
      <c r="B155" s="67">
        <v>2</v>
      </c>
      <c r="C155" s="46">
        <v>4</v>
      </c>
      <c r="D155" s="46">
        <v>4</v>
      </c>
      <c r="E155" s="46">
        <v>2</v>
      </c>
      <c r="F155" s="46">
        <v>2</v>
      </c>
      <c r="G155" s="46">
        <v>3</v>
      </c>
      <c r="H155" s="46">
        <v>3</v>
      </c>
      <c r="I155" s="46">
        <v>2</v>
      </c>
      <c r="J155" s="46">
        <v>2</v>
      </c>
      <c r="K155" s="46">
        <v>4</v>
      </c>
      <c r="L155" s="46">
        <v>3</v>
      </c>
      <c r="M155" s="46">
        <v>2</v>
      </c>
      <c r="N155" s="46">
        <v>2</v>
      </c>
      <c r="O155" s="46">
        <v>2</v>
      </c>
      <c r="P155" s="35">
        <f t="shared" ref="P155:P168" si="4">SUM(B155:O155)</f>
        <v>37</v>
      </c>
    </row>
    <row r="156" spans="1:16" ht="16" x14ac:dyDescent="0.2">
      <c r="A156" s="82" t="s">
        <v>476</v>
      </c>
      <c r="B156" s="67">
        <v>4</v>
      </c>
      <c r="C156" s="46">
        <v>4</v>
      </c>
      <c r="D156" s="46">
        <v>4</v>
      </c>
      <c r="E156" s="46">
        <v>4</v>
      </c>
      <c r="F156" s="46">
        <v>4</v>
      </c>
      <c r="G156" s="46">
        <v>4</v>
      </c>
      <c r="H156" s="46">
        <v>4</v>
      </c>
      <c r="I156" s="46">
        <v>4</v>
      </c>
      <c r="J156" s="46">
        <v>4</v>
      </c>
      <c r="K156" s="46">
        <v>4</v>
      </c>
      <c r="L156" s="46">
        <v>4</v>
      </c>
      <c r="M156" s="46">
        <v>3</v>
      </c>
      <c r="N156" s="46">
        <v>3</v>
      </c>
      <c r="O156" s="46">
        <v>3</v>
      </c>
      <c r="P156" s="35">
        <f t="shared" si="4"/>
        <v>53</v>
      </c>
    </row>
    <row r="157" spans="1:16" ht="16" x14ac:dyDescent="0.2">
      <c r="A157" s="82" t="s">
        <v>477</v>
      </c>
      <c r="B157" s="67">
        <v>4</v>
      </c>
      <c r="C157" s="46">
        <v>4</v>
      </c>
      <c r="D157" s="46">
        <v>4</v>
      </c>
      <c r="E157" s="46">
        <v>4</v>
      </c>
      <c r="F157" s="46">
        <v>4</v>
      </c>
      <c r="G157" s="46">
        <v>4</v>
      </c>
      <c r="H157" s="46">
        <v>4</v>
      </c>
      <c r="I157" s="46">
        <v>4</v>
      </c>
      <c r="J157" s="46">
        <v>4</v>
      </c>
      <c r="K157" s="46">
        <v>4</v>
      </c>
      <c r="L157" s="46">
        <v>4</v>
      </c>
      <c r="M157" s="46">
        <v>3</v>
      </c>
      <c r="N157" s="46">
        <v>4</v>
      </c>
      <c r="O157" s="46">
        <v>3</v>
      </c>
      <c r="P157" s="35">
        <f t="shared" si="4"/>
        <v>54</v>
      </c>
    </row>
    <row r="158" spans="1:16" ht="16" x14ac:dyDescent="0.2">
      <c r="A158" s="82" t="s">
        <v>478</v>
      </c>
      <c r="B158" s="67">
        <v>2</v>
      </c>
      <c r="C158" s="46">
        <v>4</v>
      </c>
      <c r="D158" s="46">
        <v>4</v>
      </c>
      <c r="E158" s="46">
        <v>2</v>
      </c>
      <c r="F158" s="46">
        <v>2</v>
      </c>
      <c r="G158" s="46">
        <v>2</v>
      </c>
      <c r="H158" s="46">
        <v>2</v>
      </c>
      <c r="I158" s="46">
        <v>2</v>
      </c>
      <c r="J158" s="46">
        <v>2</v>
      </c>
      <c r="K158" s="46">
        <v>3</v>
      </c>
      <c r="L158" s="46">
        <v>2</v>
      </c>
      <c r="M158" s="46">
        <v>2</v>
      </c>
      <c r="N158" s="46">
        <v>2</v>
      </c>
      <c r="O158" s="46">
        <v>2</v>
      </c>
      <c r="P158" s="35">
        <f t="shared" si="4"/>
        <v>33</v>
      </c>
    </row>
    <row r="159" spans="1:16" ht="16" x14ac:dyDescent="0.2">
      <c r="A159" s="82" t="s">
        <v>479</v>
      </c>
      <c r="B159" s="67">
        <v>1</v>
      </c>
      <c r="C159" s="46">
        <v>0</v>
      </c>
      <c r="D159" s="46">
        <v>2</v>
      </c>
      <c r="E159" s="46">
        <v>1</v>
      </c>
      <c r="F159" s="46">
        <v>0</v>
      </c>
      <c r="G159" s="46">
        <v>0</v>
      </c>
      <c r="H159" s="46">
        <v>0</v>
      </c>
      <c r="I159" s="46">
        <v>0</v>
      </c>
      <c r="J159" s="46">
        <v>0</v>
      </c>
      <c r="K159" s="46">
        <v>1</v>
      </c>
      <c r="L159" s="46">
        <v>1</v>
      </c>
      <c r="M159" s="46">
        <v>1</v>
      </c>
      <c r="N159" s="46">
        <v>0</v>
      </c>
      <c r="O159" s="46">
        <v>0</v>
      </c>
      <c r="P159" s="35">
        <f t="shared" si="4"/>
        <v>7</v>
      </c>
    </row>
    <row r="160" spans="1:16" ht="16" x14ac:dyDescent="0.2">
      <c r="A160" s="82" t="s">
        <v>480</v>
      </c>
      <c r="B160" s="67">
        <v>4</v>
      </c>
      <c r="C160" s="46">
        <v>4</v>
      </c>
      <c r="D160" s="46">
        <v>4</v>
      </c>
      <c r="E160" s="46">
        <v>4</v>
      </c>
      <c r="F160" s="46">
        <v>3</v>
      </c>
      <c r="G160" s="46">
        <v>4</v>
      </c>
      <c r="H160" s="46">
        <v>4</v>
      </c>
      <c r="I160" s="46">
        <v>4</v>
      </c>
      <c r="J160" s="46">
        <v>3</v>
      </c>
      <c r="K160" s="46">
        <v>4</v>
      </c>
      <c r="L160" s="46">
        <v>4</v>
      </c>
      <c r="M160" s="46">
        <v>4</v>
      </c>
      <c r="N160" s="46">
        <v>4</v>
      </c>
      <c r="O160" s="46">
        <v>3</v>
      </c>
      <c r="P160" s="35">
        <f t="shared" si="4"/>
        <v>53</v>
      </c>
    </row>
    <row r="161" spans="1:16" ht="16" x14ac:dyDescent="0.2">
      <c r="A161" s="82" t="s">
        <v>481</v>
      </c>
      <c r="B161" s="67">
        <v>3</v>
      </c>
      <c r="C161" s="46">
        <v>3</v>
      </c>
      <c r="D161" s="46">
        <v>4</v>
      </c>
      <c r="E161" s="46">
        <v>3</v>
      </c>
      <c r="F161" s="46">
        <v>3</v>
      </c>
      <c r="G161" s="46">
        <v>3</v>
      </c>
      <c r="H161" s="46">
        <v>3</v>
      </c>
      <c r="I161" s="46">
        <v>3</v>
      </c>
      <c r="J161" s="46">
        <v>3</v>
      </c>
      <c r="K161" s="46">
        <v>3</v>
      </c>
      <c r="L161" s="46">
        <v>3</v>
      </c>
      <c r="M161" s="46">
        <v>3</v>
      </c>
      <c r="N161" s="46">
        <v>3</v>
      </c>
      <c r="O161" s="46">
        <v>3</v>
      </c>
      <c r="P161" s="35">
        <f t="shared" si="4"/>
        <v>43</v>
      </c>
    </row>
    <row r="162" spans="1:16" ht="16" x14ac:dyDescent="0.2">
      <c r="A162" s="82" t="s">
        <v>482</v>
      </c>
      <c r="B162" s="46">
        <v>4</v>
      </c>
      <c r="C162" s="46">
        <v>4</v>
      </c>
      <c r="D162" s="46">
        <v>4</v>
      </c>
      <c r="E162" s="46">
        <v>4</v>
      </c>
      <c r="F162" s="46">
        <v>4</v>
      </c>
      <c r="G162" s="46">
        <v>4</v>
      </c>
      <c r="H162" s="46">
        <v>4</v>
      </c>
      <c r="I162" s="46">
        <v>4</v>
      </c>
      <c r="J162" s="46">
        <v>3</v>
      </c>
      <c r="K162" s="46">
        <v>4</v>
      </c>
      <c r="L162" s="46">
        <v>3</v>
      </c>
      <c r="M162" s="46">
        <v>4</v>
      </c>
      <c r="N162" s="46">
        <v>4</v>
      </c>
      <c r="O162" s="46">
        <v>4</v>
      </c>
      <c r="P162" s="35">
        <f t="shared" si="4"/>
        <v>54</v>
      </c>
    </row>
    <row r="163" spans="1:16" ht="16" x14ac:dyDescent="0.2">
      <c r="A163" s="82" t="s">
        <v>483</v>
      </c>
      <c r="B163" s="67">
        <v>4</v>
      </c>
      <c r="C163" s="46">
        <v>4</v>
      </c>
      <c r="D163" s="46">
        <v>4</v>
      </c>
      <c r="E163" s="46">
        <v>4</v>
      </c>
      <c r="F163" s="46">
        <v>3</v>
      </c>
      <c r="G163" s="46">
        <v>3</v>
      </c>
      <c r="H163" s="46">
        <v>4</v>
      </c>
      <c r="I163" s="46">
        <v>3</v>
      </c>
      <c r="J163" s="46">
        <v>4</v>
      </c>
      <c r="K163" s="46">
        <v>4</v>
      </c>
      <c r="L163" s="46">
        <v>3</v>
      </c>
      <c r="M163" s="46">
        <v>3</v>
      </c>
      <c r="N163" s="46">
        <v>3</v>
      </c>
      <c r="O163" s="46">
        <v>3</v>
      </c>
      <c r="P163" s="35">
        <f t="shared" si="4"/>
        <v>49</v>
      </c>
    </row>
    <row r="164" spans="1:16" ht="16" x14ac:dyDescent="0.2">
      <c r="A164" s="82" t="s">
        <v>484</v>
      </c>
      <c r="B164" s="81">
        <v>3</v>
      </c>
      <c r="C164" s="61">
        <v>4</v>
      </c>
      <c r="D164" s="61">
        <v>4</v>
      </c>
      <c r="E164" s="61">
        <v>3</v>
      </c>
      <c r="F164" s="61">
        <v>4</v>
      </c>
      <c r="G164" s="61">
        <v>4</v>
      </c>
      <c r="H164" s="61">
        <v>4</v>
      </c>
      <c r="I164" s="61">
        <v>3</v>
      </c>
      <c r="J164" s="61">
        <v>3</v>
      </c>
      <c r="K164" s="61">
        <v>4</v>
      </c>
      <c r="L164" s="61">
        <v>4</v>
      </c>
      <c r="M164" s="61">
        <v>3</v>
      </c>
      <c r="N164" s="61">
        <v>3</v>
      </c>
      <c r="O164" s="61">
        <v>2</v>
      </c>
      <c r="P164" s="35">
        <f t="shared" si="4"/>
        <v>48</v>
      </c>
    </row>
    <row r="165" spans="1:16" ht="16" x14ac:dyDescent="0.2">
      <c r="A165" s="82" t="s">
        <v>485</v>
      </c>
      <c r="B165" s="81">
        <v>3</v>
      </c>
      <c r="C165" s="61">
        <v>4</v>
      </c>
      <c r="D165" s="61">
        <v>4</v>
      </c>
      <c r="E165" s="61">
        <v>3</v>
      </c>
      <c r="F165" s="61">
        <v>4</v>
      </c>
      <c r="G165" s="61">
        <v>4</v>
      </c>
      <c r="H165" s="61">
        <v>4</v>
      </c>
      <c r="I165" s="61">
        <v>4</v>
      </c>
      <c r="J165" s="61">
        <v>4</v>
      </c>
      <c r="K165" s="61">
        <v>4</v>
      </c>
      <c r="L165" s="61">
        <v>4</v>
      </c>
      <c r="M165" s="61">
        <v>3</v>
      </c>
      <c r="N165" s="61">
        <v>3</v>
      </c>
      <c r="O165" s="61">
        <v>3</v>
      </c>
      <c r="P165" s="35">
        <f t="shared" si="4"/>
        <v>51</v>
      </c>
    </row>
    <row r="166" spans="1:16" ht="16" x14ac:dyDescent="0.2">
      <c r="A166" s="82" t="s">
        <v>486</v>
      </c>
      <c r="B166" s="81">
        <v>3</v>
      </c>
      <c r="C166" s="61">
        <v>4</v>
      </c>
      <c r="D166" s="61">
        <v>4</v>
      </c>
      <c r="E166" s="61">
        <v>3</v>
      </c>
      <c r="F166" s="61">
        <v>3</v>
      </c>
      <c r="G166" s="61">
        <v>4</v>
      </c>
      <c r="H166" s="61">
        <v>4</v>
      </c>
      <c r="I166" s="61">
        <v>3</v>
      </c>
      <c r="J166" s="61">
        <v>4</v>
      </c>
      <c r="K166" s="61">
        <v>4</v>
      </c>
      <c r="L166" s="61">
        <v>3</v>
      </c>
      <c r="M166" s="61">
        <v>3</v>
      </c>
      <c r="N166" s="61">
        <v>3</v>
      </c>
      <c r="O166" s="61">
        <v>3</v>
      </c>
      <c r="P166" s="35">
        <f t="shared" si="4"/>
        <v>48</v>
      </c>
    </row>
    <row r="167" spans="1:16" ht="16" x14ac:dyDescent="0.2">
      <c r="A167" s="82" t="s">
        <v>487</v>
      </c>
      <c r="B167" s="67">
        <v>1</v>
      </c>
      <c r="C167" s="46">
        <v>1</v>
      </c>
      <c r="D167" s="46">
        <v>4</v>
      </c>
      <c r="E167" s="46">
        <v>1</v>
      </c>
      <c r="F167" s="46">
        <v>1</v>
      </c>
      <c r="G167" s="46">
        <v>1</v>
      </c>
      <c r="H167" s="46">
        <v>1</v>
      </c>
      <c r="I167" s="46">
        <v>1</v>
      </c>
      <c r="J167" s="46">
        <v>1</v>
      </c>
      <c r="K167" s="46">
        <v>1</v>
      </c>
      <c r="L167" s="46">
        <v>1</v>
      </c>
      <c r="M167" s="46">
        <v>1</v>
      </c>
      <c r="N167" s="46">
        <v>1</v>
      </c>
      <c r="O167" s="46">
        <v>1</v>
      </c>
      <c r="P167" s="35">
        <f t="shared" si="4"/>
        <v>17</v>
      </c>
    </row>
    <row r="168" spans="1:16" ht="16" x14ac:dyDescent="0.2">
      <c r="A168" s="82" t="s">
        <v>488</v>
      </c>
      <c r="B168" s="67">
        <v>2</v>
      </c>
      <c r="C168" s="46">
        <v>3</v>
      </c>
      <c r="D168" s="46">
        <v>4</v>
      </c>
      <c r="E168" s="46">
        <v>2</v>
      </c>
      <c r="F168" s="46">
        <v>2</v>
      </c>
      <c r="G168" s="46">
        <v>2</v>
      </c>
      <c r="H168" s="46">
        <v>3</v>
      </c>
      <c r="I168" s="46">
        <v>3</v>
      </c>
      <c r="J168" s="46">
        <v>3</v>
      </c>
      <c r="K168" s="46">
        <v>3</v>
      </c>
      <c r="L168" s="46">
        <v>3</v>
      </c>
      <c r="M168" s="46">
        <v>3</v>
      </c>
      <c r="N168" s="46">
        <v>3</v>
      </c>
      <c r="O168" s="46">
        <v>2</v>
      </c>
      <c r="P168" s="35">
        <f t="shared" si="4"/>
        <v>38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71"/>
  <sheetViews>
    <sheetView tabSelected="1" workbookViewId="0">
      <selection activeCell="E10" sqref="E10"/>
    </sheetView>
  </sheetViews>
  <sheetFormatPr baseColWidth="10" defaultColWidth="8.83203125" defaultRowHeight="15" x14ac:dyDescent="0.2"/>
  <cols>
    <col min="1" max="1" width="19.1640625" bestFit="1" customWidth="1"/>
    <col min="2" max="2" width="19.6640625" bestFit="1" customWidth="1"/>
    <col min="3" max="3" width="19.6640625" customWidth="1"/>
    <col min="10" max="10" width="15" bestFit="1" customWidth="1"/>
    <col min="11" max="11" width="15" customWidth="1"/>
  </cols>
  <sheetData>
    <row r="1" spans="1:19" s="12" customFormat="1" ht="32" x14ac:dyDescent="0.2">
      <c r="A1" s="328" t="s">
        <v>497</v>
      </c>
      <c r="B1" s="7" t="s">
        <v>74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81</v>
      </c>
      <c r="K1" s="7" t="s">
        <v>81</v>
      </c>
      <c r="L1" s="7" t="s">
        <v>82</v>
      </c>
      <c r="M1" s="7" t="s">
        <v>83</v>
      </c>
      <c r="N1" s="7" t="s">
        <v>84</v>
      </c>
      <c r="O1" s="7" t="s">
        <v>85</v>
      </c>
      <c r="P1" s="7" t="s">
        <v>86</v>
      </c>
      <c r="Q1" s="7" t="s">
        <v>87</v>
      </c>
      <c r="R1" s="7" t="s">
        <v>88</v>
      </c>
      <c r="S1" s="329" t="s">
        <v>69</v>
      </c>
    </row>
    <row r="2" spans="1:19" ht="16" x14ac:dyDescent="0.2">
      <c r="A2" s="328" t="s">
        <v>497</v>
      </c>
      <c r="B2" s="343" t="s">
        <v>791</v>
      </c>
      <c r="C2" s="343" t="str">
        <f>_xlfn.XLOOKUP(C1,MDS_1[Pregunta],MDS_1[ITEM_CODE],"XXXXXX")</f>
        <v>Q1_A</v>
      </c>
      <c r="D2" s="343" t="str">
        <f>_xlfn.XLOOKUP(D1,MDS_1[Pregunta],MDS_1[ITEM_CODE],"XXXXXX")</f>
        <v>Q1_1</v>
      </c>
      <c r="E2" s="343" t="str">
        <f>_xlfn.XLOOKUP(E1,MDS_1[Pregunta],MDS_1[ITEM_CODE],"XXXXXX")</f>
        <v>Q1_2</v>
      </c>
      <c r="F2" s="343" t="str">
        <f>_xlfn.XLOOKUP(F1,MDS_1[Pregunta],MDS_1[ITEM_CODE],"XXXXXX")</f>
        <v>Q1_3</v>
      </c>
      <c r="G2" s="343" t="str">
        <f>_xlfn.XLOOKUP(G1,MDS_1[Pregunta],MDS_1[ITEM_CODE],"XXXXXX")</f>
        <v>Q1_4</v>
      </c>
      <c r="H2" s="343" t="str">
        <f>_xlfn.XLOOKUP(H1,MDS_1[Pregunta],MDS_1[ITEM_CODE],"XXXXXX")</f>
        <v>Q1_5</v>
      </c>
      <c r="I2" s="343" t="str">
        <f>_xlfn.XLOOKUP(I1,MDS_1[Pregunta],MDS_1[ITEM_CODE],"XXXXXX")</f>
        <v>Q1_6</v>
      </c>
      <c r="J2" s="343" t="s">
        <v>792</v>
      </c>
      <c r="K2" s="343" t="str">
        <f>_xlfn.XLOOKUP(K1,MDS_1[Pregunta],MDS_1[ITEM_CODE],"XXXXXX")</f>
        <v>Q1_6A</v>
      </c>
      <c r="L2" s="343" t="str">
        <f>_xlfn.XLOOKUP(L1,MDS_1[Pregunta],MDS_1[ITEM_CODE],"XXXXXX")</f>
        <v>Q1_7</v>
      </c>
      <c r="M2" s="343" t="str">
        <f>_xlfn.XLOOKUP(M1,MDS_1[Pregunta],MDS_1[ITEM_CODE],"XXXXXX")</f>
        <v>Q1_8</v>
      </c>
      <c r="N2" s="343" t="str">
        <f>_xlfn.XLOOKUP(N1,MDS_1[Pregunta],MDS_1[ITEM_CODE],"XXXXXX")</f>
        <v>Q1_9</v>
      </c>
      <c r="O2" s="343" t="str">
        <f>_xlfn.XLOOKUP(O1,MDS_1[Pregunta],MDS_1[ITEM_CODE],"XXXXXX")</f>
        <v>Q1_10</v>
      </c>
      <c r="P2" s="343" t="str">
        <f>_xlfn.XLOOKUP(P1,MDS_1[Pregunta],MDS_1[ITEM_CODE],"XXXXXX")</f>
        <v>Q1_11</v>
      </c>
      <c r="Q2" s="343" t="str">
        <f>_xlfn.XLOOKUP(Q1,MDS_1[Pregunta],MDS_1[ITEM_CODE],"XXXXXX")</f>
        <v>Q1_12</v>
      </c>
      <c r="R2" s="343" t="str">
        <f>_xlfn.XLOOKUP(R1,MDS_1[Pregunta],MDS_1[ITEM_CODE],"XXXXXX")</f>
        <v>Q1_13</v>
      </c>
      <c r="S2" s="343" t="s">
        <v>788</v>
      </c>
    </row>
    <row r="3" spans="1:19" s="6" customFormat="1" x14ac:dyDescent="0.2">
      <c r="A3" s="112" t="s">
        <v>297</v>
      </c>
      <c r="B3" s="31" t="s">
        <v>145</v>
      </c>
      <c r="C3" s="413">
        <f>IF(B3="Patient",0,IF(B3="Caregiver",1,2))</f>
        <v>0</v>
      </c>
      <c r="D3" s="31">
        <v>0</v>
      </c>
      <c r="E3" s="31">
        <v>0</v>
      </c>
      <c r="F3" s="31">
        <v>1</v>
      </c>
      <c r="G3" s="31">
        <v>1</v>
      </c>
      <c r="H3" s="31">
        <v>0</v>
      </c>
      <c r="I3" s="31">
        <v>0</v>
      </c>
      <c r="J3" s="31" t="s">
        <v>145</v>
      </c>
      <c r="K3" s="413">
        <f>IF(J3="Patient",0,IF(J3="Caregiver",1,2))</f>
        <v>0</v>
      </c>
      <c r="L3" s="31">
        <v>1</v>
      </c>
      <c r="M3" s="31">
        <v>0</v>
      </c>
      <c r="N3" s="31">
        <v>1</v>
      </c>
      <c r="O3" s="31">
        <v>1</v>
      </c>
      <c r="P3" s="31">
        <v>1</v>
      </c>
      <c r="Q3" s="31">
        <v>3</v>
      </c>
      <c r="R3" s="31">
        <v>3</v>
      </c>
      <c r="S3" s="31">
        <f>SUM(D3+E3+F3+G3+H3+I3+L3+M3+N3+O3+P3+Q3+R3)</f>
        <v>12</v>
      </c>
    </row>
    <row r="4" spans="1:19" x14ac:dyDescent="0.2">
      <c r="A4" s="112" t="s">
        <v>298</v>
      </c>
      <c r="B4" s="31" t="s">
        <v>145</v>
      </c>
      <c r="C4" s="413">
        <f t="shared" ref="C4:C67" si="0">IF(B4="Patient",0,IF(B4="Caregiver",1,2))</f>
        <v>0</v>
      </c>
      <c r="D4" s="31">
        <v>1</v>
      </c>
      <c r="E4" s="31">
        <v>0</v>
      </c>
      <c r="F4" s="31">
        <v>0</v>
      </c>
      <c r="G4" s="31">
        <v>0</v>
      </c>
      <c r="H4" s="31">
        <v>0</v>
      </c>
      <c r="I4" s="31">
        <v>0</v>
      </c>
      <c r="J4" s="31" t="s">
        <v>145</v>
      </c>
      <c r="K4" s="413">
        <f t="shared" ref="K4:K67" si="1">IF(J4="Patient",0,IF(J4="Caregiver",1,2))</f>
        <v>0</v>
      </c>
      <c r="L4" s="31">
        <v>2</v>
      </c>
      <c r="M4" s="31">
        <v>1</v>
      </c>
      <c r="N4" s="31">
        <v>0</v>
      </c>
      <c r="O4" s="31">
        <v>1</v>
      </c>
      <c r="P4" s="31">
        <v>1</v>
      </c>
      <c r="Q4" s="31">
        <v>0</v>
      </c>
      <c r="R4" s="31">
        <v>1</v>
      </c>
      <c r="S4" s="31">
        <f t="shared" ref="S4:S21" si="2">SUM(D4+E4+F4+G4+H4+I4+L4+M4+N4+O4+P4+Q4+R4)</f>
        <v>7</v>
      </c>
    </row>
    <row r="5" spans="1:19" x14ac:dyDescent="0.2">
      <c r="A5" s="112" t="s">
        <v>299</v>
      </c>
      <c r="B5" s="31" t="s">
        <v>145</v>
      </c>
      <c r="C5" s="413">
        <f t="shared" si="0"/>
        <v>0</v>
      </c>
      <c r="D5" s="31">
        <v>0</v>
      </c>
      <c r="E5" s="31">
        <v>0</v>
      </c>
      <c r="F5" s="31">
        <v>2</v>
      </c>
      <c r="G5" s="31">
        <v>1</v>
      </c>
      <c r="H5" s="31">
        <v>0</v>
      </c>
      <c r="I5" s="31">
        <v>0</v>
      </c>
      <c r="J5" s="31" t="s">
        <v>145</v>
      </c>
      <c r="K5" s="413">
        <f t="shared" si="1"/>
        <v>0</v>
      </c>
      <c r="L5" s="31">
        <v>2</v>
      </c>
      <c r="M5" s="31">
        <v>2</v>
      </c>
      <c r="N5" s="31">
        <v>1</v>
      </c>
      <c r="O5" s="31">
        <v>2</v>
      </c>
      <c r="P5" s="31">
        <v>1</v>
      </c>
      <c r="Q5" s="31">
        <v>2</v>
      </c>
      <c r="R5" s="31">
        <v>2</v>
      </c>
      <c r="S5" s="31">
        <f t="shared" si="2"/>
        <v>15</v>
      </c>
    </row>
    <row r="6" spans="1:19" x14ac:dyDescent="0.2">
      <c r="A6" s="112" t="s">
        <v>300</v>
      </c>
      <c r="B6" s="31" t="s">
        <v>145</v>
      </c>
      <c r="C6" s="413">
        <f t="shared" si="0"/>
        <v>0</v>
      </c>
      <c r="D6" s="31">
        <v>2</v>
      </c>
      <c r="E6" s="31">
        <v>1</v>
      </c>
      <c r="F6" s="31">
        <v>2</v>
      </c>
      <c r="G6" s="31">
        <v>0</v>
      </c>
      <c r="H6" s="31">
        <v>1</v>
      </c>
      <c r="I6" s="31">
        <v>0</v>
      </c>
      <c r="J6" s="186" t="s">
        <v>721</v>
      </c>
      <c r="K6" s="413">
        <f t="shared" si="1"/>
        <v>2</v>
      </c>
      <c r="L6" s="31">
        <v>2</v>
      </c>
      <c r="M6" s="31">
        <v>1</v>
      </c>
      <c r="N6" s="31">
        <v>2</v>
      </c>
      <c r="O6" s="31">
        <v>4</v>
      </c>
      <c r="P6" s="31">
        <v>0</v>
      </c>
      <c r="Q6" s="31">
        <v>1</v>
      </c>
      <c r="R6" s="31">
        <v>2</v>
      </c>
      <c r="S6" s="31">
        <f t="shared" si="2"/>
        <v>18</v>
      </c>
    </row>
    <row r="7" spans="1:19" x14ac:dyDescent="0.2">
      <c r="A7" s="112" t="s">
        <v>301</v>
      </c>
      <c r="B7" s="31" t="s">
        <v>145</v>
      </c>
      <c r="C7" s="413">
        <f t="shared" si="0"/>
        <v>0</v>
      </c>
      <c r="D7" s="31">
        <v>1</v>
      </c>
      <c r="E7" s="31">
        <v>0</v>
      </c>
      <c r="F7" s="31">
        <v>0</v>
      </c>
      <c r="G7" s="31">
        <v>0</v>
      </c>
      <c r="H7" s="31">
        <v>0</v>
      </c>
      <c r="I7" s="31">
        <v>0</v>
      </c>
      <c r="J7" s="31" t="s">
        <v>145</v>
      </c>
      <c r="K7" s="413">
        <f t="shared" si="1"/>
        <v>0</v>
      </c>
      <c r="L7" s="31">
        <v>0</v>
      </c>
      <c r="M7" s="31">
        <v>1</v>
      </c>
      <c r="N7" s="31">
        <v>0</v>
      </c>
      <c r="O7" s="31">
        <v>1</v>
      </c>
      <c r="P7" s="31">
        <v>1</v>
      </c>
      <c r="Q7" s="31">
        <v>0</v>
      </c>
      <c r="R7" s="31">
        <v>0</v>
      </c>
      <c r="S7" s="31">
        <f t="shared" si="2"/>
        <v>4</v>
      </c>
    </row>
    <row r="8" spans="1:19" x14ac:dyDescent="0.2">
      <c r="A8" s="112" t="s">
        <v>302</v>
      </c>
      <c r="B8" s="31" t="s">
        <v>145</v>
      </c>
      <c r="C8" s="413">
        <f t="shared" si="0"/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 t="s">
        <v>145</v>
      </c>
      <c r="K8" s="413">
        <f t="shared" si="1"/>
        <v>0</v>
      </c>
      <c r="L8" s="31">
        <v>3</v>
      </c>
      <c r="M8" s="31">
        <v>3</v>
      </c>
      <c r="N8" s="31">
        <v>1</v>
      </c>
      <c r="O8" s="31">
        <v>1</v>
      </c>
      <c r="P8" s="31">
        <v>1</v>
      </c>
      <c r="Q8" s="31">
        <v>0</v>
      </c>
      <c r="R8" s="31">
        <v>1</v>
      </c>
      <c r="S8" s="31">
        <f t="shared" si="2"/>
        <v>10</v>
      </c>
    </row>
    <row r="9" spans="1:19" x14ac:dyDescent="0.2">
      <c r="A9" s="112" t="s">
        <v>303</v>
      </c>
      <c r="B9" s="31" t="s">
        <v>145</v>
      </c>
      <c r="C9" s="413">
        <f t="shared" si="0"/>
        <v>0</v>
      </c>
      <c r="D9" s="31">
        <v>1</v>
      </c>
      <c r="E9" s="31">
        <v>0</v>
      </c>
      <c r="F9" s="31">
        <v>0</v>
      </c>
      <c r="G9" s="31">
        <v>1</v>
      </c>
      <c r="H9" s="31">
        <v>0</v>
      </c>
      <c r="I9" s="31">
        <v>0</v>
      </c>
      <c r="J9" s="31" t="s">
        <v>145</v>
      </c>
      <c r="K9" s="413">
        <f t="shared" si="1"/>
        <v>0</v>
      </c>
      <c r="L9" s="31">
        <v>2</v>
      </c>
      <c r="M9" s="31">
        <v>2</v>
      </c>
      <c r="N9" s="31">
        <v>3</v>
      </c>
      <c r="O9" s="31">
        <v>3</v>
      </c>
      <c r="P9" s="31">
        <v>3</v>
      </c>
      <c r="Q9" s="31">
        <v>2</v>
      </c>
      <c r="R9" s="31">
        <v>2</v>
      </c>
      <c r="S9" s="31">
        <f t="shared" si="2"/>
        <v>19</v>
      </c>
    </row>
    <row r="10" spans="1:19" x14ac:dyDescent="0.2">
      <c r="A10" s="112" t="s">
        <v>304</v>
      </c>
      <c r="B10" s="31" t="s">
        <v>145</v>
      </c>
      <c r="C10" s="413">
        <f t="shared" si="0"/>
        <v>0</v>
      </c>
      <c r="D10" s="31">
        <v>1</v>
      </c>
      <c r="E10" s="31">
        <v>2</v>
      </c>
      <c r="F10" s="31">
        <v>1</v>
      </c>
      <c r="G10" s="31">
        <v>2</v>
      </c>
      <c r="H10" s="31">
        <v>2</v>
      </c>
      <c r="I10" s="31">
        <v>1</v>
      </c>
      <c r="J10" s="186" t="s">
        <v>721</v>
      </c>
      <c r="K10" s="413">
        <f t="shared" si="1"/>
        <v>2</v>
      </c>
      <c r="L10" s="31">
        <v>1</v>
      </c>
      <c r="M10" s="31">
        <v>2</v>
      </c>
      <c r="N10" s="31">
        <v>1</v>
      </c>
      <c r="O10" s="31">
        <v>3</v>
      </c>
      <c r="P10" s="31">
        <v>2</v>
      </c>
      <c r="Q10" s="31">
        <v>0</v>
      </c>
      <c r="R10" s="31">
        <v>3</v>
      </c>
      <c r="S10" s="31">
        <f t="shared" si="2"/>
        <v>21</v>
      </c>
    </row>
    <row r="11" spans="1:19" x14ac:dyDescent="0.2">
      <c r="A11" s="112" t="s">
        <v>305</v>
      </c>
      <c r="B11" s="31" t="s">
        <v>145</v>
      </c>
      <c r="C11" s="413">
        <f t="shared" si="0"/>
        <v>0</v>
      </c>
      <c r="D11" s="31">
        <v>2</v>
      </c>
      <c r="E11" s="31">
        <v>0</v>
      </c>
      <c r="F11" s="31">
        <v>1</v>
      </c>
      <c r="G11" s="31">
        <v>1</v>
      </c>
      <c r="H11" s="31">
        <v>1</v>
      </c>
      <c r="I11" s="31">
        <v>1</v>
      </c>
      <c r="J11" s="31" t="s">
        <v>496</v>
      </c>
      <c r="K11" s="413">
        <f t="shared" si="1"/>
        <v>1</v>
      </c>
      <c r="L11" s="31">
        <v>1</v>
      </c>
      <c r="M11" s="31">
        <v>1</v>
      </c>
      <c r="N11" s="31">
        <v>2</v>
      </c>
      <c r="O11" s="31">
        <v>2</v>
      </c>
      <c r="P11" s="31">
        <v>3</v>
      </c>
      <c r="Q11" s="31">
        <v>1</v>
      </c>
      <c r="R11" s="31">
        <v>2</v>
      </c>
      <c r="S11" s="31">
        <f t="shared" si="2"/>
        <v>18</v>
      </c>
    </row>
    <row r="12" spans="1:19" x14ac:dyDescent="0.2">
      <c r="A12" s="112" t="s">
        <v>306</v>
      </c>
      <c r="B12" s="31" t="s">
        <v>145</v>
      </c>
      <c r="C12" s="413">
        <f t="shared" si="0"/>
        <v>0</v>
      </c>
      <c r="D12" s="31">
        <v>0</v>
      </c>
      <c r="E12" s="31">
        <v>0</v>
      </c>
      <c r="F12" s="31">
        <v>1</v>
      </c>
      <c r="G12" s="31">
        <v>0</v>
      </c>
      <c r="H12" s="31">
        <v>1</v>
      </c>
      <c r="I12" s="31">
        <v>0</v>
      </c>
      <c r="J12" s="31" t="s">
        <v>497</v>
      </c>
      <c r="K12" s="413">
        <f t="shared" si="1"/>
        <v>0</v>
      </c>
      <c r="L12" s="31">
        <v>2</v>
      </c>
      <c r="M12" s="31">
        <v>0</v>
      </c>
      <c r="N12" s="31">
        <v>1</v>
      </c>
      <c r="O12" s="31">
        <v>1</v>
      </c>
      <c r="P12" s="31">
        <v>1</v>
      </c>
      <c r="Q12" s="31">
        <v>1</v>
      </c>
      <c r="R12" s="31">
        <v>1</v>
      </c>
      <c r="S12" s="31">
        <f t="shared" si="2"/>
        <v>9</v>
      </c>
    </row>
    <row r="13" spans="1:19" x14ac:dyDescent="0.2">
      <c r="A13" s="112" t="s">
        <v>307</v>
      </c>
      <c r="B13" s="31" t="s">
        <v>145</v>
      </c>
      <c r="C13" s="413">
        <f t="shared" si="0"/>
        <v>0</v>
      </c>
      <c r="D13" s="31">
        <v>1</v>
      </c>
      <c r="E13" s="31">
        <v>0</v>
      </c>
      <c r="F13" s="31">
        <v>2</v>
      </c>
      <c r="G13" s="31">
        <v>2</v>
      </c>
      <c r="H13" s="31">
        <v>0</v>
      </c>
      <c r="I13" s="31">
        <v>0</v>
      </c>
      <c r="J13" s="31" t="s">
        <v>497</v>
      </c>
      <c r="K13" s="413">
        <f t="shared" si="1"/>
        <v>0</v>
      </c>
      <c r="L13" s="31">
        <v>1</v>
      </c>
      <c r="M13" s="31">
        <v>1</v>
      </c>
      <c r="N13" s="31">
        <v>1</v>
      </c>
      <c r="O13" s="31">
        <v>0</v>
      </c>
      <c r="P13" s="31">
        <v>3</v>
      </c>
      <c r="Q13" s="31">
        <v>0</v>
      </c>
      <c r="R13" s="31">
        <v>3</v>
      </c>
      <c r="S13" s="31">
        <f t="shared" si="2"/>
        <v>14</v>
      </c>
    </row>
    <row r="14" spans="1:19" x14ac:dyDescent="0.2">
      <c r="A14" s="112" t="s">
        <v>308</v>
      </c>
      <c r="B14" s="31" t="s">
        <v>145</v>
      </c>
      <c r="C14" s="413">
        <f t="shared" si="0"/>
        <v>0</v>
      </c>
      <c r="D14" s="31">
        <v>1</v>
      </c>
      <c r="E14" s="31">
        <v>0</v>
      </c>
      <c r="F14" s="31">
        <v>1</v>
      </c>
      <c r="G14" s="31">
        <v>0</v>
      </c>
      <c r="H14" s="31">
        <v>1</v>
      </c>
      <c r="I14" s="31">
        <v>0</v>
      </c>
      <c r="J14" s="186" t="s">
        <v>721</v>
      </c>
      <c r="K14" s="413">
        <f t="shared" si="1"/>
        <v>2</v>
      </c>
      <c r="L14" s="31">
        <v>1</v>
      </c>
      <c r="M14" s="31">
        <v>0</v>
      </c>
      <c r="N14" s="31">
        <v>0</v>
      </c>
      <c r="O14" s="31">
        <v>0</v>
      </c>
      <c r="P14" s="31">
        <v>0</v>
      </c>
      <c r="Q14" s="31">
        <v>1</v>
      </c>
      <c r="R14" s="31">
        <v>1</v>
      </c>
      <c r="S14" s="31">
        <f t="shared" si="2"/>
        <v>6</v>
      </c>
    </row>
    <row r="15" spans="1:19" x14ac:dyDescent="0.2">
      <c r="A15" s="112" t="s">
        <v>309</v>
      </c>
      <c r="B15" s="31" t="s">
        <v>145</v>
      </c>
      <c r="C15" s="413">
        <f t="shared" si="0"/>
        <v>0</v>
      </c>
      <c r="D15" s="31">
        <v>3</v>
      </c>
      <c r="E15" s="31">
        <v>0</v>
      </c>
      <c r="F15" s="31">
        <v>1</v>
      </c>
      <c r="G15" s="31">
        <v>1</v>
      </c>
      <c r="H15" s="31">
        <v>1</v>
      </c>
      <c r="I15" s="31">
        <v>0</v>
      </c>
      <c r="J15" s="31" t="s">
        <v>496</v>
      </c>
      <c r="K15" s="413">
        <f t="shared" si="1"/>
        <v>1</v>
      </c>
      <c r="L15" s="31">
        <v>2</v>
      </c>
      <c r="M15" s="31">
        <v>2</v>
      </c>
      <c r="N15" s="31">
        <v>1</v>
      </c>
      <c r="O15" s="31">
        <v>3</v>
      </c>
      <c r="P15" s="31">
        <v>1</v>
      </c>
      <c r="Q15" s="31">
        <v>2</v>
      </c>
      <c r="R15" s="31">
        <v>3</v>
      </c>
      <c r="S15" s="31">
        <f t="shared" si="2"/>
        <v>20</v>
      </c>
    </row>
    <row r="16" spans="1:19" x14ac:dyDescent="0.2">
      <c r="A16" s="112" t="s">
        <v>310</v>
      </c>
      <c r="B16" s="31" t="s">
        <v>145</v>
      </c>
      <c r="C16" s="413">
        <f t="shared" si="0"/>
        <v>0</v>
      </c>
      <c r="D16" s="349"/>
      <c r="E16" s="349"/>
      <c r="F16" s="349"/>
      <c r="G16" s="349"/>
      <c r="H16" s="349"/>
      <c r="I16" s="349"/>
      <c r="J16" s="186" t="s">
        <v>721</v>
      </c>
      <c r="K16" s="413">
        <f t="shared" si="1"/>
        <v>2</v>
      </c>
      <c r="L16" s="31">
        <v>1</v>
      </c>
      <c r="M16" s="31">
        <v>1</v>
      </c>
      <c r="N16" s="31">
        <v>0</v>
      </c>
      <c r="O16" s="31">
        <v>0</v>
      </c>
      <c r="P16" s="31">
        <v>1</v>
      </c>
      <c r="Q16" s="31">
        <v>1</v>
      </c>
      <c r="R16" s="31">
        <v>1</v>
      </c>
      <c r="S16" s="349"/>
    </row>
    <row r="17" spans="1:19" x14ac:dyDescent="0.2">
      <c r="A17" s="112" t="s">
        <v>311</v>
      </c>
      <c r="B17" s="31" t="s">
        <v>145</v>
      </c>
      <c r="C17" s="413">
        <f t="shared" si="0"/>
        <v>0</v>
      </c>
      <c r="D17" s="31">
        <v>1</v>
      </c>
      <c r="E17" s="31">
        <v>0</v>
      </c>
      <c r="F17" s="31">
        <v>3</v>
      </c>
      <c r="G17" s="31">
        <v>2</v>
      </c>
      <c r="H17" s="31">
        <v>2</v>
      </c>
      <c r="I17" s="31">
        <v>0</v>
      </c>
      <c r="J17" s="186" t="s">
        <v>721</v>
      </c>
      <c r="K17" s="413">
        <f t="shared" si="1"/>
        <v>2</v>
      </c>
      <c r="L17" s="31">
        <v>0</v>
      </c>
      <c r="M17" s="31">
        <v>2</v>
      </c>
      <c r="N17" s="31">
        <v>3</v>
      </c>
      <c r="O17" s="31">
        <v>0</v>
      </c>
      <c r="P17" s="31">
        <v>1</v>
      </c>
      <c r="Q17" s="31">
        <v>0</v>
      </c>
      <c r="R17" s="31">
        <v>1</v>
      </c>
      <c r="S17" s="31">
        <f t="shared" si="2"/>
        <v>15</v>
      </c>
    </row>
    <row r="18" spans="1:19" x14ac:dyDescent="0.2">
      <c r="A18" s="112" t="s">
        <v>312</v>
      </c>
      <c r="B18" s="31" t="s">
        <v>145</v>
      </c>
      <c r="C18" s="413">
        <f t="shared" si="0"/>
        <v>0</v>
      </c>
      <c r="D18" s="31">
        <v>0</v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 t="s">
        <v>145</v>
      </c>
      <c r="K18" s="413">
        <f t="shared" si="1"/>
        <v>0</v>
      </c>
      <c r="L18" s="31">
        <v>1</v>
      </c>
      <c r="M18" s="31">
        <v>2</v>
      </c>
      <c r="N18" s="31">
        <v>3</v>
      </c>
      <c r="O18" s="31">
        <v>0</v>
      </c>
      <c r="P18" s="31">
        <v>0</v>
      </c>
      <c r="Q18" s="31">
        <v>0</v>
      </c>
      <c r="R18" s="31">
        <v>1</v>
      </c>
      <c r="S18" s="31">
        <f t="shared" si="2"/>
        <v>7</v>
      </c>
    </row>
    <row r="19" spans="1:19" x14ac:dyDescent="0.2">
      <c r="A19" s="112" t="s">
        <v>313</v>
      </c>
      <c r="B19" s="31" t="s">
        <v>145</v>
      </c>
      <c r="C19" s="413">
        <f t="shared" si="0"/>
        <v>0</v>
      </c>
      <c r="D19" s="31">
        <v>1</v>
      </c>
      <c r="E19" s="31">
        <v>0</v>
      </c>
      <c r="F19" s="31">
        <v>1</v>
      </c>
      <c r="G19" s="31">
        <v>0</v>
      </c>
      <c r="H19" s="31">
        <v>0</v>
      </c>
      <c r="I19" s="31">
        <v>0</v>
      </c>
      <c r="J19" s="186" t="s">
        <v>721</v>
      </c>
      <c r="K19" s="413">
        <f t="shared" si="1"/>
        <v>2</v>
      </c>
      <c r="L19" s="31">
        <v>2</v>
      </c>
      <c r="M19" s="31">
        <v>2</v>
      </c>
      <c r="N19" s="31">
        <v>1</v>
      </c>
      <c r="O19" s="31">
        <v>4</v>
      </c>
      <c r="P19" s="31">
        <v>3</v>
      </c>
      <c r="Q19" s="31">
        <v>4</v>
      </c>
      <c r="R19" s="31">
        <v>0</v>
      </c>
      <c r="S19" s="31">
        <f t="shared" si="2"/>
        <v>18</v>
      </c>
    </row>
    <row r="20" spans="1:19" x14ac:dyDescent="0.2">
      <c r="A20" s="112" t="s">
        <v>314</v>
      </c>
      <c r="B20" s="31" t="s">
        <v>145</v>
      </c>
      <c r="C20" s="413">
        <f t="shared" si="0"/>
        <v>0</v>
      </c>
      <c r="D20" s="31">
        <v>0</v>
      </c>
      <c r="E20" s="31">
        <v>0</v>
      </c>
      <c r="F20" s="31">
        <v>2</v>
      </c>
      <c r="G20" s="31">
        <v>2</v>
      </c>
      <c r="H20" s="31">
        <v>1</v>
      </c>
      <c r="I20" s="31">
        <v>0</v>
      </c>
      <c r="J20" s="31" t="s">
        <v>145</v>
      </c>
      <c r="K20" s="413">
        <f t="shared" si="1"/>
        <v>0</v>
      </c>
      <c r="L20" s="31">
        <v>3</v>
      </c>
      <c r="M20" s="31">
        <v>2</v>
      </c>
      <c r="N20" s="31">
        <v>3</v>
      </c>
      <c r="O20" s="31">
        <v>3</v>
      </c>
      <c r="P20" s="31">
        <v>0</v>
      </c>
      <c r="Q20" s="31">
        <v>1</v>
      </c>
      <c r="R20" s="31">
        <v>2</v>
      </c>
      <c r="S20" s="31">
        <f t="shared" si="2"/>
        <v>19</v>
      </c>
    </row>
    <row r="21" spans="1:19" x14ac:dyDescent="0.2">
      <c r="A21" s="112" t="s">
        <v>315</v>
      </c>
      <c r="B21" s="31" t="s">
        <v>145</v>
      </c>
      <c r="C21" s="413">
        <f t="shared" si="0"/>
        <v>0</v>
      </c>
      <c r="D21" s="31">
        <v>0</v>
      </c>
      <c r="E21" s="31">
        <v>0</v>
      </c>
      <c r="F21" s="31">
        <v>2</v>
      </c>
      <c r="G21" s="31">
        <v>2</v>
      </c>
      <c r="H21" s="31">
        <v>1</v>
      </c>
      <c r="I21" s="31">
        <v>0</v>
      </c>
      <c r="J21" s="31" t="s">
        <v>145</v>
      </c>
      <c r="K21" s="413">
        <f t="shared" si="1"/>
        <v>0</v>
      </c>
      <c r="L21" s="31">
        <v>0</v>
      </c>
      <c r="M21" s="31">
        <v>0</v>
      </c>
      <c r="N21" s="31">
        <v>1</v>
      </c>
      <c r="O21" s="31">
        <v>2</v>
      </c>
      <c r="P21" s="31">
        <v>1</v>
      </c>
      <c r="Q21" s="31">
        <v>0</v>
      </c>
      <c r="R21" s="31">
        <v>2</v>
      </c>
      <c r="S21" s="31">
        <f t="shared" si="2"/>
        <v>11</v>
      </c>
    </row>
    <row r="22" spans="1:19" x14ac:dyDescent="0.2">
      <c r="A22" s="112" t="s">
        <v>316</v>
      </c>
      <c r="B22" s="31" t="s">
        <v>145</v>
      </c>
      <c r="C22" s="413">
        <f t="shared" si="0"/>
        <v>0</v>
      </c>
      <c r="D22" s="349"/>
      <c r="E22" s="349"/>
      <c r="F22" s="349"/>
      <c r="G22" s="349"/>
      <c r="H22" s="349"/>
      <c r="I22" s="349"/>
      <c r="J22" s="31" t="s">
        <v>496</v>
      </c>
      <c r="K22" s="413">
        <f t="shared" si="1"/>
        <v>1</v>
      </c>
      <c r="L22" s="31">
        <v>2</v>
      </c>
      <c r="M22" s="31">
        <v>2</v>
      </c>
      <c r="N22" s="31">
        <v>0</v>
      </c>
      <c r="O22" s="31">
        <v>3</v>
      </c>
      <c r="P22" s="31">
        <v>2</v>
      </c>
      <c r="Q22" s="31">
        <v>0</v>
      </c>
      <c r="R22" s="31">
        <v>2</v>
      </c>
      <c r="S22" s="349"/>
    </row>
    <row r="23" spans="1:19" x14ac:dyDescent="0.2">
      <c r="A23" s="112" t="s">
        <v>317</v>
      </c>
      <c r="B23" s="31" t="s">
        <v>145</v>
      </c>
      <c r="C23" s="413">
        <f t="shared" si="0"/>
        <v>0</v>
      </c>
      <c r="D23" s="31">
        <v>0</v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 t="s">
        <v>145</v>
      </c>
      <c r="K23" s="413">
        <f t="shared" si="1"/>
        <v>0</v>
      </c>
      <c r="L23" s="31">
        <v>0</v>
      </c>
      <c r="M23" s="31">
        <v>1</v>
      </c>
      <c r="N23" s="31">
        <v>1</v>
      </c>
      <c r="O23" s="31">
        <v>1</v>
      </c>
      <c r="P23" s="31">
        <v>0</v>
      </c>
      <c r="Q23" s="31">
        <v>0</v>
      </c>
      <c r="R23" s="31">
        <v>0</v>
      </c>
      <c r="S23" s="31">
        <f>SUM(D23+E23+F23+G23+H23+I23+L23+M23+N23+O23+P23+Q23+R23)</f>
        <v>3</v>
      </c>
    </row>
    <row r="24" spans="1:19" x14ac:dyDescent="0.2">
      <c r="A24" s="112" t="s">
        <v>318</v>
      </c>
      <c r="B24" s="31" t="s">
        <v>145</v>
      </c>
      <c r="C24" s="413">
        <f t="shared" si="0"/>
        <v>0</v>
      </c>
      <c r="D24" s="31">
        <v>1</v>
      </c>
      <c r="E24" s="31">
        <v>0</v>
      </c>
      <c r="F24" s="31">
        <v>0</v>
      </c>
      <c r="G24" s="31">
        <v>0</v>
      </c>
      <c r="H24" s="31">
        <v>0</v>
      </c>
      <c r="I24" s="31">
        <v>0</v>
      </c>
      <c r="J24" s="31" t="s">
        <v>145</v>
      </c>
      <c r="K24" s="413">
        <f t="shared" si="1"/>
        <v>0</v>
      </c>
      <c r="L24" s="31">
        <v>2</v>
      </c>
      <c r="M24" s="31">
        <v>0</v>
      </c>
      <c r="N24" s="31">
        <v>0</v>
      </c>
      <c r="O24" s="31">
        <v>0</v>
      </c>
      <c r="P24" s="31">
        <v>1</v>
      </c>
      <c r="Q24" s="31">
        <v>0</v>
      </c>
      <c r="R24" s="31">
        <v>1</v>
      </c>
      <c r="S24" s="31">
        <f>SUM(D24+E24+F24+G24+H24+I24+L24+M24+N24+O24+P24+Q24+R24)</f>
        <v>5</v>
      </c>
    </row>
    <row r="25" spans="1:19" x14ac:dyDescent="0.2">
      <c r="A25" s="112" t="s">
        <v>319</v>
      </c>
      <c r="B25" s="31" t="s">
        <v>145</v>
      </c>
      <c r="C25" s="413">
        <f t="shared" si="0"/>
        <v>0</v>
      </c>
      <c r="D25" s="31">
        <v>1</v>
      </c>
      <c r="E25" s="31">
        <v>1</v>
      </c>
      <c r="F25" s="31">
        <v>1</v>
      </c>
      <c r="G25" s="31">
        <v>1</v>
      </c>
      <c r="H25" s="31">
        <v>0</v>
      </c>
      <c r="I25" s="31">
        <v>0</v>
      </c>
      <c r="J25" s="31" t="s">
        <v>145</v>
      </c>
      <c r="K25" s="413">
        <f t="shared" si="1"/>
        <v>0</v>
      </c>
      <c r="L25" s="31">
        <v>1</v>
      </c>
      <c r="M25" s="31">
        <v>0</v>
      </c>
      <c r="N25" s="31">
        <v>2</v>
      </c>
      <c r="O25" s="31">
        <v>0</v>
      </c>
      <c r="P25" s="31">
        <v>0</v>
      </c>
      <c r="Q25" s="31">
        <v>1</v>
      </c>
      <c r="R25" s="31">
        <v>0</v>
      </c>
      <c r="S25" s="31">
        <f>SUM(D25+E25+F25+G25+H25+I25+L25+M25+N25+O25+P25+Q25+R25)</f>
        <v>8</v>
      </c>
    </row>
    <row r="26" spans="1:19" x14ac:dyDescent="0.2">
      <c r="A26" s="112" t="s">
        <v>489</v>
      </c>
      <c r="B26" s="31" t="s">
        <v>145</v>
      </c>
      <c r="C26" s="413">
        <f t="shared" si="0"/>
        <v>0</v>
      </c>
      <c r="D26" s="31">
        <v>1</v>
      </c>
      <c r="E26" s="31">
        <v>1</v>
      </c>
      <c r="F26" s="31">
        <v>1</v>
      </c>
      <c r="G26" s="31">
        <v>2</v>
      </c>
      <c r="H26" s="31">
        <v>0</v>
      </c>
      <c r="I26" s="31">
        <v>2</v>
      </c>
      <c r="J26" s="31" t="s">
        <v>145</v>
      </c>
      <c r="K26" s="413">
        <f t="shared" si="1"/>
        <v>0</v>
      </c>
      <c r="L26" s="31">
        <v>1</v>
      </c>
      <c r="M26" s="31">
        <v>1</v>
      </c>
      <c r="N26" s="31">
        <v>2</v>
      </c>
      <c r="O26" s="31">
        <v>2</v>
      </c>
      <c r="P26" s="31">
        <v>2</v>
      </c>
      <c r="Q26" s="31">
        <v>1</v>
      </c>
      <c r="R26" s="31">
        <v>1</v>
      </c>
      <c r="S26" s="31">
        <f>SUM(D26+E26+F26+G26+H26+I26+L26+M26+N26+O26+P26+Q26+R26)</f>
        <v>17</v>
      </c>
    </row>
    <row r="27" spans="1:19" x14ac:dyDescent="0.2">
      <c r="A27" s="112" t="s">
        <v>320</v>
      </c>
      <c r="B27" s="31" t="s">
        <v>145</v>
      </c>
      <c r="C27" s="413">
        <f t="shared" si="0"/>
        <v>0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  <c r="I27" s="26">
        <v>0</v>
      </c>
      <c r="J27" s="26" t="s">
        <v>145</v>
      </c>
      <c r="K27" s="413">
        <f t="shared" si="1"/>
        <v>0</v>
      </c>
      <c r="L27" s="26">
        <v>0</v>
      </c>
      <c r="M27" s="26">
        <v>3</v>
      </c>
      <c r="N27" s="26">
        <v>2</v>
      </c>
      <c r="O27" s="26">
        <v>4</v>
      </c>
      <c r="P27" s="26">
        <v>0</v>
      </c>
      <c r="Q27" s="26">
        <v>2</v>
      </c>
      <c r="R27" s="26">
        <v>2</v>
      </c>
      <c r="S27" s="31">
        <f t="shared" ref="S27:S28" si="3">SUM(D27+E27+F27+G27+H27+I27+L27+M27+N27+O27+P27+Q27+R27)</f>
        <v>13</v>
      </c>
    </row>
    <row r="28" spans="1:19" x14ac:dyDescent="0.2">
      <c r="A28" s="112" t="s">
        <v>321</v>
      </c>
      <c r="B28" s="31" t="s">
        <v>145</v>
      </c>
      <c r="C28" s="413">
        <f t="shared" si="0"/>
        <v>0</v>
      </c>
      <c r="D28" s="31">
        <v>2</v>
      </c>
      <c r="E28" s="31">
        <v>0</v>
      </c>
      <c r="F28" s="31">
        <v>0</v>
      </c>
      <c r="G28" s="31">
        <v>0</v>
      </c>
      <c r="H28" s="31">
        <v>0</v>
      </c>
      <c r="I28" s="31">
        <v>2</v>
      </c>
      <c r="J28" s="31" t="s">
        <v>145</v>
      </c>
      <c r="K28" s="413">
        <f t="shared" si="1"/>
        <v>0</v>
      </c>
      <c r="L28" s="31">
        <v>1</v>
      </c>
      <c r="M28" s="31">
        <v>0</v>
      </c>
      <c r="N28" s="31">
        <v>2</v>
      </c>
      <c r="O28" s="31">
        <v>1</v>
      </c>
      <c r="P28" s="31">
        <v>1</v>
      </c>
      <c r="Q28" s="31">
        <v>1</v>
      </c>
      <c r="R28" s="31">
        <v>1</v>
      </c>
      <c r="S28" s="31">
        <f t="shared" si="3"/>
        <v>11</v>
      </c>
    </row>
    <row r="29" spans="1:19" x14ac:dyDescent="0.2">
      <c r="A29" s="112" t="s">
        <v>322</v>
      </c>
      <c r="B29" s="31" t="s">
        <v>145</v>
      </c>
      <c r="C29" s="413">
        <f t="shared" si="0"/>
        <v>0</v>
      </c>
      <c r="D29" s="31">
        <v>2</v>
      </c>
      <c r="E29" s="31">
        <v>0</v>
      </c>
      <c r="F29" s="31">
        <v>0</v>
      </c>
      <c r="G29" s="31">
        <v>0</v>
      </c>
      <c r="H29" s="31">
        <v>0</v>
      </c>
      <c r="I29" s="31">
        <v>1</v>
      </c>
      <c r="J29" s="31" t="s">
        <v>145</v>
      </c>
      <c r="K29" s="413">
        <f t="shared" si="1"/>
        <v>0</v>
      </c>
      <c r="L29" s="31">
        <v>0</v>
      </c>
      <c r="M29" s="31">
        <v>1</v>
      </c>
      <c r="N29" s="31">
        <v>0</v>
      </c>
      <c r="O29" s="31">
        <v>3</v>
      </c>
      <c r="P29" s="31">
        <v>3</v>
      </c>
      <c r="Q29" s="31">
        <v>2</v>
      </c>
      <c r="R29" s="31">
        <v>1</v>
      </c>
      <c r="S29" s="31">
        <f>SUM(D29+E29+F29+G29+H29+I29+L29+M29+N29+O29+P29+Q29+R29)</f>
        <v>13</v>
      </c>
    </row>
    <row r="30" spans="1:19" x14ac:dyDescent="0.2">
      <c r="A30" s="112" t="s">
        <v>323</v>
      </c>
      <c r="B30" s="26" t="s">
        <v>145</v>
      </c>
      <c r="C30" s="413">
        <f t="shared" si="0"/>
        <v>0</v>
      </c>
      <c r="D30" s="27">
        <v>3</v>
      </c>
      <c r="E30" s="26">
        <v>0</v>
      </c>
      <c r="F30" s="26">
        <v>1</v>
      </c>
      <c r="G30" s="26">
        <v>3</v>
      </c>
      <c r="H30" s="26">
        <v>1</v>
      </c>
      <c r="I30" s="26">
        <v>0</v>
      </c>
      <c r="J30" s="186" t="s">
        <v>721</v>
      </c>
      <c r="K30" s="413">
        <f t="shared" si="1"/>
        <v>2</v>
      </c>
      <c r="L30" s="26">
        <v>0</v>
      </c>
      <c r="M30" s="26">
        <v>2</v>
      </c>
      <c r="N30" s="26">
        <v>3</v>
      </c>
      <c r="O30" s="26">
        <v>2</v>
      </c>
      <c r="P30" s="26">
        <v>2</v>
      </c>
      <c r="Q30" s="26">
        <v>0</v>
      </c>
      <c r="R30" s="26">
        <v>1</v>
      </c>
      <c r="S30" s="26">
        <f>SUM(D30+E30+F30+G30+H30+I30+L30+M30+N30+O30+P30+Q30+R30)</f>
        <v>18</v>
      </c>
    </row>
    <row r="31" spans="1:19" x14ac:dyDescent="0.2">
      <c r="A31" s="112" t="s">
        <v>324</v>
      </c>
      <c r="B31" s="26" t="s">
        <v>145</v>
      </c>
      <c r="C31" s="413">
        <f t="shared" si="0"/>
        <v>0</v>
      </c>
      <c r="D31" s="182">
        <v>0</v>
      </c>
      <c r="E31" s="122">
        <v>0</v>
      </c>
      <c r="F31" s="122">
        <v>0</v>
      </c>
      <c r="G31" s="122">
        <v>0</v>
      </c>
      <c r="H31" s="122">
        <v>0</v>
      </c>
      <c r="I31" s="122">
        <v>0</v>
      </c>
      <c r="J31" s="122" t="s">
        <v>145</v>
      </c>
      <c r="K31" s="413">
        <f t="shared" si="1"/>
        <v>0</v>
      </c>
      <c r="L31" s="122">
        <v>0</v>
      </c>
      <c r="M31" s="122">
        <v>2</v>
      </c>
      <c r="N31" s="122">
        <v>1</v>
      </c>
      <c r="O31" s="122">
        <v>1</v>
      </c>
      <c r="P31" s="122">
        <v>0</v>
      </c>
      <c r="Q31" s="122">
        <v>1</v>
      </c>
      <c r="R31" s="122">
        <v>0</v>
      </c>
      <c r="S31" s="122">
        <f>SUM(D31+E31+F31+G31+H31+I31+L31+M31+N31+O31+P31+Q31+R31)</f>
        <v>5</v>
      </c>
    </row>
    <row r="32" spans="1:19" x14ac:dyDescent="0.2">
      <c r="A32" s="112" t="s">
        <v>325</v>
      </c>
      <c r="B32" s="183" t="s">
        <v>145</v>
      </c>
      <c r="C32" s="413">
        <f t="shared" si="0"/>
        <v>0</v>
      </c>
      <c r="D32" s="27">
        <v>1</v>
      </c>
      <c r="E32" s="26">
        <v>0</v>
      </c>
      <c r="F32" s="26">
        <v>3</v>
      </c>
      <c r="G32" s="26">
        <v>3</v>
      </c>
      <c r="H32" s="26">
        <v>2</v>
      </c>
      <c r="I32" s="26">
        <v>0</v>
      </c>
      <c r="J32" s="26" t="s">
        <v>145</v>
      </c>
      <c r="K32" s="413">
        <f t="shared" si="1"/>
        <v>0</v>
      </c>
      <c r="L32" s="26">
        <v>3</v>
      </c>
      <c r="M32" s="26">
        <v>1</v>
      </c>
      <c r="N32" s="26">
        <v>0</v>
      </c>
      <c r="O32" s="26">
        <v>2</v>
      </c>
      <c r="P32" s="26">
        <v>2</v>
      </c>
      <c r="Q32" s="26">
        <v>2</v>
      </c>
      <c r="R32" s="26">
        <v>3</v>
      </c>
      <c r="S32" s="26">
        <f>SUM(D32+E32+F32+G32+H32+I32+L32+M32+N32+O32+P32+Q32+R32)</f>
        <v>22</v>
      </c>
    </row>
    <row r="33" spans="1:19" x14ac:dyDescent="0.2">
      <c r="A33" s="113" t="s">
        <v>326</v>
      </c>
      <c r="B33" s="186" t="s">
        <v>721</v>
      </c>
      <c r="C33" s="413">
        <f t="shared" si="0"/>
        <v>2</v>
      </c>
      <c r="D33" s="187">
        <v>1</v>
      </c>
      <c r="E33" s="187">
        <v>0</v>
      </c>
      <c r="F33" s="187">
        <v>1</v>
      </c>
      <c r="G33" s="187">
        <v>2</v>
      </c>
      <c r="H33" s="187">
        <v>4</v>
      </c>
      <c r="I33" s="187">
        <v>1</v>
      </c>
      <c r="J33" s="186" t="s">
        <v>721</v>
      </c>
      <c r="K33" s="413">
        <f t="shared" si="1"/>
        <v>2</v>
      </c>
      <c r="L33" s="187">
        <v>4</v>
      </c>
      <c r="M33" s="187">
        <v>2</v>
      </c>
      <c r="N33" s="187">
        <v>1</v>
      </c>
      <c r="O33" s="187">
        <v>4</v>
      </c>
      <c r="P33" s="187">
        <v>6</v>
      </c>
      <c r="Q33" s="187">
        <v>0</v>
      </c>
      <c r="R33" s="187">
        <v>0</v>
      </c>
      <c r="S33" s="26">
        <f t="shared" ref="S33:S46" si="4">SUM(D33+E33+F33+G33+H33+I33+L33+M33+N33+O33+P33+Q33+R33)</f>
        <v>26</v>
      </c>
    </row>
    <row r="34" spans="1:19" x14ac:dyDescent="0.2">
      <c r="A34" s="112" t="s">
        <v>327</v>
      </c>
      <c r="B34" s="188" t="s">
        <v>145</v>
      </c>
      <c r="C34" s="413">
        <f t="shared" si="0"/>
        <v>0</v>
      </c>
      <c r="D34" s="27">
        <v>0</v>
      </c>
      <c r="E34" s="26">
        <v>0</v>
      </c>
      <c r="F34" s="26">
        <v>1</v>
      </c>
      <c r="G34" s="26">
        <v>1</v>
      </c>
      <c r="H34" s="26">
        <v>0</v>
      </c>
      <c r="I34" s="26">
        <v>0</v>
      </c>
      <c r="J34" s="26" t="s">
        <v>497</v>
      </c>
      <c r="K34" s="413">
        <f t="shared" si="1"/>
        <v>0</v>
      </c>
      <c r="L34" s="26">
        <v>0</v>
      </c>
      <c r="M34" s="26">
        <v>0</v>
      </c>
      <c r="N34" s="26">
        <v>1</v>
      </c>
      <c r="O34" s="26">
        <v>2</v>
      </c>
      <c r="P34" s="26">
        <v>0</v>
      </c>
      <c r="Q34" s="26">
        <v>0</v>
      </c>
      <c r="R34" s="26">
        <v>0</v>
      </c>
      <c r="S34" s="26">
        <f t="shared" si="4"/>
        <v>5</v>
      </c>
    </row>
    <row r="35" spans="1:19" ht="16" x14ac:dyDescent="0.2">
      <c r="A35" s="112" t="s">
        <v>328</v>
      </c>
      <c r="B35" s="186" t="s">
        <v>721</v>
      </c>
      <c r="C35" s="413">
        <f t="shared" si="0"/>
        <v>2</v>
      </c>
      <c r="D35" s="190">
        <v>1</v>
      </c>
      <c r="E35" s="190">
        <v>0</v>
      </c>
      <c r="F35" s="190">
        <v>1</v>
      </c>
      <c r="G35" s="190">
        <v>1</v>
      </c>
      <c r="H35" s="190">
        <v>1</v>
      </c>
      <c r="I35" s="190">
        <v>0</v>
      </c>
      <c r="J35" s="186" t="s">
        <v>721</v>
      </c>
      <c r="K35" s="413">
        <f t="shared" si="1"/>
        <v>2</v>
      </c>
      <c r="L35" s="190">
        <v>0</v>
      </c>
      <c r="M35" s="190">
        <v>0</v>
      </c>
      <c r="N35" s="190">
        <v>1</v>
      </c>
      <c r="O35" s="190">
        <v>0</v>
      </c>
      <c r="P35" s="190">
        <v>2</v>
      </c>
      <c r="Q35" s="190">
        <v>1</v>
      </c>
      <c r="R35" s="190">
        <v>1</v>
      </c>
      <c r="S35" s="26">
        <f t="shared" si="4"/>
        <v>9</v>
      </c>
    </row>
    <row r="36" spans="1:19" x14ac:dyDescent="0.2">
      <c r="A36" s="112" t="s">
        <v>329</v>
      </c>
      <c r="B36" s="188" t="s">
        <v>145</v>
      </c>
      <c r="C36" s="413">
        <f t="shared" si="0"/>
        <v>0</v>
      </c>
      <c r="D36" s="27">
        <v>1</v>
      </c>
      <c r="E36" s="26">
        <v>0</v>
      </c>
      <c r="F36" s="26">
        <v>0</v>
      </c>
      <c r="G36" s="26">
        <v>0</v>
      </c>
      <c r="H36" s="26">
        <v>0</v>
      </c>
      <c r="I36" s="26">
        <v>0</v>
      </c>
      <c r="J36" s="26" t="s">
        <v>497</v>
      </c>
      <c r="K36" s="413">
        <f t="shared" si="1"/>
        <v>0</v>
      </c>
      <c r="L36" s="26">
        <v>0</v>
      </c>
      <c r="M36" s="26">
        <v>2</v>
      </c>
      <c r="N36" s="26">
        <v>1</v>
      </c>
      <c r="O36" s="26">
        <v>2</v>
      </c>
      <c r="P36" s="26">
        <v>4</v>
      </c>
      <c r="Q36" s="26">
        <v>0</v>
      </c>
      <c r="R36" s="26">
        <v>4</v>
      </c>
      <c r="S36" s="26">
        <f t="shared" si="4"/>
        <v>14</v>
      </c>
    </row>
    <row r="37" spans="1:19" x14ac:dyDescent="0.2">
      <c r="A37" s="112" t="s">
        <v>330</v>
      </c>
      <c r="B37" s="192" t="s">
        <v>145</v>
      </c>
      <c r="C37" s="413">
        <f t="shared" si="0"/>
        <v>0</v>
      </c>
      <c r="D37" s="122">
        <v>2</v>
      </c>
      <c r="E37" s="122">
        <v>0</v>
      </c>
      <c r="F37" s="122">
        <v>0</v>
      </c>
      <c r="G37" s="122">
        <v>1</v>
      </c>
      <c r="H37" s="122">
        <v>0</v>
      </c>
      <c r="I37" s="122">
        <v>0</v>
      </c>
      <c r="J37" s="122" t="s">
        <v>145</v>
      </c>
      <c r="K37" s="413">
        <f t="shared" si="1"/>
        <v>0</v>
      </c>
      <c r="L37" s="122">
        <v>0</v>
      </c>
      <c r="M37" s="122">
        <v>1</v>
      </c>
      <c r="N37" s="122">
        <v>1</v>
      </c>
      <c r="O37" s="122">
        <v>1</v>
      </c>
      <c r="P37" s="122">
        <v>0</v>
      </c>
      <c r="Q37" s="122">
        <v>1</v>
      </c>
      <c r="R37" s="122">
        <v>0</v>
      </c>
      <c r="S37" s="26">
        <f t="shared" si="4"/>
        <v>7</v>
      </c>
    </row>
    <row r="38" spans="1:19" x14ac:dyDescent="0.2">
      <c r="A38" s="112" t="s">
        <v>331</v>
      </c>
      <c r="B38" s="31" t="s">
        <v>145</v>
      </c>
      <c r="C38" s="413">
        <f t="shared" si="0"/>
        <v>0</v>
      </c>
      <c r="D38" s="26">
        <v>2</v>
      </c>
      <c r="E38" s="26">
        <v>0</v>
      </c>
      <c r="F38" s="26">
        <v>1</v>
      </c>
      <c r="G38" s="26">
        <v>1</v>
      </c>
      <c r="H38" s="26">
        <v>1</v>
      </c>
      <c r="I38" s="26">
        <v>0</v>
      </c>
      <c r="J38" s="26" t="s">
        <v>145</v>
      </c>
      <c r="K38" s="413">
        <f t="shared" si="1"/>
        <v>0</v>
      </c>
      <c r="L38" s="26">
        <v>2</v>
      </c>
      <c r="M38" s="26">
        <v>3</v>
      </c>
      <c r="N38" s="26">
        <v>2</v>
      </c>
      <c r="O38" s="26">
        <v>3</v>
      </c>
      <c r="P38" s="26">
        <v>1</v>
      </c>
      <c r="Q38" s="26">
        <v>1</v>
      </c>
      <c r="R38" s="26">
        <v>4</v>
      </c>
      <c r="S38" s="26">
        <f t="shared" si="4"/>
        <v>21</v>
      </c>
    </row>
    <row r="39" spans="1:19" x14ac:dyDescent="0.2">
      <c r="A39" s="112" t="s">
        <v>332</v>
      </c>
      <c r="B39" s="31" t="s">
        <v>145</v>
      </c>
      <c r="C39" s="413">
        <f t="shared" si="0"/>
        <v>0</v>
      </c>
      <c r="D39" s="26">
        <v>0</v>
      </c>
      <c r="E39" s="26">
        <v>0</v>
      </c>
      <c r="F39" s="26">
        <v>3</v>
      </c>
      <c r="G39" s="26">
        <v>3</v>
      </c>
      <c r="H39" s="26">
        <v>1</v>
      </c>
      <c r="I39" s="26">
        <v>0</v>
      </c>
      <c r="J39" s="26" t="s">
        <v>497</v>
      </c>
      <c r="K39" s="413">
        <f t="shared" si="1"/>
        <v>0</v>
      </c>
      <c r="L39" s="26">
        <v>2</v>
      </c>
      <c r="M39" s="26">
        <v>2</v>
      </c>
      <c r="N39" s="26">
        <v>0</v>
      </c>
      <c r="O39" s="26">
        <v>0</v>
      </c>
      <c r="P39" s="26">
        <v>1</v>
      </c>
      <c r="Q39" s="26">
        <v>0</v>
      </c>
      <c r="R39" s="26">
        <v>1</v>
      </c>
      <c r="S39" s="26">
        <f t="shared" si="4"/>
        <v>13</v>
      </c>
    </row>
    <row r="40" spans="1:19" x14ac:dyDescent="0.2">
      <c r="A40" s="112" t="s">
        <v>333</v>
      </c>
      <c r="B40" s="31" t="s">
        <v>145</v>
      </c>
      <c r="C40" s="413">
        <f t="shared" si="0"/>
        <v>0</v>
      </c>
      <c r="D40" s="26">
        <v>0</v>
      </c>
      <c r="E40" s="26">
        <v>0</v>
      </c>
      <c r="F40" s="26">
        <v>1</v>
      </c>
      <c r="G40" s="26">
        <v>1</v>
      </c>
      <c r="H40" s="26">
        <v>0</v>
      </c>
      <c r="I40" s="26">
        <v>0</v>
      </c>
      <c r="J40" s="26" t="s">
        <v>500</v>
      </c>
      <c r="K40" s="413">
        <f t="shared" si="1"/>
        <v>1</v>
      </c>
      <c r="L40" s="26">
        <v>1</v>
      </c>
      <c r="M40" s="26">
        <v>2</v>
      </c>
      <c r="N40" s="26">
        <v>3</v>
      </c>
      <c r="O40" s="26">
        <v>4</v>
      </c>
      <c r="P40" s="26">
        <v>3</v>
      </c>
      <c r="Q40" s="26">
        <v>2</v>
      </c>
      <c r="R40" s="26">
        <v>3</v>
      </c>
      <c r="S40" s="26">
        <f t="shared" si="4"/>
        <v>20</v>
      </c>
    </row>
    <row r="41" spans="1:19" x14ac:dyDescent="0.2">
      <c r="A41" s="112" t="s">
        <v>334</v>
      </c>
      <c r="B41" s="31" t="s">
        <v>145</v>
      </c>
      <c r="C41" s="413">
        <f t="shared" si="0"/>
        <v>0</v>
      </c>
      <c r="D41" s="26">
        <v>3</v>
      </c>
      <c r="E41" s="26">
        <v>0</v>
      </c>
      <c r="F41" s="26">
        <v>1</v>
      </c>
      <c r="G41" s="26">
        <v>1</v>
      </c>
      <c r="H41" s="26">
        <v>2</v>
      </c>
      <c r="I41" s="26">
        <v>0</v>
      </c>
      <c r="J41" s="186" t="s">
        <v>721</v>
      </c>
      <c r="K41" s="413">
        <f t="shared" si="1"/>
        <v>2</v>
      </c>
      <c r="L41" s="26">
        <v>0</v>
      </c>
      <c r="M41" s="26">
        <v>0</v>
      </c>
      <c r="N41" s="26">
        <v>1</v>
      </c>
      <c r="O41" s="26">
        <v>3</v>
      </c>
      <c r="P41" s="26">
        <v>2</v>
      </c>
      <c r="Q41" s="26">
        <v>0</v>
      </c>
      <c r="R41" s="26">
        <v>2</v>
      </c>
      <c r="S41" s="26">
        <f t="shared" si="4"/>
        <v>15</v>
      </c>
    </row>
    <row r="42" spans="1:19" x14ac:dyDescent="0.2">
      <c r="A42" s="117" t="s">
        <v>335</v>
      </c>
      <c r="B42" s="26" t="s">
        <v>145</v>
      </c>
      <c r="C42" s="413">
        <f t="shared" si="0"/>
        <v>0</v>
      </c>
      <c r="D42" s="26">
        <v>0</v>
      </c>
      <c r="E42" s="26">
        <v>0</v>
      </c>
      <c r="F42" s="26">
        <v>0</v>
      </c>
      <c r="G42" s="26">
        <v>1</v>
      </c>
      <c r="H42" s="26">
        <v>0</v>
      </c>
      <c r="I42" s="26">
        <v>0</v>
      </c>
      <c r="J42" s="26" t="s">
        <v>145</v>
      </c>
      <c r="K42" s="413">
        <f t="shared" si="1"/>
        <v>0</v>
      </c>
      <c r="L42" s="26">
        <v>1</v>
      </c>
      <c r="M42" s="26">
        <v>1</v>
      </c>
      <c r="N42" s="26">
        <v>0</v>
      </c>
      <c r="O42" s="26">
        <v>0</v>
      </c>
      <c r="P42" s="26">
        <v>0</v>
      </c>
      <c r="Q42" s="26">
        <v>0</v>
      </c>
      <c r="R42" s="26">
        <v>0</v>
      </c>
      <c r="S42" s="26">
        <f>SUM(D42+E42+F42+G42+H42+I42+L42+M42+N42+O42+P42+Q42+R42)</f>
        <v>3</v>
      </c>
    </row>
    <row r="43" spans="1:19" x14ac:dyDescent="0.2">
      <c r="A43" s="117" t="s">
        <v>336</v>
      </c>
      <c r="B43" s="26" t="s">
        <v>145</v>
      </c>
      <c r="C43" s="413">
        <f t="shared" si="0"/>
        <v>0</v>
      </c>
      <c r="D43" s="26">
        <v>0</v>
      </c>
      <c r="E43" s="26">
        <v>0</v>
      </c>
      <c r="F43" s="26">
        <v>0</v>
      </c>
      <c r="G43" s="26">
        <v>0</v>
      </c>
      <c r="H43" s="26">
        <v>0</v>
      </c>
      <c r="I43" s="26">
        <v>1</v>
      </c>
      <c r="J43" s="26" t="s">
        <v>145</v>
      </c>
      <c r="K43" s="413">
        <f t="shared" si="1"/>
        <v>0</v>
      </c>
      <c r="L43" s="26">
        <v>0</v>
      </c>
      <c r="M43" s="26">
        <v>0</v>
      </c>
      <c r="N43" s="26">
        <v>0</v>
      </c>
      <c r="O43" s="26">
        <v>0</v>
      </c>
      <c r="P43" s="26">
        <v>0</v>
      </c>
      <c r="Q43" s="26">
        <v>0</v>
      </c>
      <c r="R43" s="26">
        <v>0</v>
      </c>
      <c r="S43" s="26">
        <f t="shared" si="4"/>
        <v>1</v>
      </c>
    </row>
    <row r="44" spans="1:19" x14ac:dyDescent="0.2">
      <c r="A44" s="117" t="s">
        <v>337</v>
      </c>
      <c r="B44" s="26" t="s">
        <v>497</v>
      </c>
      <c r="C44" s="413">
        <f t="shared" si="0"/>
        <v>0</v>
      </c>
      <c r="D44" s="26">
        <v>0</v>
      </c>
      <c r="E44" s="26">
        <v>0</v>
      </c>
      <c r="F44" s="26">
        <v>1</v>
      </c>
      <c r="G44" s="26">
        <v>0</v>
      </c>
      <c r="H44" s="26">
        <v>0</v>
      </c>
      <c r="I44" s="26">
        <v>0</v>
      </c>
      <c r="J44" s="26" t="s">
        <v>497</v>
      </c>
      <c r="K44" s="413">
        <f t="shared" si="1"/>
        <v>0</v>
      </c>
      <c r="L44" s="26">
        <v>1</v>
      </c>
      <c r="M44" s="26">
        <v>1</v>
      </c>
      <c r="N44" s="26">
        <v>0</v>
      </c>
      <c r="O44" s="26">
        <v>2</v>
      </c>
      <c r="P44" s="26">
        <v>1</v>
      </c>
      <c r="Q44" s="26">
        <v>0</v>
      </c>
      <c r="R44" s="26">
        <v>1</v>
      </c>
      <c r="S44" s="26">
        <f t="shared" si="4"/>
        <v>7</v>
      </c>
    </row>
    <row r="45" spans="1:19" x14ac:dyDescent="0.2">
      <c r="A45" s="119" t="s">
        <v>338</v>
      </c>
      <c r="B45" s="27" t="s">
        <v>497</v>
      </c>
      <c r="C45" s="413">
        <f t="shared" si="0"/>
        <v>0</v>
      </c>
      <c r="D45" s="27">
        <v>2</v>
      </c>
      <c r="E45" s="27">
        <v>0</v>
      </c>
      <c r="F45" s="27">
        <v>2</v>
      </c>
      <c r="G45" s="27">
        <v>2</v>
      </c>
      <c r="H45" s="27">
        <v>2</v>
      </c>
      <c r="I45" s="27">
        <v>0</v>
      </c>
      <c r="J45" s="27" t="s">
        <v>497</v>
      </c>
      <c r="K45" s="413">
        <f t="shared" si="1"/>
        <v>0</v>
      </c>
      <c r="L45" s="27">
        <v>2</v>
      </c>
      <c r="M45" s="27">
        <v>1</v>
      </c>
      <c r="N45" s="27">
        <v>1</v>
      </c>
      <c r="O45" s="27">
        <v>1</v>
      </c>
      <c r="P45" s="27">
        <v>1</v>
      </c>
      <c r="Q45" s="27">
        <v>2</v>
      </c>
      <c r="R45" s="27">
        <v>1</v>
      </c>
      <c r="S45" s="26">
        <f t="shared" si="4"/>
        <v>17</v>
      </c>
    </row>
    <row r="46" spans="1:19" x14ac:dyDescent="0.2">
      <c r="A46" s="112" t="s">
        <v>339</v>
      </c>
      <c r="B46" s="26" t="s">
        <v>145</v>
      </c>
      <c r="C46" s="413">
        <f t="shared" si="0"/>
        <v>0</v>
      </c>
      <c r="D46" s="26">
        <v>0</v>
      </c>
      <c r="E46" s="26">
        <v>0</v>
      </c>
      <c r="F46" s="26">
        <v>0</v>
      </c>
      <c r="G46" s="26">
        <v>0</v>
      </c>
      <c r="H46" s="26">
        <v>0</v>
      </c>
      <c r="I46" s="26">
        <v>0</v>
      </c>
      <c r="J46" s="26" t="s">
        <v>145</v>
      </c>
      <c r="K46" s="413">
        <f t="shared" si="1"/>
        <v>0</v>
      </c>
      <c r="L46" s="26">
        <v>0</v>
      </c>
      <c r="M46" s="26">
        <v>3</v>
      </c>
      <c r="N46" s="26">
        <v>2</v>
      </c>
      <c r="O46" s="26">
        <v>4</v>
      </c>
      <c r="P46" s="26">
        <v>0</v>
      </c>
      <c r="Q46" s="26">
        <v>2</v>
      </c>
      <c r="R46" s="26">
        <v>2</v>
      </c>
      <c r="S46" s="26">
        <f t="shared" si="4"/>
        <v>13</v>
      </c>
    </row>
    <row r="47" spans="1:19" x14ac:dyDescent="0.2">
      <c r="A47" s="117" t="s">
        <v>342</v>
      </c>
      <c r="B47" s="26" t="s">
        <v>145</v>
      </c>
      <c r="C47" s="413">
        <f t="shared" si="0"/>
        <v>0</v>
      </c>
      <c r="D47" s="26">
        <v>1</v>
      </c>
      <c r="E47" s="26">
        <v>2</v>
      </c>
      <c r="F47" s="26">
        <v>1</v>
      </c>
      <c r="G47" s="26">
        <v>0</v>
      </c>
      <c r="H47" s="26">
        <v>0</v>
      </c>
      <c r="I47" s="26">
        <v>0</v>
      </c>
      <c r="J47" s="26" t="s">
        <v>145</v>
      </c>
      <c r="K47" s="413">
        <f t="shared" si="1"/>
        <v>0</v>
      </c>
      <c r="L47" s="26">
        <v>1</v>
      </c>
      <c r="M47" s="26">
        <v>1</v>
      </c>
      <c r="N47" s="26">
        <v>2</v>
      </c>
      <c r="O47" s="26">
        <v>1</v>
      </c>
      <c r="P47" s="26">
        <v>0</v>
      </c>
      <c r="Q47" s="26">
        <v>0</v>
      </c>
      <c r="R47" s="26">
        <v>1</v>
      </c>
      <c r="S47" s="194">
        <f t="shared" ref="S47" si="5">SUM(D47+E47+F47+G47+H47+I47+L47+M47+N47+O47+P47+Q47+R47)</f>
        <v>10</v>
      </c>
    </row>
    <row r="48" spans="1:19" x14ac:dyDescent="0.2">
      <c r="A48" s="117" t="s">
        <v>343</v>
      </c>
      <c r="B48" s="31" t="s">
        <v>145</v>
      </c>
      <c r="C48" s="413">
        <f t="shared" si="0"/>
        <v>0</v>
      </c>
      <c r="D48" s="31">
        <v>1</v>
      </c>
      <c r="E48" s="31">
        <v>1</v>
      </c>
      <c r="F48" s="31">
        <v>1</v>
      </c>
      <c r="G48" s="31">
        <v>1</v>
      </c>
      <c r="H48" s="31">
        <v>0</v>
      </c>
      <c r="I48" s="31">
        <v>0</v>
      </c>
      <c r="J48" s="31" t="s">
        <v>145</v>
      </c>
      <c r="K48" s="413">
        <f t="shared" si="1"/>
        <v>0</v>
      </c>
      <c r="L48" s="31">
        <v>1</v>
      </c>
      <c r="M48" s="31">
        <v>0</v>
      </c>
      <c r="N48" s="31">
        <v>2</v>
      </c>
      <c r="O48" s="31">
        <v>0</v>
      </c>
      <c r="P48" s="31">
        <v>0</v>
      </c>
      <c r="Q48" s="31">
        <v>1</v>
      </c>
      <c r="R48" s="31">
        <v>0</v>
      </c>
      <c r="S48" s="31">
        <f>SUM(D48+E48+F48+G48+H48+I48+L48+M48+N48+O48+P48+Q48+R48)</f>
        <v>8</v>
      </c>
    </row>
    <row r="49" spans="1:19" x14ac:dyDescent="0.2">
      <c r="A49" s="119" t="s">
        <v>345</v>
      </c>
      <c r="B49" s="195" t="s">
        <v>497</v>
      </c>
      <c r="C49" s="413">
        <f t="shared" si="0"/>
        <v>0</v>
      </c>
      <c r="D49" s="196">
        <v>1</v>
      </c>
      <c r="E49" s="196">
        <v>0</v>
      </c>
      <c r="F49" s="196">
        <v>1</v>
      </c>
      <c r="G49" s="196">
        <v>1</v>
      </c>
      <c r="H49" s="196">
        <v>1</v>
      </c>
      <c r="I49" s="196">
        <v>0</v>
      </c>
      <c r="J49" s="186" t="s">
        <v>721</v>
      </c>
      <c r="K49" s="413">
        <f t="shared" si="1"/>
        <v>2</v>
      </c>
      <c r="L49" s="196">
        <v>1</v>
      </c>
      <c r="M49" s="196">
        <v>1</v>
      </c>
      <c r="N49" s="196">
        <v>1</v>
      </c>
      <c r="O49" s="196">
        <v>1</v>
      </c>
      <c r="P49" s="196">
        <v>2</v>
      </c>
      <c r="Q49" s="196">
        <v>2</v>
      </c>
      <c r="R49" s="197">
        <v>2</v>
      </c>
      <c r="S49" s="31">
        <f t="shared" ref="S49:S58" si="6">SUM(D49+E49+F49+G49+H49+I49+L49+M49+N49+O49+P49+Q49+R49)</f>
        <v>14</v>
      </c>
    </row>
    <row r="50" spans="1:19" x14ac:dyDescent="0.2">
      <c r="A50" s="119" t="s">
        <v>346</v>
      </c>
      <c r="B50" s="186" t="s">
        <v>721</v>
      </c>
      <c r="C50" s="413">
        <f t="shared" si="0"/>
        <v>2</v>
      </c>
      <c r="D50" s="122">
        <v>2</v>
      </c>
      <c r="E50" s="122">
        <v>0</v>
      </c>
      <c r="F50" s="122">
        <v>1</v>
      </c>
      <c r="G50" s="122">
        <v>1</v>
      </c>
      <c r="H50" s="122">
        <v>2</v>
      </c>
      <c r="I50" s="122">
        <v>0</v>
      </c>
      <c r="J50" s="186" t="s">
        <v>721</v>
      </c>
      <c r="K50" s="413">
        <f t="shared" si="1"/>
        <v>2</v>
      </c>
      <c r="L50" s="122">
        <v>2</v>
      </c>
      <c r="M50" s="122">
        <v>1</v>
      </c>
      <c r="N50" s="122">
        <v>2</v>
      </c>
      <c r="O50" s="122">
        <v>4</v>
      </c>
      <c r="P50" s="122">
        <v>2</v>
      </c>
      <c r="Q50" s="122">
        <v>2</v>
      </c>
      <c r="R50" s="197">
        <v>2</v>
      </c>
      <c r="S50" s="31">
        <f t="shared" si="6"/>
        <v>21</v>
      </c>
    </row>
    <row r="51" spans="1:19" x14ac:dyDescent="0.2">
      <c r="A51" s="112" t="s">
        <v>347</v>
      </c>
      <c r="B51" s="26" t="s">
        <v>145</v>
      </c>
      <c r="C51" s="413">
        <f t="shared" si="0"/>
        <v>0</v>
      </c>
      <c r="D51" s="26">
        <v>2</v>
      </c>
      <c r="E51" s="26">
        <v>0</v>
      </c>
      <c r="F51" s="26">
        <v>1</v>
      </c>
      <c r="G51" s="26">
        <v>2</v>
      </c>
      <c r="H51" s="26">
        <v>0</v>
      </c>
      <c r="I51" s="26">
        <v>1</v>
      </c>
      <c r="J51" s="26" t="s">
        <v>497</v>
      </c>
      <c r="K51" s="413">
        <f t="shared" si="1"/>
        <v>0</v>
      </c>
      <c r="L51" s="26">
        <v>2</v>
      </c>
      <c r="M51" s="26">
        <v>1</v>
      </c>
      <c r="N51" s="26">
        <v>1</v>
      </c>
      <c r="O51" s="26">
        <v>2</v>
      </c>
      <c r="P51" s="26">
        <v>1</v>
      </c>
      <c r="Q51" s="26">
        <v>1</v>
      </c>
      <c r="R51" s="26">
        <v>1</v>
      </c>
      <c r="S51" s="31">
        <f t="shared" si="6"/>
        <v>15</v>
      </c>
    </row>
    <row r="52" spans="1:19" x14ac:dyDescent="0.2">
      <c r="A52" s="112" t="s">
        <v>348</v>
      </c>
      <c r="B52" s="26" t="s">
        <v>145</v>
      </c>
      <c r="C52" s="413">
        <f t="shared" si="0"/>
        <v>0</v>
      </c>
      <c r="D52" s="26">
        <v>1</v>
      </c>
      <c r="E52" s="26">
        <v>0</v>
      </c>
      <c r="F52" s="26">
        <v>0</v>
      </c>
      <c r="G52" s="26">
        <v>0</v>
      </c>
      <c r="H52" s="26">
        <v>0</v>
      </c>
      <c r="I52" s="92"/>
      <c r="J52" s="26" t="s">
        <v>145</v>
      </c>
      <c r="K52" s="413">
        <f t="shared" si="1"/>
        <v>0</v>
      </c>
      <c r="L52" s="26">
        <v>1</v>
      </c>
      <c r="M52" s="26">
        <v>0</v>
      </c>
      <c r="N52" s="26">
        <v>2</v>
      </c>
      <c r="O52" s="26">
        <v>2</v>
      </c>
      <c r="P52" s="26">
        <v>1</v>
      </c>
      <c r="Q52" s="26">
        <v>0</v>
      </c>
      <c r="R52" s="26">
        <v>1</v>
      </c>
      <c r="S52" s="349"/>
    </row>
    <row r="53" spans="1:19" x14ac:dyDescent="0.2">
      <c r="A53" s="112" t="s">
        <v>349</v>
      </c>
      <c r="B53" s="26" t="s">
        <v>145</v>
      </c>
      <c r="C53" s="413">
        <f t="shared" si="0"/>
        <v>0</v>
      </c>
      <c r="D53" s="26">
        <v>0</v>
      </c>
      <c r="E53" s="26">
        <v>0</v>
      </c>
      <c r="F53" s="26">
        <v>0</v>
      </c>
      <c r="G53" s="26">
        <v>1</v>
      </c>
      <c r="H53" s="26">
        <v>0</v>
      </c>
      <c r="I53" s="26">
        <v>0</v>
      </c>
      <c r="J53" s="26" t="s">
        <v>145</v>
      </c>
      <c r="K53" s="413">
        <f t="shared" si="1"/>
        <v>0</v>
      </c>
      <c r="L53" s="26">
        <v>0</v>
      </c>
      <c r="M53" s="26">
        <v>0</v>
      </c>
      <c r="N53" s="26">
        <v>1</v>
      </c>
      <c r="O53" s="26">
        <v>1</v>
      </c>
      <c r="P53" s="26">
        <v>1</v>
      </c>
      <c r="Q53" s="26">
        <v>0</v>
      </c>
      <c r="R53" s="26">
        <v>0</v>
      </c>
      <c r="S53" s="31">
        <f t="shared" si="6"/>
        <v>4</v>
      </c>
    </row>
    <row r="54" spans="1:19" x14ac:dyDescent="0.2">
      <c r="A54" s="112" t="s">
        <v>350</v>
      </c>
      <c r="B54" s="26" t="s">
        <v>145</v>
      </c>
      <c r="C54" s="413">
        <f t="shared" si="0"/>
        <v>0</v>
      </c>
      <c r="D54" s="26">
        <v>0</v>
      </c>
      <c r="E54" s="26">
        <v>0</v>
      </c>
      <c r="F54" s="26">
        <v>0</v>
      </c>
      <c r="G54" s="26">
        <v>0</v>
      </c>
      <c r="H54" s="26">
        <v>0</v>
      </c>
      <c r="I54" s="26">
        <v>0</v>
      </c>
      <c r="J54" s="26" t="s">
        <v>497</v>
      </c>
      <c r="K54" s="413">
        <f t="shared" si="1"/>
        <v>0</v>
      </c>
      <c r="L54" s="26">
        <v>0</v>
      </c>
      <c r="M54" s="26">
        <v>0</v>
      </c>
      <c r="N54" s="26">
        <v>1</v>
      </c>
      <c r="O54" s="26">
        <v>2</v>
      </c>
      <c r="P54" s="26">
        <v>2</v>
      </c>
      <c r="Q54" s="26">
        <v>0</v>
      </c>
      <c r="R54" s="26">
        <v>1</v>
      </c>
      <c r="S54" s="31">
        <f t="shared" si="6"/>
        <v>6</v>
      </c>
    </row>
    <row r="55" spans="1:19" x14ac:dyDescent="0.2">
      <c r="A55" s="112" t="s">
        <v>351</v>
      </c>
      <c r="B55" s="26" t="s">
        <v>145</v>
      </c>
      <c r="C55" s="413">
        <f t="shared" si="0"/>
        <v>0</v>
      </c>
      <c r="D55" s="26">
        <v>0</v>
      </c>
      <c r="E55" s="26">
        <v>0</v>
      </c>
      <c r="F55" s="26">
        <v>0</v>
      </c>
      <c r="G55" s="26">
        <v>0</v>
      </c>
      <c r="H55" s="26">
        <v>0</v>
      </c>
      <c r="I55" s="26">
        <v>0</v>
      </c>
      <c r="J55" s="26" t="s">
        <v>497</v>
      </c>
      <c r="K55" s="413">
        <f t="shared" si="1"/>
        <v>0</v>
      </c>
      <c r="L55" s="26">
        <v>2</v>
      </c>
      <c r="M55" s="26">
        <v>1</v>
      </c>
      <c r="N55" s="26">
        <v>2</v>
      </c>
      <c r="O55" s="26">
        <v>0</v>
      </c>
      <c r="P55" s="26">
        <v>2</v>
      </c>
      <c r="Q55" s="26">
        <v>0</v>
      </c>
      <c r="R55" s="26">
        <v>1</v>
      </c>
      <c r="S55" s="31">
        <f t="shared" si="6"/>
        <v>8</v>
      </c>
    </row>
    <row r="56" spans="1:19" x14ac:dyDescent="0.2">
      <c r="A56" s="112" t="s">
        <v>352</v>
      </c>
      <c r="B56" s="26" t="s">
        <v>497</v>
      </c>
      <c r="C56" s="413">
        <f t="shared" si="0"/>
        <v>0</v>
      </c>
      <c r="D56" s="26">
        <v>1</v>
      </c>
      <c r="E56" s="26">
        <v>0</v>
      </c>
      <c r="F56" s="26">
        <v>0</v>
      </c>
      <c r="G56" s="26">
        <v>0</v>
      </c>
      <c r="H56" s="26">
        <v>0</v>
      </c>
      <c r="I56" s="26">
        <v>0</v>
      </c>
      <c r="J56" s="26" t="s">
        <v>497</v>
      </c>
      <c r="K56" s="413">
        <f t="shared" si="1"/>
        <v>0</v>
      </c>
      <c r="L56" s="26">
        <v>0</v>
      </c>
      <c r="M56" s="26">
        <v>1</v>
      </c>
      <c r="N56" s="26">
        <v>1</v>
      </c>
      <c r="O56" s="26">
        <v>0</v>
      </c>
      <c r="P56" s="26">
        <v>0</v>
      </c>
      <c r="Q56" s="26">
        <v>0</v>
      </c>
      <c r="R56" s="26">
        <v>0</v>
      </c>
      <c r="S56" s="31">
        <f t="shared" si="6"/>
        <v>3</v>
      </c>
    </row>
    <row r="57" spans="1:19" x14ac:dyDescent="0.2">
      <c r="A57" s="112" t="s">
        <v>353</v>
      </c>
      <c r="B57" s="26" t="s">
        <v>145</v>
      </c>
      <c r="C57" s="413">
        <f t="shared" si="0"/>
        <v>0</v>
      </c>
      <c r="D57" s="26">
        <v>0</v>
      </c>
      <c r="E57" s="26">
        <v>0</v>
      </c>
      <c r="F57" s="26">
        <v>0</v>
      </c>
      <c r="G57" s="26">
        <v>1</v>
      </c>
      <c r="H57" s="26">
        <v>0</v>
      </c>
      <c r="I57" s="26">
        <v>0</v>
      </c>
      <c r="J57" s="26" t="s">
        <v>497</v>
      </c>
      <c r="K57" s="413">
        <f t="shared" si="1"/>
        <v>0</v>
      </c>
      <c r="L57" s="26">
        <v>0</v>
      </c>
      <c r="M57" s="26">
        <v>0</v>
      </c>
      <c r="N57" s="26">
        <v>1</v>
      </c>
      <c r="O57" s="26">
        <v>1</v>
      </c>
      <c r="P57" s="26">
        <v>0</v>
      </c>
      <c r="Q57" s="26">
        <v>0</v>
      </c>
      <c r="R57" s="26">
        <v>0</v>
      </c>
      <c r="S57" s="31">
        <f t="shared" si="6"/>
        <v>3</v>
      </c>
    </row>
    <row r="58" spans="1:19" x14ac:dyDescent="0.2">
      <c r="A58" s="112" t="s">
        <v>354</v>
      </c>
      <c r="B58" s="26" t="s">
        <v>145</v>
      </c>
      <c r="C58" s="413">
        <f t="shared" si="0"/>
        <v>0</v>
      </c>
      <c r="D58" s="26">
        <v>0</v>
      </c>
      <c r="E58" s="26">
        <v>0</v>
      </c>
      <c r="F58" s="26">
        <v>0</v>
      </c>
      <c r="G58" s="26">
        <v>0</v>
      </c>
      <c r="H58" s="26">
        <v>0</v>
      </c>
      <c r="I58" s="26">
        <v>0</v>
      </c>
      <c r="J58" s="26" t="s">
        <v>497</v>
      </c>
      <c r="K58" s="413">
        <f t="shared" si="1"/>
        <v>0</v>
      </c>
      <c r="L58" s="26">
        <v>0</v>
      </c>
      <c r="M58" s="26">
        <v>0</v>
      </c>
      <c r="N58" s="26">
        <v>1</v>
      </c>
      <c r="O58" s="26">
        <v>1</v>
      </c>
      <c r="P58" s="26">
        <v>0</v>
      </c>
      <c r="Q58" s="26">
        <v>0</v>
      </c>
      <c r="R58" s="26">
        <v>1</v>
      </c>
      <c r="S58" s="31">
        <f t="shared" si="6"/>
        <v>3</v>
      </c>
    </row>
    <row r="59" spans="1:19" x14ac:dyDescent="0.2">
      <c r="A59" s="112" t="s">
        <v>356</v>
      </c>
      <c r="B59" s="26" t="s">
        <v>145</v>
      </c>
      <c r="C59" s="413">
        <f t="shared" si="0"/>
        <v>0</v>
      </c>
      <c r="D59" s="26">
        <v>0</v>
      </c>
      <c r="E59" s="26">
        <v>0</v>
      </c>
      <c r="F59" s="26">
        <v>1</v>
      </c>
      <c r="G59" s="26">
        <v>1</v>
      </c>
      <c r="H59" s="26">
        <v>0</v>
      </c>
      <c r="I59" s="26">
        <v>0</v>
      </c>
      <c r="J59" s="26" t="s">
        <v>497</v>
      </c>
      <c r="K59" s="413">
        <f t="shared" si="1"/>
        <v>0</v>
      </c>
      <c r="L59" s="26">
        <v>2</v>
      </c>
      <c r="M59" s="26">
        <v>1</v>
      </c>
      <c r="N59" s="26">
        <v>1</v>
      </c>
      <c r="O59" s="26">
        <v>2</v>
      </c>
      <c r="P59" s="26">
        <v>1</v>
      </c>
      <c r="Q59" s="26">
        <v>0</v>
      </c>
      <c r="R59" s="26">
        <v>1</v>
      </c>
      <c r="S59" s="31">
        <f>SUM(D59+E59+F59+G59+H59+I59+L59+M59+N59+O59+P59+Q59+R59)</f>
        <v>10</v>
      </c>
    </row>
    <row r="60" spans="1:19" x14ac:dyDescent="0.2">
      <c r="A60" s="112" t="s">
        <v>358</v>
      </c>
      <c r="B60" s="26" t="s">
        <v>497</v>
      </c>
      <c r="C60" s="413">
        <f t="shared" si="0"/>
        <v>0</v>
      </c>
      <c r="D60" s="26">
        <v>0</v>
      </c>
      <c r="E60" s="26">
        <v>0</v>
      </c>
      <c r="F60" s="26">
        <v>0</v>
      </c>
      <c r="G60" s="26">
        <v>0</v>
      </c>
      <c r="H60" s="26">
        <v>0</v>
      </c>
      <c r="I60" s="26">
        <v>0</v>
      </c>
      <c r="J60" s="26" t="s">
        <v>497</v>
      </c>
      <c r="K60" s="413">
        <f t="shared" si="1"/>
        <v>0</v>
      </c>
      <c r="L60" s="26">
        <v>0</v>
      </c>
      <c r="M60" s="26">
        <v>1</v>
      </c>
      <c r="N60" s="26">
        <v>1</v>
      </c>
      <c r="O60" s="26">
        <v>1</v>
      </c>
      <c r="P60" s="26">
        <v>1</v>
      </c>
      <c r="Q60" s="26">
        <v>0</v>
      </c>
      <c r="R60" s="26">
        <v>0</v>
      </c>
      <c r="S60" s="31">
        <f>SUM(D60+E60+F60+G60+H60+I60+L60+M60+N60+O60+P60+Q60+R60)</f>
        <v>4</v>
      </c>
    </row>
    <row r="61" spans="1:19" x14ac:dyDescent="0.2">
      <c r="A61" s="112" t="s">
        <v>360</v>
      </c>
      <c r="B61" s="26" t="s">
        <v>497</v>
      </c>
      <c r="C61" s="413">
        <f t="shared" si="0"/>
        <v>0</v>
      </c>
      <c r="D61" s="26">
        <v>0</v>
      </c>
      <c r="E61" s="26">
        <v>0</v>
      </c>
      <c r="F61" s="26">
        <v>0</v>
      </c>
      <c r="G61" s="26">
        <v>1</v>
      </c>
      <c r="H61" s="26">
        <v>0</v>
      </c>
      <c r="I61" s="26">
        <v>0</v>
      </c>
      <c r="J61" s="26" t="s">
        <v>497</v>
      </c>
      <c r="K61" s="413">
        <f t="shared" si="1"/>
        <v>0</v>
      </c>
      <c r="L61" s="26">
        <v>2</v>
      </c>
      <c r="M61" s="26">
        <v>0</v>
      </c>
      <c r="N61" s="26">
        <v>2</v>
      </c>
      <c r="O61" s="26">
        <v>0</v>
      </c>
      <c r="P61" s="26">
        <v>0</v>
      </c>
      <c r="Q61" s="26">
        <v>0</v>
      </c>
      <c r="R61" s="26">
        <v>0</v>
      </c>
      <c r="S61" s="31">
        <f>SUM(D61+E61+F61+G61+H61+I61+L61+M61+N61+O61+P61+Q61+R61)</f>
        <v>5</v>
      </c>
    </row>
    <row r="62" spans="1:19" x14ac:dyDescent="0.2">
      <c r="A62" s="112" t="s">
        <v>362</v>
      </c>
      <c r="B62" s="26" t="s">
        <v>497</v>
      </c>
      <c r="C62" s="413">
        <f t="shared" si="0"/>
        <v>0</v>
      </c>
      <c r="D62" s="26">
        <v>0</v>
      </c>
      <c r="E62" s="26">
        <v>0</v>
      </c>
      <c r="F62" s="26">
        <v>0</v>
      </c>
      <c r="G62" s="26">
        <v>0</v>
      </c>
      <c r="H62" s="26">
        <v>0</v>
      </c>
      <c r="I62" s="26">
        <v>0</v>
      </c>
      <c r="J62" s="26" t="s">
        <v>497</v>
      </c>
      <c r="K62" s="413">
        <f t="shared" si="1"/>
        <v>0</v>
      </c>
      <c r="L62" s="26">
        <v>0</v>
      </c>
      <c r="M62" s="26">
        <v>1</v>
      </c>
      <c r="N62" s="26">
        <v>1</v>
      </c>
      <c r="O62" s="26">
        <v>1</v>
      </c>
      <c r="P62" s="26">
        <v>0</v>
      </c>
      <c r="Q62" s="26">
        <v>0</v>
      </c>
      <c r="R62" s="26">
        <v>0</v>
      </c>
      <c r="S62" s="31">
        <f>SUM(D62+E62+F62+G62+H62+I62+L62+M62+N62+O62+P62+Q62+R62)</f>
        <v>3</v>
      </c>
    </row>
    <row r="63" spans="1:19" x14ac:dyDescent="0.2">
      <c r="A63" s="112" t="s">
        <v>364</v>
      </c>
      <c r="B63" s="26" t="s">
        <v>497</v>
      </c>
      <c r="C63" s="413">
        <f t="shared" si="0"/>
        <v>0</v>
      </c>
      <c r="D63" s="26">
        <v>0</v>
      </c>
      <c r="E63" s="26">
        <v>0</v>
      </c>
      <c r="F63" s="26">
        <v>0</v>
      </c>
      <c r="G63" s="26">
        <v>0</v>
      </c>
      <c r="H63" s="26">
        <v>1</v>
      </c>
      <c r="I63" s="26">
        <v>0</v>
      </c>
      <c r="J63" s="26" t="s">
        <v>497</v>
      </c>
      <c r="K63" s="413">
        <f t="shared" si="1"/>
        <v>0</v>
      </c>
      <c r="L63" s="26">
        <v>0</v>
      </c>
      <c r="M63" s="26">
        <v>0</v>
      </c>
      <c r="N63" s="26">
        <v>1</v>
      </c>
      <c r="O63" s="26">
        <v>1</v>
      </c>
      <c r="P63" s="26">
        <v>0</v>
      </c>
      <c r="Q63" s="26">
        <v>0</v>
      </c>
      <c r="R63" s="26">
        <v>2</v>
      </c>
      <c r="S63" s="31">
        <f t="shared" ref="S63:S67" si="7">SUM(D63+E63+F63+G63+H63+I63+L63+M63+N63+O63+P63+Q63+R63)</f>
        <v>5</v>
      </c>
    </row>
    <row r="64" spans="1:19" x14ac:dyDescent="0.2">
      <c r="A64" s="112" t="s">
        <v>365</v>
      </c>
      <c r="B64" s="26" t="s">
        <v>497</v>
      </c>
      <c r="C64" s="413">
        <f t="shared" si="0"/>
        <v>0</v>
      </c>
      <c r="D64" s="26">
        <v>0</v>
      </c>
      <c r="E64" s="26">
        <v>0</v>
      </c>
      <c r="F64" s="26">
        <v>0</v>
      </c>
      <c r="G64" s="26">
        <v>1</v>
      </c>
      <c r="H64" s="26">
        <v>0</v>
      </c>
      <c r="I64" s="26">
        <v>0</v>
      </c>
      <c r="J64" s="26" t="s">
        <v>497</v>
      </c>
      <c r="K64" s="413">
        <f t="shared" si="1"/>
        <v>0</v>
      </c>
      <c r="L64" s="26">
        <v>0</v>
      </c>
      <c r="M64" s="26">
        <v>0</v>
      </c>
      <c r="N64" s="26">
        <v>1</v>
      </c>
      <c r="O64" s="26">
        <v>1</v>
      </c>
      <c r="P64" s="26">
        <v>0</v>
      </c>
      <c r="Q64" s="26">
        <v>0</v>
      </c>
      <c r="R64" s="26">
        <v>0</v>
      </c>
      <c r="S64" s="31">
        <f t="shared" si="7"/>
        <v>3</v>
      </c>
    </row>
    <row r="65" spans="1:19" x14ac:dyDescent="0.2">
      <c r="A65" s="112" t="s">
        <v>366</v>
      </c>
      <c r="B65" s="26" t="s">
        <v>497</v>
      </c>
      <c r="C65" s="413">
        <f t="shared" si="0"/>
        <v>0</v>
      </c>
      <c r="D65" s="26">
        <v>0</v>
      </c>
      <c r="E65" s="26">
        <v>0</v>
      </c>
      <c r="F65" s="26">
        <v>0</v>
      </c>
      <c r="G65" s="26">
        <v>0</v>
      </c>
      <c r="H65" s="26">
        <v>0</v>
      </c>
      <c r="I65" s="26">
        <v>0</v>
      </c>
      <c r="J65" s="26" t="s">
        <v>497</v>
      </c>
      <c r="K65" s="413">
        <f t="shared" si="1"/>
        <v>0</v>
      </c>
      <c r="L65" s="26">
        <v>1</v>
      </c>
      <c r="M65" s="26">
        <v>1</v>
      </c>
      <c r="N65" s="26">
        <v>0</v>
      </c>
      <c r="O65" s="26">
        <v>0</v>
      </c>
      <c r="P65" s="26">
        <v>0</v>
      </c>
      <c r="Q65" s="26">
        <v>0</v>
      </c>
      <c r="R65" s="26">
        <v>0</v>
      </c>
      <c r="S65" s="31">
        <f t="shared" si="7"/>
        <v>2</v>
      </c>
    </row>
    <row r="66" spans="1:19" x14ac:dyDescent="0.2">
      <c r="A66" s="112" t="s">
        <v>368</v>
      </c>
      <c r="B66" s="26" t="s">
        <v>497</v>
      </c>
      <c r="C66" s="413">
        <f t="shared" si="0"/>
        <v>0</v>
      </c>
      <c r="D66" s="26">
        <v>0</v>
      </c>
      <c r="E66" s="26">
        <v>0</v>
      </c>
      <c r="F66" s="26">
        <v>0</v>
      </c>
      <c r="G66" s="26">
        <v>0</v>
      </c>
      <c r="H66" s="26">
        <v>0</v>
      </c>
      <c r="I66" s="26">
        <v>0</v>
      </c>
      <c r="J66" s="26" t="s">
        <v>497</v>
      </c>
      <c r="K66" s="413">
        <f t="shared" si="1"/>
        <v>0</v>
      </c>
      <c r="L66" s="26">
        <v>2</v>
      </c>
      <c r="M66" s="26">
        <v>1</v>
      </c>
      <c r="N66" s="26">
        <v>2</v>
      </c>
      <c r="O66" s="26">
        <v>0</v>
      </c>
      <c r="P66" s="26">
        <v>0</v>
      </c>
      <c r="Q66" s="26">
        <v>0</v>
      </c>
      <c r="R66" s="26">
        <v>0</v>
      </c>
      <c r="S66" s="31">
        <f t="shared" si="7"/>
        <v>5</v>
      </c>
    </row>
    <row r="67" spans="1:19" x14ac:dyDescent="0.2">
      <c r="A67" s="112" t="s">
        <v>369</v>
      </c>
      <c r="B67" s="26" t="s">
        <v>497</v>
      </c>
      <c r="C67" s="413">
        <f t="shared" si="0"/>
        <v>0</v>
      </c>
      <c r="D67" s="26">
        <v>0</v>
      </c>
      <c r="E67" s="26">
        <v>0</v>
      </c>
      <c r="F67" s="26">
        <v>1</v>
      </c>
      <c r="G67" s="26">
        <v>0</v>
      </c>
      <c r="H67" s="26">
        <v>0</v>
      </c>
      <c r="I67" s="26">
        <v>0</v>
      </c>
      <c r="J67" s="26" t="s">
        <v>497</v>
      </c>
      <c r="K67" s="413">
        <f t="shared" si="1"/>
        <v>0</v>
      </c>
      <c r="L67" s="26">
        <v>2</v>
      </c>
      <c r="M67" s="26">
        <v>2</v>
      </c>
      <c r="N67" s="26">
        <v>1</v>
      </c>
      <c r="O67" s="26">
        <v>1</v>
      </c>
      <c r="P67" s="26">
        <v>0</v>
      </c>
      <c r="Q67" s="26">
        <v>0</v>
      </c>
      <c r="R67" s="26">
        <v>1</v>
      </c>
      <c r="S67" s="31">
        <f t="shared" si="7"/>
        <v>8</v>
      </c>
    </row>
    <row r="68" spans="1:19" x14ac:dyDescent="0.2">
      <c r="A68" s="112" t="s">
        <v>372</v>
      </c>
      <c r="B68" s="26" t="s">
        <v>497</v>
      </c>
      <c r="C68" s="413">
        <f t="shared" ref="C68:C131" si="8">IF(B68="Patient",0,IF(B68="Caregiver",1,2))</f>
        <v>0</v>
      </c>
      <c r="D68" s="26">
        <v>0</v>
      </c>
      <c r="E68" s="26">
        <v>0</v>
      </c>
      <c r="F68" s="26">
        <v>0</v>
      </c>
      <c r="G68" s="26">
        <v>0</v>
      </c>
      <c r="H68" s="26">
        <v>0</v>
      </c>
      <c r="I68" s="26"/>
      <c r="J68" s="26" t="s">
        <v>497</v>
      </c>
      <c r="K68" s="413">
        <f t="shared" ref="K68:K131" si="9">IF(J68="Patient",0,IF(J68="Caregiver",1,2))</f>
        <v>0</v>
      </c>
      <c r="L68" s="26">
        <v>0</v>
      </c>
      <c r="M68" s="26">
        <v>0</v>
      </c>
      <c r="N68" s="26">
        <v>1</v>
      </c>
      <c r="O68" s="26">
        <v>0</v>
      </c>
      <c r="P68" s="26">
        <v>0</v>
      </c>
      <c r="Q68" s="26">
        <v>0</v>
      </c>
      <c r="R68" s="26">
        <v>0</v>
      </c>
      <c r="S68" s="31">
        <f>SUM(D68+E68+F68+G68+H68+I68+L68+M68+N68+O68+P68+Q68+R68)</f>
        <v>1</v>
      </c>
    </row>
    <row r="69" spans="1:19" x14ac:dyDescent="0.2">
      <c r="A69" s="112" t="s">
        <v>375</v>
      </c>
      <c r="B69" s="112" t="s">
        <v>497</v>
      </c>
      <c r="C69" s="413">
        <f t="shared" si="8"/>
        <v>0</v>
      </c>
      <c r="D69" s="112">
        <v>0</v>
      </c>
      <c r="E69" s="112">
        <v>0</v>
      </c>
      <c r="F69" s="112">
        <v>0</v>
      </c>
      <c r="G69" s="112">
        <v>1</v>
      </c>
      <c r="H69" s="112">
        <v>0</v>
      </c>
      <c r="I69" s="112"/>
      <c r="J69" s="112" t="s">
        <v>497</v>
      </c>
      <c r="K69" s="413">
        <f t="shared" si="9"/>
        <v>0</v>
      </c>
      <c r="L69" s="112">
        <v>1</v>
      </c>
      <c r="M69" s="112">
        <v>0</v>
      </c>
      <c r="N69" s="112">
        <v>1</v>
      </c>
      <c r="O69" s="112">
        <v>0</v>
      </c>
      <c r="P69" s="112">
        <v>0</v>
      </c>
      <c r="Q69" s="112">
        <v>0</v>
      </c>
      <c r="R69" s="112">
        <v>0</v>
      </c>
      <c r="S69" s="31">
        <f>SUM(D69+E69+F69+G69+H69+I69+L69+M69+N69+O69+P69+Q69+R69)</f>
        <v>3</v>
      </c>
    </row>
    <row r="70" spans="1:19" x14ac:dyDescent="0.2">
      <c r="A70" s="112" t="s">
        <v>379</v>
      </c>
      <c r="B70" s="112" t="s">
        <v>497</v>
      </c>
      <c r="C70" s="413">
        <f t="shared" si="8"/>
        <v>0</v>
      </c>
      <c r="D70" s="112">
        <v>1</v>
      </c>
      <c r="E70" s="112">
        <v>0</v>
      </c>
      <c r="F70" s="112">
        <v>2</v>
      </c>
      <c r="G70" s="112">
        <v>1</v>
      </c>
      <c r="H70" s="112">
        <v>0</v>
      </c>
      <c r="I70" s="112">
        <v>1</v>
      </c>
      <c r="J70" s="112" t="s">
        <v>497</v>
      </c>
      <c r="K70" s="413">
        <f t="shared" si="9"/>
        <v>0</v>
      </c>
      <c r="L70" s="112">
        <v>1</v>
      </c>
      <c r="M70" s="112">
        <v>1</v>
      </c>
      <c r="N70" s="112">
        <v>2</v>
      </c>
      <c r="O70" s="112">
        <v>0</v>
      </c>
      <c r="P70" s="112">
        <v>1</v>
      </c>
      <c r="Q70" s="112">
        <v>2</v>
      </c>
      <c r="R70" s="112">
        <v>2</v>
      </c>
      <c r="S70" s="31">
        <f t="shared" ref="S70:S73" si="10">SUM(D70+E70+F70+G70+H70+I70+L70+M70+N70+O70+P70+Q70+R70)</f>
        <v>14</v>
      </c>
    </row>
    <row r="71" spans="1:19" x14ac:dyDescent="0.2">
      <c r="A71" s="112" t="s">
        <v>380</v>
      </c>
      <c r="B71" s="112" t="s">
        <v>497</v>
      </c>
      <c r="C71" s="413">
        <f t="shared" si="8"/>
        <v>0</v>
      </c>
      <c r="D71" s="112">
        <v>2</v>
      </c>
      <c r="E71" s="112">
        <v>0</v>
      </c>
      <c r="F71" s="112">
        <v>0</v>
      </c>
      <c r="G71" s="112">
        <v>0</v>
      </c>
      <c r="H71" s="112">
        <v>0</v>
      </c>
      <c r="I71" s="112">
        <v>0</v>
      </c>
      <c r="J71" s="112" t="s">
        <v>497</v>
      </c>
      <c r="K71" s="413">
        <f t="shared" si="9"/>
        <v>0</v>
      </c>
      <c r="L71" s="112">
        <v>1</v>
      </c>
      <c r="M71" s="112">
        <v>0</v>
      </c>
      <c r="N71" s="112">
        <v>2</v>
      </c>
      <c r="O71" s="112">
        <v>0</v>
      </c>
      <c r="P71" s="112">
        <v>2</v>
      </c>
      <c r="Q71" s="112">
        <v>0</v>
      </c>
      <c r="R71" s="112">
        <v>2</v>
      </c>
      <c r="S71" s="31">
        <f t="shared" si="10"/>
        <v>9</v>
      </c>
    </row>
    <row r="72" spans="1:19" x14ac:dyDescent="0.2">
      <c r="A72" s="112" t="s">
        <v>381</v>
      </c>
      <c r="B72" s="26" t="s">
        <v>497</v>
      </c>
      <c r="C72" s="413">
        <f t="shared" si="8"/>
        <v>0</v>
      </c>
      <c r="D72" s="26">
        <v>1</v>
      </c>
      <c r="E72" s="26">
        <v>0</v>
      </c>
      <c r="F72" s="26">
        <v>0</v>
      </c>
      <c r="G72" s="26">
        <v>0</v>
      </c>
      <c r="H72" s="26">
        <v>0</v>
      </c>
      <c r="I72" s="26">
        <v>0</v>
      </c>
      <c r="J72" s="26" t="s">
        <v>497</v>
      </c>
      <c r="K72" s="413">
        <f t="shared" si="9"/>
        <v>0</v>
      </c>
      <c r="L72" s="26">
        <v>1</v>
      </c>
      <c r="M72" s="26">
        <v>1</v>
      </c>
      <c r="N72" s="26">
        <v>2</v>
      </c>
      <c r="O72" s="26">
        <v>3</v>
      </c>
      <c r="P72" s="26">
        <v>2</v>
      </c>
      <c r="Q72" s="26">
        <v>3</v>
      </c>
      <c r="R72" s="26">
        <v>1</v>
      </c>
      <c r="S72" s="31">
        <f t="shared" si="10"/>
        <v>14</v>
      </c>
    </row>
    <row r="73" spans="1:19" x14ac:dyDescent="0.2">
      <c r="A73" s="112" t="s">
        <v>382</v>
      </c>
      <c r="B73" s="26" t="s">
        <v>497</v>
      </c>
      <c r="C73" s="413">
        <f t="shared" si="8"/>
        <v>0</v>
      </c>
      <c r="D73" s="26">
        <v>0</v>
      </c>
      <c r="E73" s="26">
        <v>0</v>
      </c>
      <c r="F73" s="26">
        <v>1</v>
      </c>
      <c r="G73" s="26">
        <v>1</v>
      </c>
      <c r="H73" s="26">
        <v>0</v>
      </c>
      <c r="I73" s="26">
        <v>0</v>
      </c>
      <c r="J73" s="26" t="s">
        <v>497</v>
      </c>
      <c r="K73" s="413">
        <f t="shared" si="9"/>
        <v>0</v>
      </c>
      <c r="L73" s="26">
        <v>1</v>
      </c>
      <c r="M73" s="26">
        <v>0</v>
      </c>
      <c r="N73" s="26">
        <v>1</v>
      </c>
      <c r="O73" s="26">
        <v>1</v>
      </c>
      <c r="P73" s="26">
        <v>1</v>
      </c>
      <c r="Q73" s="26">
        <v>0</v>
      </c>
      <c r="R73" s="26">
        <v>0</v>
      </c>
      <c r="S73" s="31">
        <f t="shared" si="10"/>
        <v>6</v>
      </c>
    </row>
    <row r="74" spans="1:19" x14ac:dyDescent="0.2">
      <c r="A74" s="112" t="s">
        <v>385</v>
      </c>
      <c r="B74" s="26" t="s">
        <v>497</v>
      </c>
      <c r="C74" s="413">
        <f t="shared" si="8"/>
        <v>0</v>
      </c>
      <c r="D74" s="26">
        <v>0</v>
      </c>
      <c r="E74" s="26">
        <v>0</v>
      </c>
      <c r="F74" s="26">
        <v>0</v>
      </c>
      <c r="G74" s="26">
        <v>1</v>
      </c>
      <c r="H74" s="26">
        <v>0</v>
      </c>
      <c r="I74" s="26">
        <v>0</v>
      </c>
      <c r="J74" s="26" t="s">
        <v>497</v>
      </c>
      <c r="K74" s="413">
        <f t="shared" si="9"/>
        <v>0</v>
      </c>
      <c r="L74" s="26">
        <v>1</v>
      </c>
      <c r="M74" s="26">
        <v>0</v>
      </c>
      <c r="N74" s="26">
        <v>2</v>
      </c>
      <c r="O74" s="26">
        <v>1</v>
      </c>
      <c r="P74" s="26">
        <v>0</v>
      </c>
      <c r="Q74" s="26">
        <v>0</v>
      </c>
      <c r="R74" s="26">
        <v>1</v>
      </c>
      <c r="S74" s="31">
        <f t="shared" ref="S74:S79" si="11">SUM(D74+E74+F74+G74+H74+I74+L74+M74+N74+O74+P74+Q74+R74)</f>
        <v>6</v>
      </c>
    </row>
    <row r="75" spans="1:19" x14ac:dyDescent="0.2">
      <c r="A75" s="112" t="s">
        <v>386</v>
      </c>
      <c r="B75" s="26" t="s">
        <v>497</v>
      </c>
      <c r="C75" s="413">
        <f t="shared" si="8"/>
        <v>0</v>
      </c>
      <c r="D75" s="26">
        <v>3</v>
      </c>
      <c r="E75" s="26">
        <v>1</v>
      </c>
      <c r="F75" s="26">
        <v>1</v>
      </c>
      <c r="G75" s="26">
        <v>1</v>
      </c>
      <c r="H75" s="26">
        <v>1</v>
      </c>
      <c r="I75" s="26">
        <v>0</v>
      </c>
      <c r="J75" s="26" t="s">
        <v>497</v>
      </c>
      <c r="K75" s="413">
        <f t="shared" si="9"/>
        <v>0</v>
      </c>
      <c r="L75" s="26">
        <v>2</v>
      </c>
      <c r="M75" s="26">
        <v>1</v>
      </c>
      <c r="N75" s="26">
        <v>1</v>
      </c>
      <c r="O75" s="26">
        <v>3</v>
      </c>
      <c r="P75" s="26">
        <v>1</v>
      </c>
      <c r="Q75" s="26">
        <v>0</v>
      </c>
      <c r="R75" s="26">
        <v>2</v>
      </c>
      <c r="S75" s="31">
        <f t="shared" si="11"/>
        <v>17</v>
      </c>
    </row>
    <row r="76" spans="1:19" x14ac:dyDescent="0.2">
      <c r="A76" s="112" t="s">
        <v>387</v>
      </c>
      <c r="B76" s="26" t="s">
        <v>497</v>
      </c>
      <c r="C76" s="413">
        <f t="shared" si="8"/>
        <v>0</v>
      </c>
      <c r="D76" s="26">
        <v>0</v>
      </c>
      <c r="E76" s="26">
        <v>0</v>
      </c>
      <c r="F76" s="26">
        <v>0</v>
      </c>
      <c r="G76" s="26">
        <v>0</v>
      </c>
      <c r="H76" s="26">
        <v>0</v>
      </c>
      <c r="I76" s="26">
        <v>0</v>
      </c>
      <c r="J76" s="26" t="s">
        <v>497</v>
      </c>
      <c r="K76" s="413">
        <f t="shared" si="9"/>
        <v>0</v>
      </c>
      <c r="L76" s="26">
        <v>2</v>
      </c>
      <c r="M76" s="26">
        <v>1</v>
      </c>
      <c r="N76" s="26">
        <v>1</v>
      </c>
      <c r="O76" s="26">
        <v>4</v>
      </c>
      <c r="P76" s="26">
        <v>0</v>
      </c>
      <c r="Q76" s="26">
        <v>0</v>
      </c>
      <c r="R76" s="26">
        <v>1</v>
      </c>
      <c r="S76" s="31">
        <f t="shared" si="11"/>
        <v>9</v>
      </c>
    </row>
    <row r="77" spans="1:19" x14ac:dyDescent="0.2">
      <c r="A77" s="112" t="s">
        <v>388</v>
      </c>
      <c r="B77" s="26" t="s">
        <v>497</v>
      </c>
      <c r="C77" s="413">
        <f t="shared" si="8"/>
        <v>0</v>
      </c>
      <c r="D77" s="26">
        <v>0</v>
      </c>
      <c r="E77" s="26">
        <v>0</v>
      </c>
      <c r="F77" s="26">
        <v>2</v>
      </c>
      <c r="G77" s="26">
        <v>1</v>
      </c>
      <c r="H77" s="26">
        <v>0</v>
      </c>
      <c r="I77" s="26">
        <v>0</v>
      </c>
      <c r="J77" s="26" t="s">
        <v>497</v>
      </c>
      <c r="K77" s="413">
        <f t="shared" si="9"/>
        <v>0</v>
      </c>
      <c r="L77" s="26">
        <v>0</v>
      </c>
      <c r="M77" s="26">
        <v>0</v>
      </c>
      <c r="N77" s="26">
        <v>0</v>
      </c>
      <c r="O77" s="26">
        <v>1</v>
      </c>
      <c r="P77" s="26">
        <v>1</v>
      </c>
      <c r="Q77" s="26">
        <v>0</v>
      </c>
      <c r="R77" s="26">
        <v>0</v>
      </c>
      <c r="S77" s="31">
        <f t="shared" si="11"/>
        <v>5</v>
      </c>
    </row>
    <row r="78" spans="1:19" x14ac:dyDescent="0.2">
      <c r="A78" s="112" t="s">
        <v>389</v>
      </c>
      <c r="B78" s="26" t="s">
        <v>497</v>
      </c>
      <c r="C78" s="413">
        <f t="shared" si="8"/>
        <v>0</v>
      </c>
      <c r="D78" s="26">
        <v>2</v>
      </c>
      <c r="E78" s="26">
        <v>0</v>
      </c>
      <c r="F78" s="26">
        <v>2</v>
      </c>
      <c r="G78" s="26">
        <v>2</v>
      </c>
      <c r="H78" s="26">
        <v>2</v>
      </c>
      <c r="I78" s="26">
        <v>0</v>
      </c>
      <c r="J78" s="26" t="s">
        <v>497</v>
      </c>
      <c r="K78" s="413">
        <f t="shared" si="9"/>
        <v>0</v>
      </c>
      <c r="L78" s="26">
        <v>2</v>
      </c>
      <c r="M78" s="26">
        <v>1</v>
      </c>
      <c r="N78" s="26">
        <v>1</v>
      </c>
      <c r="O78" s="26">
        <v>1</v>
      </c>
      <c r="P78" s="26">
        <v>1</v>
      </c>
      <c r="Q78" s="26">
        <v>2</v>
      </c>
      <c r="R78" s="26">
        <v>1</v>
      </c>
      <c r="S78" s="31">
        <f t="shared" si="11"/>
        <v>17</v>
      </c>
    </row>
    <row r="79" spans="1:19" x14ac:dyDescent="0.2">
      <c r="A79" s="112" t="s">
        <v>390</v>
      </c>
      <c r="B79" s="26" t="s">
        <v>497</v>
      </c>
      <c r="C79" s="413">
        <f t="shared" si="8"/>
        <v>0</v>
      </c>
      <c r="D79" s="26">
        <v>0</v>
      </c>
      <c r="E79" s="26">
        <v>0</v>
      </c>
      <c r="F79" s="26">
        <v>2</v>
      </c>
      <c r="G79" s="26">
        <v>1</v>
      </c>
      <c r="H79" s="26">
        <v>1</v>
      </c>
      <c r="I79" s="26">
        <v>0</v>
      </c>
      <c r="J79" s="26" t="s">
        <v>497</v>
      </c>
      <c r="K79" s="413">
        <f t="shared" si="9"/>
        <v>0</v>
      </c>
      <c r="L79" s="26">
        <v>0</v>
      </c>
      <c r="M79" s="26">
        <v>1</v>
      </c>
      <c r="N79" s="26">
        <v>1</v>
      </c>
      <c r="O79" s="26">
        <v>2</v>
      </c>
      <c r="P79" s="26">
        <v>1</v>
      </c>
      <c r="Q79" s="26">
        <v>0</v>
      </c>
      <c r="R79" s="26">
        <v>2</v>
      </c>
      <c r="S79" s="31">
        <f t="shared" si="11"/>
        <v>11</v>
      </c>
    </row>
    <row r="80" spans="1:19" x14ac:dyDescent="0.2">
      <c r="A80" s="112" t="s">
        <v>392</v>
      </c>
      <c r="B80" s="26" t="s">
        <v>497</v>
      </c>
      <c r="C80" s="413">
        <f t="shared" si="8"/>
        <v>0</v>
      </c>
      <c r="D80" s="26">
        <v>0</v>
      </c>
      <c r="E80" s="26">
        <v>0</v>
      </c>
      <c r="F80" s="26">
        <v>0</v>
      </c>
      <c r="G80" s="26">
        <v>0</v>
      </c>
      <c r="H80" s="26">
        <v>0</v>
      </c>
      <c r="I80" s="26">
        <v>0</v>
      </c>
      <c r="J80" s="26" t="s">
        <v>497</v>
      </c>
      <c r="K80" s="413">
        <f t="shared" si="9"/>
        <v>0</v>
      </c>
      <c r="L80" s="26">
        <v>0</v>
      </c>
      <c r="M80" s="26">
        <v>0</v>
      </c>
      <c r="N80" s="26">
        <v>0</v>
      </c>
      <c r="O80" s="26">
        <v>0</v>
      </c>
      <c r="P80" s="26">
        <v>0</v>
      </c>
      <c r="Q80" s="26">
        <v>0</v>
      </c>
      <c r="R80" s="26">
        <v>0</v>
      </c>
      <c r="S80" s="31">
        <f>SUM(D80+E80+F80+G80+H80+I80+L80+M80+N80+O80+P80+Q80+R80)</f>
        <v>0</v>
      </c>
    </row>
    <row r="81" spans="1:19" x14ac:dyDescent="0.2">
      <c r="A81" s="112" t="s">
        <v>395</v>
      </c>
      <c r="B81" s="26" t="s">
        <v>497</v>
      </c>
      <c r="C81" s="413">
        <f t="shared" si="8"/>
        <v>0</v>
      </c>
      <c r="D81" s="26">
        <v>0</v>
      </c>
      <c r="E81" s="26">
        <v>0</v>
      </c>
      <c r="F81" s="26">
        <v>0</v>
      </c>
      <c r="G81" s="26">
        <v>0</v>
      </c>
      <c r="H81" s="26">
        <v>0</v>
      </c>
      <c r="I81" s="26">
        <v>0</v>
      </c>
      <c r="J81" s="26" t="s">
        <v>497</v>
      </c>
      <c r="K81" s="413">
        <f t="shared" si="9"/>
        <v>0</v>
      </c>
      <c r="L81" s="26">
        <v>0</v>
      </c>
      <c r="M81" s="26">
        <v>0</v>
      </c>
      <c r="N81" s="26">
        <v>0</v>
      </c>
      <c r="O81" s="26">
        <v>0</v>
      </c>
      <c r="P81" s="26">
        <v>0</v>
      </c>
      <c r="Q81" s="26">
        <v>0</v>
      </c>
      <c r="R81" s="26">
        <v>0</v>
      </c>
      <c r="S81" s="31">
        <f t="shared" ref="S81:S82" si="12">SUM(D81+E81+F81+G81+H81+I81+L81+M81+N81+O81+P81+Q81+R81)</f>
        <v>0</v>
      </c>
    </row>
    <row r="82" spans="1:19" x14ac:dyDescent="0.2">
      <c r="A82" s="112" t="s">
        <v>396</v>
      </c>
      <c r="B82" s="26" t="s">
        <v>497</v>
      </c>
      <c r="C82" s="413">
        <f t="shared" si="8"/>
        <v>0</v>
      </c>
      <c r="D82" s="26">
        <v>1</v>
      </c>
      <c r="E82" s="26">
        <v>0</v>
      </c>
      <c r="F82" s="26">
        <v>1</v>
      </c>
      <c r="G82" s="26">
        <v>2</v>
      </c>
      <c r="H82" s="26">
        <v>1</v>
      </c>
      <c r="I82" s="26">
        <v>0</v>
      </c>
      <c r="J82" s="26" t="s">
        <v>497</v>
      </c>
      <c r="K82" s="413">
        <f t="shared" si="9"/>
        <v>0</v>
      </c>
      <c r="L82" s="26">
        <v>1</v>
      </c>
      <c r="M82" s="26">
        <v>0</v>
      </c>
      <c r="N82" s="26">
        <v>1</v>
      </c>
      <c r="O82" s="26">
        <v>3</v>
      </c>
      <c r="P82" s="26">
        <v>1</v>
      </c>
      <c r="Q82" s="26">
        <v>0</v>
      </c>
      <c r="R82" s="26">
        <v>1</v>
      </c>
      <c r="S82" s="31">
        <f t="shared" si="12"/>
        <v>12</v>
      </c>
    </row>
    <row r="83" spans="1:19" x14ac:dyDescent="0.2">
      <c r="A83" s="112" t="s">
        <v>398</v>
      </c>
      <c r="B83" s="26" t="s">
        <v>497</v>
      </c>
      <c r="C83" s="413">
        <f t="shared" si="8"/>
        <v>0</v>
      </c>
      <c r="D83" s="26">
        <v>0</v>
      </c>
      <c r="E83" s="26">
        <v>0</v>
      </c>
      <c r="F83" s="26">
        <v>0</v>
      </c>
      <c r="G83" s="26">
        <v>0</v>
      </c>
      <c r="H83" s="26">
        <v>0</v>
      </c>
      <c r="I83" s="26">
        <v>0</v>
      </c>
      <c r="J83" s="26" t="s">
        <v>497</v>
      </c>
      <c r="K83" s="413">
        <f t="shared" si="9"/>
        <v>0</v>
      </c>
      <c r="L83" s="26">
        <v>0</v>
      </c>
      <c r="M83" s="26">
        <v>0</v>
      </c>
      <c r="N83" s="26">
        <v>1</v>
      </c>
      <c r="O83" s="26">
        <v>0</v>
      </c>
      <c r="P83" s="26">
        <v>1</v>
      </c>
      <c r="Q83" s="26">
        <v>0</v>
      </c>
      <c r="R83" s="26">
        <v>0</v>
      </c>
      <c r="S83" s="26"/>
    </row>
    <row r="84" spans="1:19" x14ac:dyDescent="0.2">
      <c r="A84" s="112" t="s">
        <v>401</v>
      </c>
      <c r="B84" s="26" t="s">
        <v>497</v>
      </c>
      <c r="C84" s="413">
        <f t="shared" si="8"/>
        <v>0</v>
      </c>
      <c r="D84" s="26">
        <v>0</v>
      </c>
      <c r="E84" s="26">
        <v>0</v>
      </c>
      <c r="F84" s="26">
        <v>1</v>
      </c>
      <c r="G84" s="26">
        <v>0</v>
      </c>
      <c r="H84" s="26">
        <v>0</v>
      </c>
      <c r="I84" s="26">
        <v>0</v>
      </c>
      <c r="J84" s="26" t="s">
        <v>145</v>
      </c>
      <c r="K84" s="413">
        <f t="shared" si="9"/>
        <v>0</v>
      </c>
      <c r="L84" s="26">
        <v>0</v>
      </c>
      <c r="M84" s="26">
        <v>0</v>
      </c>
      <c r="N84" s="26">
        <v>1</v>
      </c>
      <c r="O84" s="26">
        <v>1</v>
      </c>
      <c r="P84" s="26">
        <v>0</v>
      </c>
      <c r="Q84" s="26">
        <v>0</v>
      </c>
      <c r="R84" s="26">
        <v>0</v>
      </c>
      <c r="S84" s="31">
        <f t="shared" ref="S84:S86" si="13">SUM(D84+E84+F84+G84+H84+I84+L84+M84+N84+O84+P84+Q84+R84)</f>
        <v>3</v>
      </c>
    </row>
    <row r="85" spans="1:19" x14ac:dyDescent="0.2">
      <c r="A85" s="112" t="s">
        <v>402</v>
      </c>
      <c r="B85" s="26" t="s">
        <v>497</v>
      </c>
      <c r="C85" s="413">
        <f t="shared" si="8"/>
        <v>0</v>
      </c>
      <c r="D85" s="26">
        <v>1</v>
      </c>
      <c r="E85" s="26">
        <v>0</v>
      </c>
      <c r="F85" s="26">
        <v>0</v>
      </c>
      <c r="G85" s="26">
        <v>0</v>
      </c>
      <c r="H85" s="26">
        <v>0</v>
      </c>
      <c r="I85" s="26">
        <v>0</v>
      </c>
      <c r="J85" s="26" t="s">
        <v>497</v>
      </c>
      <c r="K85" s="413">
        <f t="shared" si="9"/>
        <v>0</v>
      </c>
      <c r="L85" s="26">
        <v>0</v>
      </c>
      <c r="M85" s="26">
        <v>0</v>
      </c>
      <c r="N85" s="26">
        <v>0</v>
      </c>
      <c r="O85" s="26">
        <v>0</v>
      </c>
      <c r="P85" s="26">
        <v>0</v>
      </c>
      <c r="Q85" s="26">
        <v>0</v>
      </c>
      <c r="R85" s="26">
        <v>1</v>
      </c>
      <c r="S85" s="31">
        <f t="shared" si="13"/>
        <v>2</v>
      </c>
    </row>
    <row r="86" spans="1:19" x14ac:dyDescent="0.2">
      <c r="A86" s="112" t="s">
        <v>403</v>
      </c>
      <c r="B86" s="26" t="s">
        <v>497</v>
      </c>
      <c r="C86" s="413">
        <f t="shared" si="8"/>
        <v>0</v>
      </c>
      <c r="D86" s="26">
        <v>0</v>
      </c>
      <c r="E86" s="26">
        <v>0</v>
      </c>
      <c r="F86" s="26">
        <v>1</v>
      </c>
      <c r="G86" s="26">
        <v>0</v>
      </c>
      <c r="H86" s="26">
        <v>0</v>
      </c>
      <c r="I86" s="26">
        <v>0</v>
      </c>
      <c r="J86" s="26" t="s">
        <v>497</v>
      </c>
      <c r="K86" s="413">
        <f t="shared" si="9"/>
        <v>0</v>
      </c>
      <c r="L86" s="26">
        <v>2</v>
      </c>
      <c r="M86" s="26">
        <v>2</v>
      </c>
      <c r="N86" s="26">
        <v>1</v>
      </c>
      <c r="O86" s="26">
        <v>2</v>
      </c>
      <c r="P86" s="26">
        <v>2</v>
      </c>
      <c r="Q86" s="26">
        <v>0</v>
      </c>
      <c r="R86" s="26">
        <v>1</v>
      </c>
      <c r="S86" s="31">
        <f t="shared" si="13"/>
        <v>11</v>
      </c>
    </row>
    <row r="87" spans="1:19" ht="16" x14ac:dyDescent="0.2">
      <c r="A87" s="124" t="s">
        <v>404</v>
      </c>
      <c r="B87" s="201" t="s">
        <v>145</v>
      </c>
      <c r="C87" s="413">
        <f t="shared" si="8"/>
        <v>0</v>
      </c>
      <c r="D87" s="199">
        <v>1</v>
      </c>
      <c r="E87" s="199">
        <v>0</v>
      </c>
      <c r="F87" s="199">
        <v>2</v>
      </c>
      <c r="G87" s="199">
        <v>2</v>
      </c>
      <c r="H87" s="199">
        <v>1</v>
      </c>
      <c r="I87" s="199">
        <v>0</v>
      </c>
      <c r="J87" s="199" t="s">
        <v>145</v>
      </c>
      <c r="K87" s="413">
        <f t="shared" si="9"/>
        <v>0</v>
      </c>
      <c r="L87" s="199">
        <v>2</v>
      </c>
      <c r="M87" s="199">
        <v>2</v>
      </c>
      <c r="N87" s="199">
        <v>1</v>
      </c>
      <c r="O87" s="199">
        <v>1</v>
      </c>
      <c r="P87" s="199">
        <v>0</v>
      </c>
      <c r="Q87" s="199">
        <v>2</v>
      </c>
      <c r="R87" s="199">
        <v>1</v>
      </c>
      <c r="S87" s="202">
        <v>15</v>
      </c>
    </row>
    <row r="88" spans="1:19" x14ac:dyDescent="0.2">
      <c r="A88" s="127" t="s">
        <v>405</v>
      </c>
      <c r="B88" s="128" t="s">
        <v>145</v>
      </c>
      <c r="C88" s="413">
        <f t="shared" si="8"/>
        <v>0</v>
      </c>
      <c r="D88" s="129">
        <v>0</v>
      </c>
      <c r="E88" s="129">
        <v>0</v>
      </c>
      <c r="F88" s="129">
        <v>1</v>
      </c>
      <c r="G88" s="129">
        <v>0</v>
      </c>
      <c r="H88" s="129">
        <v>2</v>
      </c>
      <c r="I88" s="129">
        <v>0</v>
      </c>
      <c r="J88" s="129" t="s">
        <v>145</v>
      </c>
      <c r="K88" s="413">
        <f t="shared" si="9"/>
        <v>0</v>
      </c>
      <c r="L88" s="129">
        <v>3</v>
      </c>
      <c r="M88" s="129">
        <v>3</v>
      </c>
      <c r="N88" s="129">
        <v>2</v>
      </c>
      <c r="O88" s="129">
        <v>0</v>
      </c>
      <c r="P88" s="129">
        <v>0</v>
      </c>
      <c r="Q88" s="129">
        <v>2</v>
      </c>
      <c r="R88" s="129">
        <v>3</v>
      </c>
      <c r="S88" s="202">
        <v>16</v>
      </c>
    </row>
    <row r="89" spans="1:19" ht="16" x14ac:dyDescent="0.2">
      <c r="A89" s="127" t="s">
        <v>406</v>
      </c>
      <c r="B89" s="201" t="s">
        <v>145</v>
      </c>
      <c r="C89" s="413">
        <f t="shared" si="8"/>
        <v>0</v>
      </c>
      <c r="D89" s="199">
        <v>0</v>
      </c>
      <c r="E89" s="199">
        <v>0</v>
      </c>
      <c r="F89" s="199">
        <v>1</v>
      </c>
      <c r="G89" s="199">
        <v>0</v>
      </c>
      <c r="H89" s="199">
        <v>0</v>
      </c>
      <c r="I89" s="199">
        <v>0</v>
      </c>
      <c r="J89" s="199" t="s">
        <v>145</v>
      </c>
      <c r="K89" s="413">
        <f t="shared" si="9"/>
        <v>0</v>
      </c>
      <c r="L89" s="199">
        <v>1</v>
      </c>
      <c r="M89" s="199">
        <v>0</v>
      </c>
      <c r="N89" s="199">
        <v>1</v>
      </c>
      <c r="O89" s="199">
        <v>0</v>
      </c>
      <c r="P89" s="199">
        <v>3</v>
      </c>
      <c r="Q89" s="199">
        <v>0</v>
      </c>
      <c r="R89" s="199">
        <v>0</v>
      </c>
      <c r="S89" s="202">
        <v>6</v>
      </c>
    </row>
    <row r="90" spans="1:19" x14ac:dyDescent="0.2">
      <c r="A90" s="127" t="s">
        <v>407</v>
      </c>
      <c r="B90" s="128" t="s">
        <v>145</v>
      </c>
      <c r="C90" s="413">
        <f t="shared" si="8"/>
        <v>0</v>
      </c>
      <c r="D90" s="129">
        <v>1</v>
      </c>
      <c r="E90" s="129">
        <v>0</v>
      </c>
      <c r="F90" s="129">
        <v>0</v>
      </c>
      <c r="G90" s="129">
        <v>1</v>
      </c>
      <c r="H90" s="129">
        <v>1</v>
      </c>
      <c r="I90" s="129">
        <v>0</v>
      </c>
      <c r="J90" s="129" t="s">
        <v>145</v>
      </c>
      <c r="K90" s="413">
        <f t="shared" si="9"/>
        <v>0</v>
      </c>
      <c r="L90" s="129">
        <v>2</v>
      </c>
      <c r="M90" s="129">
        <v>1</v>
      </c>
      <c r="N90" s="129">
        <v>1</v>
      </c>
      <c r="O90" s="129">
        <v>1</v>
      </c>
      <c r="P90" s="129">
        <v>0</v>
      </c>
      <c r="Q90" s="129">
        <v>1</v>
      </c>
      <c r="R90" s="129">
        <v>1</v>
      </c>
      <c r="S90" s="202">
        <v>10</v>
      </c>
    </row>
    <row r="91" spans="1:19" ht="16" x14ac:dyDescent="0.2">
      <c r="A91" s="132" t="s">
        <v>408</v>
      </c>
      <c r="B91" s="201" t="s">
        <v>145</v>
      </c>
      <c r="C91" s="413">
        <f t="shared" si="8"/>
        <v>0</v>
      </c>
      <c r="D91" s="199">
        <v>1</v>
      </c>
      <c r="E91" s="199">
        <v>1</v>
      </c>
      <c r="F91" s="199">
        <v>1</v>
      </c>
      <c r="G91" s="199">
        <v>1</v>
      </c>
      <c r="H91" s="199">
        <v>1</v>
      </c>
      <c r="I91" s="199">
        <v>0</v>
      </c>
      <c r="J91" s="199" t="s">
        <v>145</v>
      </c>
      <c r="K91" s="413">
        <f t="shared" si="9"/>
        <v>0</v>
      </c>
      <c r="L91" s="199">
        <v>0</v>
      </c>
      <c r="M91" s="199">
        <v>0</v>
      </c>
      <c r="N91" s="199">
        <v>1</v>
      </c>
      <c r="O91" s="199">
        <v>0</v>
      </c>
      <c r="P91" s="199">
        <v>0</v>
      </c>
      <c r="Q91" s="199">
        <v>0</v>
      </c>
      <c r="R91" s="199">
        <v>0</v>
      </c>
      <c r="S91" s="202">
        <v>6</v>
      </c>
    </row>
    <row r="92" spans="1:19" x14ac:dyDescent="0.2">
      <c r="A92" s="127" t="s">
        <v>409</v>
      </c>
      <c r="B92" s="128" t="s">
        <v>145</v>
      </c>
      <c r="C92" s="413">
        <f t="shared" si="8"/>
        <v>0</v>
      </c>
      <c r="D92" s="129">
        <v>0</v>
      </c>
      <c r="E92" s="129">
        <v>0</v>
      </c>
      <c r="F92" s="129">
        <v>0</v>
      </c>
      <c r="G92" s="129">
        <v>0</v>
      </c>
      <c r="H92" s="129">
        <v>0</v>
      </c>
      <c r="I92" s="129">
        <v>0</v>
      </c>
      <c r="J92" s="129" t="s">
        <v>145</v>
      </c>
      <c r="K92" s="413">
        <f t="shared" si="9"/>
        <v>0</v>
      </c>
      <c r="L92" s="129">
        <v>0</v>
      </c>
      <c r="M92" s="129">
        <v>0</v>
      </c>
      <c r="N92" s="129">
        <v>0</v>
      </c>
      <c r="O92" s="129">
        <v>0</v>
      </c>
      <c r="P92" s="129">
        <v>0</v>
      </c>
      <c r="Q92" s="129">
        <v>0</v>
      </c>
      <c r="R92" s="129">
        <v>1</v>
      </c>
      <c r="S92" s="202">
        <v>1</v>
      </c>
    </row>
    <row r="93" spans="1:19" x14ac:dyDescent="0.2">
      <c r="A93" s="127" t="s">
        <v>410</v>
      </c>
      <c r="B93" s="128" t="s">
        <v>145</v>
      </c>
      <c r="C93" s="413">
        <f t="shared" si="8"/>
        <v>0</v>
      </c>
      <c r="D93" s="129">
        <v>0</v>
      </c>
      <c r="E93" s="129">
        <v>0</v>
      </c>
      <c r="F93" s="129">
        <v>0</v>
      </c>
      <c r="G93" s="129">
        <v>0</v>
      </c>
      <c r="H93" s="129">
        <v>2</v>
      </c>
      <c r="I93" s="129">
        <v>0</v>
      </c>
      <c r="J93" s="129" t="s">
        <v>145</v>
      </c>
      <c r="K93" s="413">
        <f t="shared" si="9"/>
        <v>0</v>
      </c>
      <c r="L93" s="129">
        <v>1</v>
      </c>
      <c r="M93" s="129">
        <v>1</v>
      </c>
      <c r="N93" s="129">
        <v>2</v>
      </c>
      <c r="O93" s="129">
        <v>0</v>
      </c>
      <c r="P93" s="129">
        <v>0</v>
      </c>
      <c r="Q93" s="129">
        <v>0</v>
      </c>
      <c r="R93" s="129">
        <v>0</v>
      </c>
      <c r="S93" s="202">
        <v>6</v>
      </c>
    </row>
    <row r="94" spans="1:19" ht="16" x14ac:dyDescent="0.2">
      <c r="A94" s="133" t="s">
        <v>411</v>
      </c>
      <c r="B94" s="128" t="s">
        <v>145</v>
      </c>
      <c r="C94" s="413">
        <f t="shared" si="8"/>
        <v>0</v>
      </c>
      <c r="D94" s="125">
        <v>1</v>
      </c>
      <c r="E94" s="126">
        <v>0</v>
      </c>
      <c r="F94" s="126">
        <v>2</v>
      </c>
      <c r="G94" s="126">
        <v>2</v>
      </c>
      <c r="H94" s="126">
        <v>1</v>
      </c>
      <c r="I94" s="126">
        <v>0</v>
      </c>
      <c r="J94" s="126" t="s">
        <v>145</v>
      </c>
      <c r="K94" s="413">
        <f t="shared" si="9"/>
        <v>0</v>
      </c>
      <c r="L94" s="126">
        <v>1</v>
      </c>
      <c r="M94" s="126">
        <v>0</v>
      </c>
      <c r="N94" s="126">
        <v>2</v>
      </c>
      <c r="O94" s="126">
        <v>1</v>
      </c>
      <c r="P94" s="126">
        <v>1</v>
      </c>
      <c r="Q94" s="126">
        <v>1</v>
      </c>
      <c r="R94" s="126">
        <v>2</v>
      </c>
      <c r="S94" s="205">
        <v>14</v>
      </c>
    </row>
    <row r="95" spans="1:19" x14ac:dyDescent="0.2">
      <c r="A95" s="136" t="s">
        <v>412</v>
      </c>
      <c r="B95" s="125" t="s">
        <v>145</v>
      </c>
      <c r="C95" s="413">
        <f t="shared" si="8"/>
        <v>0</v>
      </c>
      <c r="D95" s="126">
        <v>0</v>
      </c>
      <c r="E95" s="126">
        <v>0</v>
      </c>
      <c r="F95" s="126">
        <v>1</v>
      </c>
      <c r="G95" s="126">
        <v>1</v>
      </c>
      <c r="H95" s="126">
        <v>1</v>
      </c>
      <c r="I95" s="126">
        <v>0</v>
      </c>
      <c r="J95" s="126" t="s">
        <v>145</v>
      </c>
      <c r="K95" s="413">
        <f t="shared" si="9"/>
        <v>0</v>
      </c>
      <c r="L95" s="126">
        <v>1</v>
      </c>
      <c r="M95" s="126">
        <v>1</v>
      </c>
      <c r="N95" s="126">
        <v>1</v>
      </c>
      <c r="O95" s="126">
        <v>1</v>
      </c>
      <c r="P95" s="126">
        <v>1</v>
      </c>
      <c r="Q95" s="126">
        <v>1</v>
      </c>
      <c r="R95" s="126">
        <v>1</v>
      </c>
      <c r="S95" s="205">
        <v>10</v>
      </c>
    </row>
    <row r="96" spans="1:19" x14ac:dyDescent="0.2">
      <c r="A96" s="136" t="s">
        <v>413</v>
      </c>
      <c r="B96" s="186" t="s">
        <v>721</v>
      </c>
      <c r="C96" s="413">
        <f t="shared" si="8"/>
        <v>2</v>
      </c>
      <c r="D96" s="129">
        <v>2</v>
      </c>
      <c r="E96" s="129">
        <v>0</v>
      </c>
      <c r="F96" s="129">
        <v>2</v>
      </c>
      <c r="G96" s="129">
        <v>2</v>
      </c>
      <c r="H96" s="129">
        <v>2</v>
      </c>
      <c r="I96" s="129">
        <v>0</v>
      </c>
      <c r="J96" s="129" t="s">
        <v>504</v>
      </c>
      <c r="K96" s="413">
        <f t="shared" si="9"/>
        <v>0</v>
      </c>
      <c r="L96" s="129">
        <v>2</v>
      </c>
      <c r="M96" s="129">
        <v>2</v>
      </c>
      <c r="N96" s="129">
        <v>2</v>
      </c>
      <c r="O96" s="129">
        <v>2</v>
      </c>
      <c r="P96" s="129">
        <v>2</v>
      </c>
      <c r="Q96" s="129">
        <v>0</v>
      </c>
      <c r="R96" s="129">
        <v>1</v>
      </c>
      <c r="S96" s="202">
        <v>19</v>
      </c>
    </row>
    <row r="97" spans="1:19" ht="16" thickBot="1" x14ac:dyDescent="0.25">
      <c r="A97" s="136" t="s">
        <v>414</v>
      </c>
      <c r="B97" s="137" t="s">
        <v>145</v>
      </c>
      <c r="C97" s="413">
        <f t="shared" si="8"/>
        <v>0</v>
      </c>
      <c r="D97" s="138">
        <v>1</v>
      </c>
      <c r="E97" s="138">
        <v>0</v>
      </c>
      <c r="F97" s="138">
        <v>1</v>
      </c>
      <c r="G97" s="138">
        <v>1</v>
      </c>
      <c r="H97" s="138">
        <v>1</v>
      </c>
      <c r="I97" s="138">
        <v>1</v>
      </c>
      <c r="J97" s="138" t="s">
        <v>505</v>
      </c>
      <c r="K97" s="413">
        <f t="shared" si="9"/>
        <v>2</v>
      </c>
      <c r="L97" s="138">
        <v>2</v>
      </c>
      <c r="M97" s="138">
        <v>1</v>
      </c>
      <c r="N97" s="138">
        <v>0</v>
      </c>
      <c r="O97" s="138">
        <v>2</v>
      </c>
      <c r="P97" s="138">
        <v>1</v>
      </c>
      <c r="Q97" s="138">
        <v>0</v>
      </c>
      <c r="R97" s="138">
        <v>2</v>
      </c>
      <c r="S97" s="208">
        <v>13</v>
      </c>
    </row>
    <row r="98" spans="1:19" ht="16" x14ac:dyDescent="0.2">
      <c r="A98" s="139" t="s">
        <v>415</v>
      </c>
      <c r="B98" s="162" t="s">
        <v>145</v>
      </c>
      <c r="C98" s="413">
        <f t="shared" si="8"/>
        <v>0</v>
      </c>
      <c r="D98" s="163">
        <v>2</v>
      </c>
      <c r="E98" s="163">
        <v>0</v>
      </c>
      <c r="F98" s="163">
        <v>0</v>
      </c>
      <c r="G98" s="163">
        <v>0</v>
      </c>
      <c r="H98" s="163">
        <v>1</v>
      </c>
      <c r="I98" s="163">
        <v>0</v>
      </c>
      <c r="J98" s="163" t="s">
        <v>145</v>
      </c>
      <c r="K98" s="413">
        <f t="shared" si="9"/>
        <v>0</v>
      </c>
      <c r="L98" s="163">
        <v>1</v>
      </c>
      <c r="M98" s="163">
        <v>1</v>
      </c>
      <c r="N98" s="163">
        <v>0</v>
      </c>
      <c r="O98" s="163">
        <v>2</v>
      </c>
      <c r="P98" s="163">
        <v>2</v>
      </c>
      <c r="Q98" s="163">
        <v>0</v>
      </c>
      <c r="R98" s="163">
        <v>1</v>
      </c>
      <c r="S98" s="205">
        <v>10</v>
      </c>
    </row>
    <row r="99" spans="1:19" ht="16" x14ac:dyDescent="0.2">
      <c r="A99" s="139" t="s">
        <v>416</v>
      </c>
      <c r="B99" s="186" t="s">
        <v>721</v>
      </c>
      <c r="C99" s="413">
        <f t="shared" si="8"/>
        <v>2</v>
      </c>
      <c r="D99" s="199">
        <v>1</v>
      </c>
      <c r="E99" s="199">
        <v>0</v>
      </c>
      <c r="F99" s="199">
        <v>1</v>
      </c>
      <c r="G99" s="199">
        <v>1</v>
      </c>
      <c r="H99" s="199">
        <v>1</v>
      </c>
      <c r="I99" s="199">
        <v>0</v>
      </c>
      <c r="J99" s="186" t="s">
        <v>721</v>
      </c>
      <c r="K99" s="413">
        <f t="shared" si="9"/>
        <v>2</v>
      </c>
      <c r="L99" s="199">
        <v>0</v>
      </c>
      <c r="M99" s="199">
        <v>0</v>
      </c>
      <c r="N99" s="199">
        <v>1</v>
      </c>
      <c r="O99" s="199">
        <v>0</v>
      </c>
      <c r="P99" s="199">
        <v>2</v>
      </c>
      <c r="Q99" s="199">
        <v>1</v>
      </c>
      <c r="R99" s="199">
        <v>1</v>
      </c>
      <c r="S99" s="202">
        <v>9</v>
      </c>
    </row>
    <row r="100" spans="1:19" ht="16" x14ac:dyDescent="0.2">
      <c r="A100" s="139" t="s">
        <v>417</v>
      </c>
      <c r="B100" s="201" t="s">
        <v>145</v>
      </c>
      <c r="C100" s="413">
        <f t="shared" si="8"/>
        <v>0</v>
      </c>
      <c r="D100" s="199">
        <v>2</v>
      </c>
      <c r="E100" s="199">
        <v>0</v>
      </c>
      <c r="F100" s="199">
        <v>0</v>
      </c>
      <c r="G100" s="199">
        <v>0</v>
      </c>
      <c r="H100" s="199">
        <v>0</v>
      </c>
      <c r="I100" s="199">
        <v>0</v>
      </c>
      <c r="J100" s="199" t="s">
        <v>145</v>
      </c>
      <c r="K100" s="413">
        <f t="shared" si="9"/>
        <v>0</v>
      </c>
      <c r="L100" s="199">
        <v>0</v>
      </c>
      <c r="M100" s="199">
        <v>0</v>
      </c>
      <c r="N100" s="199">
        <v>0</v>
      </c>
      <c r="O100" s="199">
        <v>0</v>
      </c>
      <c r="P100" s="199">
        <v>0</v>
      </c>
      <c r="Q100" s="199">
        <v>0</v>
      </c>
      <c r="R100" s="199">
        <v>1</v>
      </c>
      <c r="S100" s="202">
        <v>3</v>
      </c>
    </row>
    <row r="101" spans="1:19" ht="16" x14ac:dyDescent="0.2">
      <c r="A101" s="139" t="s">
        <v>418</v>
      </c>
      <c r="B101" s="209" t="s">
        <v>497</v>
      </c>
      <c r="C101" s="413">
        <f t="shared" si="8"/>
        <v>0</v>
      </c>
      <c r="D101" s="210">
        <v>1</v>
      </c>
      <c r="E101" s="210">
        <v>0</v>
      </c>
      <c r="F101" s="210">
        <v>1</v>
      </c>
      <c r="G101" s="210">
        <v>1</v>
      </c>
      <c r="H101" s="210">
        <v>1</v>
      </c>
      <c r="I101" s="210">
        <v>0</v>
      </c>
      <c r="J101" s="210" t="s">
        <v>497</v>
      </c>
      <c r="K101" s="413">
        <f t="shared" si="9"/>
        <v>0</v>
      </c>
      <c r="L101" s="210">
        <v>0</v>
      </c>
      <c r="M101" s="210">
        <v>1</v>
      </c>
      <c r="N101" s="210">
        <v>0</v>
      </c>
      <c r="O101" s="210">
        <v>1</v>
      </c>
      <c r="P101" s="210">
        <v>0</v>
      </c>
      <c r="Q101" s="210">
        <v>1</v>
      </c>
      <c r="R101" s="210">
        <v>1</v>
      </c>
      <c r="S101" s="213">
        <v>8</v>
      </c>
    </row>
    <row r="102" spans="1:19" ht="16" x14ac:dyDescent="0.2">
      <c r="A102" s="139" t="s">
        <v>419</v>
      </c>
      <c r="B102" s="201" t="s">
        <v>145</v>
      </c>
      <c r="C102" s="413">
        <f t="shared" si="8"/>
        <v>0</v>
      </c>
      <c r="D102" s="199">
        <v>2</v>
      </c>
      <c r="E102" s="199">
        <v>0</v>
      </c>
      <c r="F102" s="199">
        <v>2</v>
      </c>
      <c r="G102" s="199">
        <v>2</v>
      </c>
      <c r="H102" s="199">
        <v>0</v>
      </c>
      <c r="I102" s="199">
        <v>0</v>
      </c>
      <c r="J102" s="199" t="s">
        <v>145</v>
      </c>
      <c r="K102" s="413">
        <f t="shared" si="9"/>
        <v>0</v>
      </c>
      <c r="L102" s="199">
        <v>0</v>
      </c>
      <c r="M102" s="199">
        <v>0</v>
      </c>
      <c r="N102" s="199">
        <v>1</v>
      </c>
      <c r="O102" s="199">
        <v>0</v>
      </c>
      <c r="P102" s="199">
        <v>0</v>
      </c>
      <c r="Q102" s="199">
        <v>0</v>
      </c>
      <c r="R102" s="199">
        <v>0</v>
      </c>
      <c r="S102" s="199">
        <v>7</v>
      </c>
    </row>
    <row r="103" spans="1:19" ht="16" x14ac:dyDescent="0.2">
      <c r="A103" s="139" t="s">
        <v>420</v>
      </c>
      <c r="B103" s="201" t="s">
        <v>145</v>
      </c>
      <c r="C103" s="413">
        <f t="shared" si="8"/>
        <v>0</v>
      </c>
      <c r="D103" s="129">
        <v>1</v>
      </c>
      <c r="E103" s="129">
        <v>0</v>
      </c>
      <c r="F103" s="129">
        <v>0</v>
      </c>
      <c r="G103" s="129">
        <v>1</v>
      </c>
      <c r="H103" s="129">
        <v>1</v>
      </c>
      <c r="I103" s="199">
        <v>0</v>
      </c>
      <c r="J103" s="199" t="s">
        <v>145</v>
      </c>
      <c r="K103" s="413">
        <f t="shared" si="9"/>
        <v>0</v>
      </c>
      <c r="L103" s="129">
        <v>1</v>
      </c>
      <c r="M103" s="129">
        <v>0</v>
      </c>
      <c r="N103" s="129">
        <v>0</v>
      </c>
      <c r="O103" s="129">
        <v>0</v>
      </c>
      <c r="P103" s="129">
        <v>1</v>
      </c>
      <c r="Q103" s="129">
        <v>0</v>
      </c>
      <c r="R103" s="129">
        <v>1</v>
      </c>
      <c r="S103" s="202">
        <v>6</v>
      </c>
    </row>
    <row r="104" spans="1:19" ht="16" x14ac:dyDescent="0.2">
      <c r="A104" s="139" t="s">
        <v>421</v>
      </c>
      <c r="B104" s="201" t="s">
        <v>145</v>
      </c>
      <c r="C104" s="413">
        <f t="shared" si="8"/>
        <v>0</v>
      </c>
      <c r="D104" s="199">
        <v>1</v>
      </c>
      <c r="E104" s="199">
        <v>0</v>
      </c>
      <c r="F104" s="199">
        <v>1</v>
      </c>
      <c r="G104" s="199">
        <v>1</v>
      </c>
      <c r="H104" s="199">
        <v>0</v>
      </c>
      <c r="I104" s="199">
        <v>0</v>
      </c>
      <c r="J104" s="199" t="s">
        <v>145</v>
      </c>
      <c r="K104" s="413">
        <f t="shared" si="9"/>
        <v>0</v>
      </c>
      <c r="L104" s="199">
        <v>1</v>
      </c>
      <c r="M104" s="199">
        <v>0</v>
      </c>
      <c r="N104" s="199">
        <v>1</v>
      </c>
      <c r="O104" s="199">
        <v>1</v>
      </c>
      <c r="P104" s="199">
        <v>0</v>
      </c>
      <c r="Q104" s="199">
        <v>0</v>
      </c>
      <c r="R104" s="199">
        <v>0</v>
      </c>
      <c r="S104" s="199">
        <v>6</v>
      </c>
    </row>
    <row r="105" spans="1:19" ht="16" x14ac:dyDescent="0.2">
      <c r="A105" s="139" t="s">
        <v>422</v>
      </c>
      <c r="B105" s="201" t="s">
        <v>145</v>
      </c>
      <c r="C105" s="413">
        <f t="shared" si="8"/>
        <v>0</v>
      </c>
      <c r="D105" s="129">
        <v>2</v>
      </c>
      <c r="E105" s="129">
        <v>0</v>
      </c>
      <c r="F105" s="129">
        <v>0</v>
      </c>
      <c r="G105" s="129">
        <v>1</v>
      </c>
      <c r="H105" s="129">
        <v>1</v>
      </c>
      <c r="I105" s="199">
        <v>0</v>
      </c>
      <c r="J105" s="199" t="s">
        <v>145</v>
      </c>
      <c r="K105" s="413">
        <f t="shared" si="9"/>
        <v>0</v>
      </c>
      <c r="L105" s="129">
        <v>1</v>
      </c>
      <c r="M105" s="129">
        <v>1</v>
      </c>
      <c r="N105" s="129">
        <v>1</v>
      </c>
      <c r="O105" s="129">
        <v>1</v>
      </c>
      <c r="P105" s="129">
        <v>1</v>
      </c>
      <c r="Q105" s="129">
        <v>0</v>
      </c>
      <c r="R105" s="129">
        <v>2</v>
      </c>
      <c r="S105" s="202">
        <v>11</v>
      </c>
    </row>
    <row r="106" spans="1:19" ht="16" x14ac:dyDescent="0.2">
      <c r="A106" s="139" t="s">
        <v>423</v>
      </c>
      <c r="B106" s="201" t="s">
        <v>145</v>
      </c>
      <c r="C106" s="413">
        <f t="shared" si="8"/>
        <v>0</v>
      </c>
      <c r="D106" s="129">
        <v>2</v>
      </c>
      <c r="E106" s="129">
        <v>0</v>
      </c>
      <c r="F106" s="129">
        <v>1</v>
      </c>
      <c r="G106" s="129">
        <v>1</v>
      </c>
      <c r="H106" s="129">
        <v>0</v>
      </c>
      <c r="I106" s="199">
        <v>0</v>
      </c>
      <c r="J106" s="199" t="s">
        <v>145</v>
      </c>
      <c r="K106" s="413">
        <f t="shared" si="9"/>
        <v>0</v>
      </c>
      <c r="L106" s="129">
        <v>2</v>
      </c>
      <c r="M106" s="129">
        <v>0</v>
      </c>
      <c r="N106" s="129">
        <v>1</v>
      </c>
      <c r="O106" s="129">
        <v>1</v>
      </c>
      <c r="P106" s="129">
        <v>2</v>
      </c>
      <c r="Q106" s="129">
        <v>0</v>
      </c>
      <c r="R106" s="129">
        <v>1</v>
      </c>
      <c r="S106" s="202">
        <v>11</v>
      </c>
    </row>
    <row r="107" spans="1:19" ht="16" x14ac:dyDescent="0.2">
      <c r="A107" s="124" t="s">
        <v>424</v>
      </c>
      <c r="B107" s="201" t="s">
        <v>145</v>
      </c>
      <c r="C107" s="413">
        <f t="shared" si="8"/>
        <v>0</v>
      </c>
      <c r="D107" s="125">
        <v>2</v>
      </c>
      <c r="E107" s="126">
        <v>0</v>
      </c>
      <c r="F107" s="126">
        <v>1</v>
      </c>
      <c r="G107" s="126">
        <v>1</v>
      </c>
      <c r="H107" s="126">
        <v>1</v>
      </c>
      <c r="I107" s="214">
        <v>0</v>
      </c>
      <c r="J107" s="126" t="s">
        <v>504</v>
      </c>
      <c r="K107" s="413">
        <f t="shared" si="9"/>
        <v>0</v>
      </c>
      <c r="L107" s="126">
        <v>3</v>
      </c>
      <c r="M107" s="126">
        <v>2</v>
      </c>
      <c r="N107" s="126">
        <v>0</v>
      </c>
      <c r="O107" s="126">
        <v>1</v>
      </c>
      <c r="P107" s="126">
        <v>1</v>
      </c>
      <c r="Q107" s="126">
        <v>0</v>
      </c>
      <c r="R107" s="126">
        <v>1</v>
      </c>
      <c r="S107" s="205">
        <v>13</v>
      </c>
    </row>
    <row r="108" spans="1:19" ht="16" x14ac:dyDescent="0.2">
      <c r="A108" s="139" t="s">
        <v>425</v>
      </c>
      <c r="B108" s="201" t="s">
        <v>145</v>
      </c>
      <c r="C108" s="413">
        <f t="shared" si="8"/>
        <v>0</v>
      </c>
      <c r="D108" s="129">
        <v>1</v>
      </c>
      <c r="E108" s="129">
        <v>0</v>
      </c>
      <c r="F108" s="129">
        <v>1</v>
      </c>
      <c r="G108" s="129">
        <v>1</v>
      </c>
      <c r="H108" s="129">
        <v>1</v>
      </c>
      <c r="I108" s="199">
        <v>0</v>
      </c>
      <c r="J108" s="199" t="s">
        <v>145</v>
      </c>
      <c r="K108" s="413">
        <f t="shared" si="9"/>
        <v>0</v>
      </c>
      <c r="L108" s="129">
        <v>2</v>
      </c>
      <c r="M108" s="129">
        <v>2</v>
      </c>
      <c r="N108" s="129">
        <v>1</v>
      </c>
      <c r="O108" s="129">
        <v>1</v>
      </c>
      <c r="P108" s="129">
        <v>1</v>
      </c>
      <c r="Q108" s="129">
        <v>0</v>
      </c>
      <c r="R108" s="129">
        <v>2</v>
      </c>
      <c r="S108" s="202">
        <v>13</v>
      </c>
    </row>
    <row r="109" spans="1:19" ht="16" x14ac:dyDescent="0.2">
      <c r="A109" s="139" t="s">
        <v>426</v>
      </c>
      <c r="B109" s="186" t="s">
        <v>721</v>
      </c>
      <c r="C109" s="413">
        <f t="shared" si="8"/>
        <v>2</v>
      </c>
      <c r="D109" s="129">
        <v>3</v>
      </c>
      <c r="E109" s="129">
        <v>1</v>
      </c>
      <c r="F109" s="129">
        <v>1</v>
      </c>
      <c r="G109" s="129">
        <v>0</v>
      </c>
      <c r="H109" s="129">
        <v>2</v>
      </c>
      <c r="I109" s="199">
        <v>0</v>
      </c>
      <c r="J109" s="186" t="s">
        <v>721</v>
      </c>
      <c r="K109" s="413">
        <f t="shared" si="9"/>
        <v>2</v>
      </c>
      <c r="L109" s="129">
        <v>2</v>
      </c>
      <c r="M109" s="129">
        <v>2</v>
      </c>
      <c r="N109" s="129">
        <v>1</v>
      </c>
      <c r="O109" s="129">
        <v>2</v>
      </c>
      <c r="P109" s="129">
        <v>2</v>
      </c>
      <c r="Q109" s="129">
        <v>0</v>
      </c>
      <c r="R109" s="129">
        <v>2</v>
      </c>
      <c r="S109" s="202">
        <v>18</v>
      </c>
    </row>
    <row r="110" spans="1:19" ht="16" x14ac:dyDescent="0.2">
      <c r="A110" s="149" t="s">
        <v>427</v>
      </c>
      <c r="B110" s="201" t="s">
        <v>145</v>
      </c>
      <c r="C110" s="413">
        <f t="shared" si="8"/>
        <v>0</v>
      </c>
      <c r="D110" s="129">
        <v>1</v>
      </c>
      <c r="E110" s="129">
        <v>0</v>
      </c>
      <c r="F110" s="129">
        <v>0</v>
      </c>
      <c r="G110" s="129">
        <v>1</v>
      </c>
      <c r="H110" s="129">
        <v>1</v>
      </c>
      <c r="I110" s="199">
        <v>0</v>
      </c>
      <c r="J110" s="199" t="s">
        <v>145</v>
      </c>
      <c r="K110" s="413">
        <f t="shared" si="9"/>
        <v>0</v>
      </c>
      <c r="L110" s="129">
        <v>1</v>
      </c>
      <c r="M110" s="129">
        <v>1</v>
      </c>
      <c r="N110" s="129">
        <v>2</v>
      </c>
      <c r="O110" s="129">
        <v>1</v>
      </c>
      <c r="P110" s="129">
        <v>2</v>
      </c>
      <c r="Q110" s="129">
        <v>0</v>
      </c>
      <c r="R110" s="129">
        <v>2</v>
      </c>
      <c r="S110" s="202">
        <v>12</v>
      </c>
    </row>
    <row r="111" spans="1:19" ht="16" x14ac:dyDescent="0.2">
      <c r="A111" s="151" t="s">
        <v>428</v>
      </c>
      <c r="B111" s="201" t="s">
        <v>145</v>
      </c>
      <c r="C111" s="413">
        <f t="shared" si="8"/>
        <v>0</v>
      </c>
      <c r="D111" s="125">
        <v>1</v>
      </c>
      <c r="E111" s="126">
        <v>0</v>
      </c>
      <c r="F111" s="126">
        <v>0</v>
      </c>
      <c r="G111" s="126">
        <v>1</v>
      </c>
      <c r="H111" s="126">
        <v>0</v>
      </c>
      <c r="I111" s="214">
        <v>0</v>
      </c>
      <c r="J111" s="214" t="s">
        <v>145</v>
      </c>
      <c r="K111" s="413">
        <f t="shared" si="9"/>
        <v>0</v>
      </c>
      <c r="L111" s="126">
        <v>0</v>
      </c>
      <c r="M111" s="126">
        <v>1</v>
      </c>
      <c r="N111" s="126">
        <v>1</v>
      </c>
      <c r="O111" s="126">
        <v>1</v>
      </c>
      <c r="P111" s="126">
        <v>1</v>
      </c>
      <c r="Q111" s="126">
        <v>0</v>
      </c>
      <c r="R111" s="126">
        <v>1</v>
      </c>
      <c r="S111" s="126">
        <v>7</v>
      </c>
    </row>
    <row r="112" spans="1:19" ht="16" x14ac:dyDescent="0.2">
      <c r="A112" s="151" t="s">
        <v>429</v>
      </c>
      <c r="B112" s="201" t="s">
        <v>145</v>
      </c>
      <c r="C112" s="413">
        <f t="shared" si="8"/>
        <v>0</v>
      </c>
      <c r="D112" s="128">
        <v>1</v>
      </c>
      <c r="E112" s="129">
        <v>0</v>
      </c>
      <c r="F112" s="129">
        <v>0</v>
      </c>
      <c r="G112" s="129">
        <v>1</v>
      </c>
      <c r="H112" s="129">
        <v>0</v>
      </c>
      <c r="I112" s="199">
        <v>0</v>
      </c>
      <c r="J112" s="199" t="s">
        <v>145</v>
      </c>
      <c r="K112" s="413">
        <f t="shared" si="9"/>
        <v>0</v>
      </c>
      <c r="L112" s="129">
        <v>1</v>
      </c>
      <c r="M112" s="129">
        <v>0</v>
      </c>
      <c r="N112" s="129">
        <v>2</v>
      </c>
      <c r="O112" s="129">
        <v>1</v>
      </c>
      <c r="P112" s="129">
        <v>2</v>
      </c>
      <c r="Q112" s="129">
        <v>0</v>
      </c>
      <c r="R112" s="129">
        <v>2</v>
      </c>
      <c r="S112" s="129">
        <v>10</v>
      </c>
    </row>
    <row r="113" spans="1:19" ht="16" x14ac:dyDescent="0.2">
      <c r="A113" s="152" t="s">
        <v>430</v>
      </c>
      <c r="B113" s="215" t="s">
        <v>145</v>
      </c>
      <c r="C113" s="413">
        <f t="shared" si="8"/>
        <v>0</v>
      </c>
      <c r="D113" s="154">
        <v>2</v>
      </c>
      <c r="E113" s="154">
        <v>0</v>
      </c>
      <c r="F113" s="154">
        <v>0</v>
      </c>
      <c r="G113" s="154">
        <v>1</v>
      </c>
      <c r="H113" s="154">
        <v>2</v>
      </c>
      <c r="I113" s="216">
        <v>0</v>
      </c>
      <c r="J113" s="216" t="s">
        <v>145</v>
      </c>
      <c r="K113" s="413">
        <f t="shared" si="9"/>
        <v>0</v>
      </c>
      <c r="L113" s="154">
        <v>1</v>
      </c>
      <c r="M113" s="154">
        <v>2</v>
      </c>
      <c r="N113" s="154">
        <v>2</v>
      </c>
      <c r="O113" s="154">
        <v>1</v>
      </c>
      <c r="P113" s="154">
        <v>2</v>
      </c>
      <c r="Q113" s="154">
        <v>0</v>
      </c>
      <c r="R113" s="154">
        <v>2</v>
      </c>
      <c r="S113" s="154">
        <v>15</v>
      </c>
    </row>
    <row r="114" spans="1:19" ht="16" x14ac:dyDescent="0.2">
      <c r="A114" s="152" t="s">
        <v>431</v>
      </c>
      <c r="B114" s="201" t="s">
        <v>145</v>
      </c>
      <c r="C114" s="413">
        <f t="shared" si="8"/>
        <v>0</v>
      </c>
      <c r="D114" s="129">
        <v>2</v>
      </c>
      <c r="E114" s="129">
        <v>0</v>
      </c>
      <c r="F114" s="129">
        <v>0</v>
      </c>
      <c r="G114" s="129">
        <v>1</v>
      </c>
      <c r="H114" s="129">
        <v>1</v>
      </c>
      <c r="I114" s="199">
        <v>0</v>
      </c>
      <c r="J114" s="199" t="s">
        <v>145</v>
      </c>
      <c r="K114" s="413">
        <f t="shared" si="9"/>
        <v>0</v>
      </c>
      <c r="L114" s="129">
        <v>1</v>
      </c>
      <c r="M114" s="129">
        <v>1</v>
      </c>
      <c r="N114" s="129">
        <v>2</v>
      </c>
      <c r="O114" s="129">
        <v>1</v>
      </c>
      <c r="P114" s="129">
        <v>2</v>
      </c>
      <c r="Q114" s="129">
        <v>0</v>
      </c>
      <c r="R114" s="129">
        <v>2</v>
      </c>
      <c r="S114" s="129">
        <v>13</v>
      </c>
    </row>
    <row r="115" spans="1:19" ht="16" x14ac:dyDescent="0.2">
      <c r="A115" s="136" t="s">
        <v>432</v>
      </c>
      <c r="B115" s="186" t="s">
        <v>721</v>
      </c>
      <c r="C115" s="413">
        <f t="shared" si="8"/>
        <v>2</v>
      </c>
      <c r="D115" s="129">
        <v>3</v>
      </c>
      <c r="E115" s="129">
        <v>1</v>
      </c>
      <c r="F115" s="129">
        <v>1</v>
      </c>
      <c r="G115" s="129">
        <v>1</v>
      </c>
      <c r="H115" s="129">
        <v>2</v>
      </c>
      <c r="I115" s="199">
        <v>0</v>
      </c>
      <c r="J115" s="186" t="s">
        <v>721</v>
      </c>
      <c r="K115" s="413">
        <f t="shared" si="9"/>
        <v>2</v>
      </c>
      <c r="L115" s="129">
        <v>1</v>
      </c>
      <c r="M115" s="129">
        <v>2</v>
      </c>
      <c r="N115" s="129">
        <v>1</v>
      </c>
      <c r="O115" s="129">
        <v>2</v>
      </c>
      <c r="P115" s="129">
        <v>2</v>
      </c>
      <c r="Q115" s="129">
        <v>0</v>
      </c>
      <c r="R115" s="129">
        <v>2</v>
      </c>
      <c r="S115" s="129">
        <v>18</v>
      </c>
    </row>
    <row r="116" spans="1:19" ht="16" x14ac:dyDescent="0.2">
      <c r="A116" s="136" t="s">
        <v>433</v>
      </c>
      <c r="B116" s="186" t="s">
        <v>721</v>
      </c>
      <c r="C116" s="413">
        <f t="shared" si="8"/>
        <v>2</v>
      </c>
      <c r="D116" s="125">
        <v>4</v>
      </c>
      <c r="E116" s="126">
        <v>2</v>
      </c>
      <c r="F116" s="126">
        <v>1</v>
      </c>
      <c r="G116" s="126">
        <v>1</v>
      </c>
      <c r="H116" s="126">
        <v>2</v>
      </c>
      <c r="I116" s="214">
        <v>0</v>
      </c>
      <c r="J116" s="186" t="s">
        <v>721</v>
      </c>
      <c r="K116" s="413">
        <f t="shared" si="9"/>
        <v>2</v>
      </c>
      <c r="L116" s="126">
        <v>0</v>
      </c>
      <c r="M116" s="126">
        <v>2</v>
      </c>
      <c r="N116" s="126">
        <v>1</v>
      </c>
      <c r="O116" s="126">
        <v>2</v>
      </c>
      <c r="P116" s="126">
        <v>2</v>
      </c>
      <c r="Q116" s="126">
        <v>0</v>
      </c>
      <c r="R116" s="126">
        <v>1</v>
      </c>
      <c r="S116" s="126">
        <v>18</v>
      </c>
    </row>
    <row r="117" spans="1:19" ht="16" x14ac:dyDescent="0.2">
      <c r="A117" s="136" t="s">
        <v>434</v>
      </c>
      <c r="B117" s="186" t="s">
        <v>721</v>
      </c>
      <c r="C117" s="413">
        <f t="shared" si="8"/>
        <v>2</v>
      </c>
      <c r="D117" s="128">
        <v>4</v>
      </c>
      <c r="E117" s="129">
        <v>2</v>
      </c>
      <c r="F117" s="129">
        <v>1</v>
      </c>
      <c r="G117" s="129">
        <v>1</v>
      </c>
      <c r="H117" s="129">
        <v>2</v>
      </c>
      <c r="I117" s="199">
        <v>0</v>
      </c>
      <c r="J117" s="186" t="s">
        <v>721</v>
      </c>
      <c r="K117" s="413">
        <f t="shared" si="9"/>
        <v>2</v>
      </c>
      <c r="L117" s="129">
        <v>0</v>
      </c>
      <c r="M117" s="129">
        <v>2</v>
      </c>
      <c r="N117" s="129">
        <v>1</v>
      </c>
      <c r="O117" s="129">
        <v>2</v>
      </c>
      <c r="P117" s="129">
        <v>2</v>
      </c>
      <c r="Q117" s="129">
        <v>0</v>
      </c>
      <c r="R117" s="129">
        <v>1</v>
      </c>
      <c r="S117" s="129">
        <v>18</v>
      </c>
    </row>
    <row r="118" spans="1:19" ht="16" x14ac:dyDescent="0.2">
      <c r="A118" s="136" t="s">
        <v>435</v>
      </c>
      <c r="B118" s="186" t="s">
        <v>721</v>
      </c>
      <c r="C118" s="413">
        <f t="shared" si="8"/>
        <v>2</v>
      </c>
      <c r="D118" s="129">
        <v>4</v>
      </c>
      <c r="E118" s="129">
        <v>2</v>
      </c>
      <c r="F118" s="129">
        <v>1</v>
      </c>
      <c r="G118" s="129">
        <v>1</v>
      </c>
      <c r="H118" s="129">
        <v>2</v>
      </c>
      <c r="I118" s="199">
        <v>0</v>
      </c>
      <c r="J118" s="186" t="s">
        <v>721</v>
      </c>
      <c r="K118" s="413">
        <f t="shared" si="9"/>
        <v>2</v>
      </c>
      <c r="L118" s="129">
        <v>1</v>
      </c>
      <c r="M118" s="129">
        <v>2</v>
      </c>
      <c r="N118" s="129">
        <v>1</v>
      </c>
      <c r="O118" s="129">
        <v>2</v>
      </c>
      <c r="P118" s="129">
        <v>2</v>
      </c>
      <c r="Q118" s="129">
        <v>0</v>
      </c>
      <c r="R118" s="129">
        <v>2</v>
      </c>
      <c r="S118" s="129">
        <v>20</v>
      </c>
    </row>
    <row r="119" spans="1:19" ht="16" x14ac:dyDescent="0.2">
      <c r="A119" s="136" t="s">
        <v>436</v>
      </c>
      <c r="B119" s="186" t="s">
        <v>721</v>
      </c>
      <c r="C119" s="413">
        <f t="shared" si="8"/>
        <v>2</v>
      </c>
      <c r="D119" s="129">
        <v>3</v>
      </c>
      <c r="E119" s="129">
        <v>0</v>
      </c>
      <c r="F119" s="129">
        <v>1</v>
      </c>
      <c r="G119" s="129">
        <v>1</v>
      </c>
      <c r="H119" s="129">
        <v>2</v>
      </c>
      <c r="I119" s="199">
        <v>0</v>
      </c>
      <c r="J119" s="186" t="s">
        <v>721</v>
      </c>
      <c r="K119" s="413">
        <f t="shared" si="9"/>
        <v>2</v>
      </c>
      <c r="L119" s="129">
        <v>0</v>
      </c>
      <c r="M119" s="129">
        <v>2</v>
      </c>
      <c r="N119" s="129">
        <v>1</v>
      </c>
      <c r="O119" s="129">
        <v>2</v>
      </c>
      <c r="P119" s="129">
        <v>2</v>
      </c>
      <c r="Q119" s="129">
        <v>0</v>
      </c>
      <c r="R119" s="129">
        <v>1</v>
      </c>
      <c r="S119" s="129">
        <v>15</v>
      </c>
    </row>
    <row r="120" spans="1:19" ht="16" x14ac:dyDescent="0.2">
      <c r="A120" s="136" t="s">
        <v>437</v>
      </c>
      <c r="B120" s="186" t="s">
        <v>721</v>
      </c>
      <c r="C120" s="413">
        <f t="shared" si="8"/>
        <v>2</v>
      </c>
      <c r="D120" s="129">
        <v>3</v>
      </c>
      <c r="E120" s="129">
        <v>0</v>
      </c>
      <c r="F120" s="129">
        <v>0</v>
      </c>
      <c r="G120" s="129">
        <v>0</v>
      </c>
      <c r="H120" s="129">
        <v>2</v>
      </c>
      <c r="I120" s="199">
        <v>0</v>
      </c>
      <c r="J120" s="186" t="s">
        <v>721</v>
      </c>
      <c r="K120" s="413">
        <f t="shared" si="9"/>
        <v>2</v>
      </c>
      <c r="L120" s="129">
        <v>0</v>
      </c>
      <c r="M120" s="129">
        <v>2</v>
      </c>
      <c r="N120" s="129">
        <v>1</v>
      </c>
      <c r="O120" s="129">
        <v>2</v>
      </c>
      <c r="P120" s="129">
        <v>2</v>
      </c>
      <c r="Q120" s="129">
        <v>0</v>
      </c>
      <c r="R120" s="129">
        <v>1</v>
      </c>
      <c r="S120" s="129">
        <v>13</v>
      </c>
    </row>
    <row r="121" spans="1:19" ht="16" x14ac:dyDescent="0.2">
      <c r="A121" s="136" t="s">
        <v>438</v>
      </c>
      <c r="B121" s="186" t="s">
        <v>721</v>
      </c>
      <c r="C121" s="413">
        <f t="shared" si="8"/>
        <v>2</v>
      </c>
      <c r="D121" s="131">
        <v>4</v>
      </c>
      <c r="E121" s="131">
        <v>1</v>
      </c>
      <c r="F121" s="131">
        <v>2</v>
      </c>
      <c r="G121" s="131">
        <v>2</v>
      </c>
      <c r="H121" s="131">
        <v>2</v>
      </c>
      <c r="I121" s="217">
        <v>0</v>
      </c>
      <c r="J121" s="186" t="s">
        <v>721</v>
      </c>
      <c r="K121" s="413">
        <f t="shared" si="9"/>
        <v>2</v>
      </c>
      <c r="L121" s="131">
        <v>2</v>
      </c>
      <c r="M121" s="131">
        <v>2</v>
      </c>
      <c r="N121" s="131">
        <v>1</v>
      </c>
      <c r="O121" s="131">
        <v>2</v>
      </c>
      <c r="P121" s="131">
        <v>2</v>
      </c>
      <c r="Q121" s="131">
        <v>0</v>
      </c>
      <c r="R121" s="131">
        <v>2</v>
      </c>
      <c r="S121" s="131">
        <v>22</v>
      </c>
    </row>
    <row r="122" spans="1:19" ht="16" x14ac:dyDescent="0.2">
      <c r="A122" s="157" t="s">
        <v>439</v>
      </c>
      <c r="B122" s="220" t="s">
        <v>145</v>
      </c>
      <c r="C122" s="413">
        <f t="shared" si="8"/>
        <v>0</v>
      </c>
      <c r="D122" s="205">
        <v>1</v>
      </c>
      <c r="E122" s="205">
        <v>0</v>
      </c>
      <c r="F122" s="205">
        <v>0</v>
      </c>
      <c r="G122" s="205">
        <v>0</v>
      </c>
      <c r="H122" s="205">
        <v>1</v>
      </c>
      <c r="I122" s="205">
        <v>0</v>
      </c>
      <c r="J122" s="205" t="s">
        <v>145</v>
      </c>
      <c r="K122" s="413">
        <f t="shared" si="9"/>
        <v>0</v>
      </c>
      <c r="L122" s="205">
        <v>1</v>
      </c>
      <c r="M122" s="205">
        <v>1</v>
      </c>
      <c r="N122" s="205">
        <v>1</v>
      </c>
      <c r="O122" s="205">
        <v>1</v>
      </c>
      <c r="P122" s="205">
        <v>1</v>
      </c>
      <c r="Q122" s="205">
        <v>0</v>
      </c>
      <c r="R122" s="205">
        <v>2</v>
      </c>
      <c r="S122" s="205">
        <v>9</v>
      </c>
    </row>
    <row r="123" spans="1:19" ht="16" x14ac:dyDescent="0.2">
      <c r="A123" s="132" t="s">
        <v>440</v>
      </c>
      <c r="B123" s="186" t="s">
        <v>721</v>
      </c>
      <c r="C123" s="413">
        <f t="shared" si="8"/>
        <v>2</v>
      </c>
      <c r="D123" s="129">
        <v>1</v>
      </c>
      <c r="E123" s="129">
        <v>0</v>
      </c>
      <c r="F123" s="129">
        <v>0</v>
      </c>
      <c r="G123" s="129">
        <v>0</v>
      </c>
      <c r="H123" s="129">
        <v>0</v>
      </c>
      <c r="I123" s="129">
        <v>0</v>
      </c>
      <c r="J123" s="186" t="s">
        <v>721</v>
      </c>
      <c r="K123" s="413">
        <f t="shared" si="9"/>
        <v>2</v>
      </c>
      <c r="L123" s="129">
        <v>1</v>
      </c>
      <c r="M123" s="129">
        <v>1</v>
      </c>
      <c r="N123" s="129">
        <v>0</v>
      </c>
      <c r="O123" s="129">
        <v>2</v>
      </c>
      <c r="P123" s="129">
        <v>0</v>
      </c>
      <c r="Q123" s="129">
        <v>0</v>
      </c>
      <c r="R123" s="129">
        <v>1</v>
      </c>
      <c r="S123" s="202">
        <v>6</v>
      </c>
    </row>
    <row r="124" spans="1:19" x14ac:dyDescent="0.2">
      <c r="A124" s="136" t="s">
        <v>441</v>
      </c>
      <c r="B124" s="28" t="s">
        <v>145</v>
      </c>
      <c r="C124" s="413">
        <f t="shared" si="8"/>
        <v>0</v>
      </c>
      <c r="D124" s="28">
        <v>1</v>
      </c>
      <c r="E124" s="28">
        <v>0</v>
      </c>
      <c r="F124" s="28">
        <v>1</v>
      </c>
      <c r="G124" s="28">
        <v>2</v>
      </c>
      <c r="H124" s="28">
        <v>1</v>
      </c>
      <c r="I124" s="28">
        <v>0</v>
      </c>
      <c r="J124" s="28" t="s">
        <v>145</v>
      </c>
      <c r="K124" s="413">
        <f t="shared" si="9"/>
        <v>0</v>
      </c>
      <c r="L124" s="28">
        <v>0</v>
      </c>
      <c r="M124" s="28">
        <v>0</v>
      </c>
      <c r="N124" s="28">
        <v>0</v>
      </c>
      <c r="O124" s="28">
        <v>1</v>
      </c>
      <c r="P124" s="28">
        <v>0</v>
      </c>
      <c r="Q124" s="28">
        <v>0</v>
      </c>
      <c r="R124" s="28">
        <v>0</v>
      </c>
      <c r="S124" s="28">
        <v>6</v>
      </c>
    </row>
    <row r="125" spans="1:19" ht="16" x14ac:dyDescent="0.2">
      <c r="A125" s="136" t="s">
        <v>442</v>
      </c>
      <c r="B125" s="200" t="s">
        <v>145</v>
      </c>
      <c r="C125" s="413">
        <f t="shared" si="8"/>
        <v>0</v>
      </c>
      <c r="D125" s="200">
        <v>1</v>
      </c>
      <c r="E125" s="200">
        <v>0</v>
      </c>
      <c r="F125" s="200">
        <v>1</v>
      </c>
      <c r="G125" s="200">
        <v>2</v>
      </c>
      <c r="H125" s="200">
        <v>0</v>
      </c>
      <c r="I125" s="200">
        <v>0</v>
      </c>
      <c r="J125" s="200" t="s">
        <v>497</v>
      </c>
      <c r="K125" s="413">
        <f t="shared" si="9"/>
        <v>0</v>
      </c>
      <c r="L125" s="200">
        <v>0</v>
      </c>
      <c r="M125" s="200">
        <v>1</v>
      </c>
      <c r="N125" s="200">
        <v>1</v>
      </c>
      <c r="O125" s="200">
        <v>0</v>
      </c>
      <c r="P125" s="200">
        <v>1</v>
      </c>
      <c r="Q125" s="200">
        <v>0</v>
      </c>
      <c r="R125" s="200">
        <v>1</v>
      </c>
      <c r="S125" s="28">
        <v>8</v>
      </c>
    </row>
    <row r="126" spans="1:19" x14ac:dyDescent="0.2">
      <c r="A126" s="136" t="s">
        <v>443</v>
      </c>
      <c r="B126" s="28" t="s">
        <v>145</v>
      </c>
      <c r="C126" s="413">
        <f t="shared" si="8"/>
        <v>0</v>
      </c>
      <c r="D126" s="28">
        <v>1</v>
      </c>
      <c r="E126" s="28">
        <v>0</v>
      </c>
      <c r="F126" s="28">
        <v>0</v>
      </c>
      <c r="G126" s="28">
        <v>0</v>
      </c>
      <c r="H126" s="28">
        <v>2</v>
      </c>
      <c r="I126" s="28">
        <v>0</v>
      </c>
      <c r="J126" s="28" t="s">
        <v>145</v>
      </c>
      <c r="K126" s="413">
        <f t="shared" si="9"/>
        <v>0</v>
      </c>
      <c r="L126" s="28">
        <v>1</v>
      </c>
      <c r="M126" s="28">
        <v>1</v>
      </c>
      <c r="N126" s="28">
        <v>2</v>
      </c>
      <c r="O126" s="28">
        <v>0</v>
      </c>
      <c r="P126" s="28">
        <v>0</v>
      </c>
      <c r="Q126" s="28">
        <v>0</v>
      </c>
      <c r="R126" s="28">
        <v>0</v>
      </c>
      <c r="S126" s="30">
        <v>7</v>
      </c>
    </row>
    <row r="127" spans="1:19" x14ac:dyDescent="0.2">
      <c r="A127" s="136" t="s">
        <v>444</v>
      </c>
      <c r="B127" s="28" t="s">
        <v>145</v>
      </c>
      <c r="C127" s="413">
        <f t="shared" si="8"/>
        <v>0</v>
      </c>
      <c r="D127" s="28">
        <v>0</v>
      </c>
      <c r="E127" s="28">
        <v>0</v>
      </c>
      <c r="F127" s="28">
        <v>1</v>
      </c>
      <c r="G127" s="28">
        <v>1</v>
      </c>
      <c r="H127" s="28">
        <v>1</v>
      </c>
      <c r="I127" s="28">
        <v>0</v>
      </c>
      <c r="J127" s="28" t="s">
        <v>145</v>
      </c>
      <c r="K127" s="413">
        <f t="shared" si="9"/>
        <v>0</v>
      </c>
      <c r="L127" s="28">
        <v>1</v>
      </c>
      <c r="M127" s="28">
        <v>1</v>
      </c>
      <c r="N127" s="28">
        <v>0</v>
      </c>
      <c r="O127" s="28">
        <v>0</v>
      </c>
      <c r="P127" s="28">
        <v>1</v>
      </c>
      <c r="Q127" s="28">
        <v>0</v>
      </c>
      <c r="R127" s="28">
        <v>0</v>
      </c>
      <c r="S127" s="28">
        <v>6</v>
      </c>
    </row>
    <row r="128" spans="1:19" x14ac:dyDescent="0.2">
      <c r="A128" s="136" t="s">
        <v>445</v>
      </c>
      <c r="B128" s="28" t="s">
        <v>145</v>
      </c>
      <c r="C128" s="413">
        <f t="shared" si="8"/>
        <v>0</v>
      </c>
      <c r="D128" s="28">
        <v>0</v>
      </c>
      <c r="E128" s="28">
        <v>0</v>
      </c>
      <c r="F128" s="28">
        <v>1</v>
      </c>
      <c r="G128" s="28">
        <v>1</v>
      </c>
      <c r="H128" s="28">
        <v>1</v>
      </c>
      <c r="I128" s="28">
        <v>0</v>
      </c>
      <c r="J128" s="28" t="s">
        <v>145</v>
      </c>
      <c r="K128" s="413">
        <f t="shared" si="9"/>
        <v>0</v>
      </c>
      <c r="L128" s="28">
        <v>1</v>
      </c>
      <c r="M128" s="28">
        <v>1</v>
      </c>
      <c r="N128" s="28">
        <v>0</v>
      </c>
      <c r="O128" s="28">
        <v>0</v>
      </c>
      <c r="P128" s="28">
        <v>1</v>
      </c>
      <c r="Q128" s="28">
        <v>0</v>
      </c>
      <c r="R128" s="28">
        <v>0</v>
      </c>
      <c r="S128" s="28">
        <v>6</v>
      </c>
    </row>
    <row r="129" spans="1:19" ht="16" x14ac:dyDescent="0.2">
      <c r="A129" s="132" t="s">
        <v>446</v>
      </c>
      <c r="B129" s="153" t="s">
        <v>145</v>
      </c>
      <c r="C129" s="413">
        <f t="shared" si="8"/>
        <v>0</v>
      </c>
      <c r="D129" s="154">
        <v>0</v>
      </c>
      <c r="E129" s="154">
        <v>0</v>
      </c>
      <c r="F129" s="154">
        <v>0</v>
      </c>
      <c r="G129" s="154">
        <v>1</v>
      </c>
      <c r="H129" s="154">
        <v>1</v>
      </c>
      <c r="I129" s="154">
        <v>0</v>
      </c>
      <c r="J129" s="154" t="s">
        <v>145</v>
      </c>
      <c r="K129" s="413">
        <f t="shared" si="9"/>
        <v>0</v>
      </c>
      <c r="L129" s="154">
        <v>2</v>
      </c>
      <c r="M129" s="154">
        <v>1</v>
      </c>
      <c r="N129" s="154">
        <v>1</v>
      </c>
      <c r="O129" s="154">
        <v>1</v>
      </c>
      <c r="P129" s="154">
        <v>0</v>
      </c>
      <c r="Q129" s="154">
        <v>1</v>
      </c>
      <c r="R129" s="154">
        <v>1</v>
      </c>
      <c r="S129" s="206">
        <v>9</v>
      </c>
    </row>
    <row r="130" spans="1:19" x14ac:dyDescent="0.2">
      <c r="A130" s="127" t="s">
        <v>447</v>
      </c>
      <c r="B130" s="153" t="s">
        <v>145</v>
      </c>
      <c r="C130" s="413">
        <f t="shared" si="8"/>
        <v>0</v>
      </c>
      <c r="D130" s="154">
        <v>1</v>
      </c>
      <c r="E130" s="154">
        <v>0</v>
      </c>
      <c r="F130" s="154">
        <v>2</v>
      </c>
      <c r="G130" s="154">
        <v>2</v>
      </c>
      <c r="H130" s="154">
        <v>1</v>
      </c>
      <c r="I130" s="154">
        <v>0</v>
      </c>
      <c r="J130" s="154" t="s">
        <v>145</v>
      </c>
      <c r="K130" s="413">
        <f t="shared" si="9"/>
        <v>0</v>
      </c>
      <c r="L130" s="154">
        <v>1</v>
      </c>
      <c r="M130" s="154">
        <v>1</v>
      </c>
      <c r="N130" s="154">
        <v>0</v>
      </c>
      <c r="O130" s="154">
        <v>0</v>
      </c>
      <c r="P130" s="154">
        <v>2</v>
      </c>
      <c r="Q130" s="154">
        <v>1</v>
      </c>
      <c r="R130" s="154">
        <v>2</v>
      </c>
      <c r="S130" s="154">
        <v>13</v>
      </c>
    </row>
    <row r="131" spans="1:19" x14ac:dyDescent="0.2">
      <c r="A131" s="127" t="s">
        <v>448</v>
      </c>
      <c r="B131" s="153" t="s">
        <v>145</v>
      </c>
      <c r="C131" s="413">
        <f t="shared" si="8"/>
        <v>0</v>
      </c>
      <c r="D131" s="154">
        <v>0</v>
      </c>
      <c r="E131" s="154">
        <v>0</v>
      </c>
      <c r="F131" s="154">
        <v>1</v>
      </c>
      <c r="G131" s="154">
        <v>1</v>
      </c>
      <c r="H131" s="154">
        <v>1</v>
      </c>
      <c r="I131" s="154">
        <v>0</v>
      </c>
      <c r="J131" s="154" t="s">
        <v>145</v>
      </c>
      <c r="K131" s="413">
        <f t="shared" si="9"/>
        <v>0</v>
      </c>
      <c r="L131" s="154">
        <v>1</v>
      </c>
      <c r="M131" s="154">
        <v>1</v>
      </c>
      <c r="N131" s="154">
        <v>1</v>
      </c>
      <c r="O131" s="154">
        <v>1</v>
      </c>
      <c r="P131" s="154">
        <v>1</v>
      </c>
      <c r="Q131" s="154">
        <v>1</v>
      </c>
      <c r="R131" s="154">
        <v>1</v>
      </c>
      <c r="S131" s="206">
        <v>10</v>
      </c>
    </row>
    <row r="132" spans="1:19" x14ac:dyDescent="0.2">
      <c r="A132" s="127" t="s">
        <v>449</v>
      </c>
      <c r="B132" s="153" t="s">
        <v>145</v>
      </c>
      <c r="C132" s="413">
        <f t="shared" ref="C132:C171" si="14">IF(B132="Patient",0,IF(B132="Caregiver",1,2))</f>
        <v>0</v>
      </c>
      <c r="D132" s="115">
        <v>0</v>
      </c>
      <c r="E132" s="115">
        <v>0</v>
      </c>
      <c r="F132" s="115">
        <v>0</v>
      </c>
      <c r="G132" s="115">
        <v>1</v>
      </c>
      <c r="H132" s="115">
        <v>0</v>
      </c>
      <c r="I132" s="115">
        <v>0</v>
      </c>
      <c r="J132" s="154" t="s">
        <v>145</v>
      </c>
      <c r="K132" s="413">
        <f t="shared" ref="K132:K171" si="15">IF(J132="Patient",0,IF(J132="Caregiver",1,2))</f>
        <v>0</v>
      </c>
      <c r="L132" s="115">
        <v>1</v>
      </c>
      <c r="M132" s="115">
        <v>1</v>
      </c>
      <c r="N132" s="115">
        <v>0</v>
      </c>
      <c r="O132" s="115">
        <v>1</v>
      </c>
      <c r="P132" s="115">
        <v>1</v>
      </c>
      <c r="Q132" s="115">
        <v>1</v>
      </c>
      <c r="R132" s="115">
        <v>2</v>
      </c>
      <c r="S132" s="115">
        <v>8</v>
      </c>
    </row>
    <row r="133" spans="1:19" x14ac:dyDescent="0.2">
      <c r="A133" s="161" t="s">
        <v>450</v>
      </c>
      <c r="B133" s="153" t="s">
        <v>145</v>
      </c>
      <c r="C133" s="413">
        <f t="shared" si="14"/>
        <v>0</v>
      </c>
      <c r="D133" s="154">
        <v>1</v>
      </c>
      <c r="E133" s="154">
        <v>0</v>
      </c>
      <c r="F133" s="154">
        <v>0</v>
      </c>
      <c r="G133" s="154">
        <v>0</v>
      </c>
      <c r="H133" s="154">
        <v>1</v>
      </c>
      <c r="I133" s="154">
        <v>0</v>
      </c>
      <c r="J133" s="154" t="s">
        <v>145</v>
      </c>
      <c r="K133" s="413">
        <f t="shared" si="15"/>
        <v>0</v>
      </c>
      <c r="L133" s="154">
        <v>2</v>
      </c>
      <c r="M133" s="154">
        <v>2</v>
      </c>
      <c r="N133" s="154">
        <v>2</v>
      </c>
      <c r="O133" s="154">
        <v>3</v>
      </c>
      <c r="P133" s="154">
        <v>1</v>
      </c>
      <c r="Q133" s="154">
        <v>0</v>
      </c>
      <c r="R133" s="154">
        <v>1</v>
      </c>
      <c r="S133" s="206">
        <v>13</v>
      </c>
    </row>
    <row r="134" spans="1:19" x14ac:dyDescent="0.2">
      <c r="A134" s="161" t="s">
        <v>451</v>
      </c>
      <c r="B134" s="153" t="s">
        <v>145</v>
      </c>
      <c r="C134" s="413">
        <f t="shared" si="14"/>
        <v>0</v>
      </c>
      <c r="D134" s="222">
        <v>0</v>
      </c>
      <c r="E134" s="222">
        <v>0</v>
      </c>
      <c r="F134" s="222">
        <v>1</v>
      </c>
      <c r="G134" s="222">
        <v>1</v>
      </c>
      <c r="H134" s="222">
        <v>0</v>
      </c>
      <c r="I134" s="222">
        <v>0</v>
      </c>
      <c r="J134" s="154" t="s">
        <v>145</v>
      </c>
      <c r="K134" s="413">
        <f t="shared" si="15"/>
        <v>0</v>
      </c>
      <c r="L134" s="222">
        <v>2</v>
      </c>
      <c r="M134" s="222">
        <v>2</v>
      </c>
      <c r="N134" s="222">
        <v>2</v>
      </c>
      <c r="O134" s="222">
        <v>2</v>
      </c>
      <c r="P134" s="222">
        <v>1</v>
      </c>
      <c r="Q134" s="222">
        <v>0</v>
      </c>
      <c r="R134" s="222">
        <v>0</v>
      </c>
      <c r="S134" s="115">
        <v>11</v>
      </c>
    </row>
    <row r="135" spans="1:19" x14ac:dyDescent="0.2">
      <c r="A135" s="161" t="s">
        <v>452</v>
      </c>
      <c r="B135" s="153" t="s">
        <v>145</v>
      </c>
      <c r="C135" s="413">
        <f t="shared" si="14"/>
        <v>0</v>
      </c>
      <c r="D135" s="154">
        <v>0</v>
      </c>
      <c r="E135" s="154">
        <v>0</v>
      </c>
      <c r="F135" s="154">
        <v>1</v>
      </c>
      <c r="G135" s="154">
        <v>0</v>
      </c>
      <c r="H135" s="154">
        <v>0</v>
      </c>
      <c r="I135" s="154">
        <v>0</v>
      </c>
      <c r="J135" s="153" t="s">
        <v>145</v>
      </c>
      <c r="K135" s="413">
        <f t="shared" si="15"/>
        <v>0</v>
      </c>
      <c r="L135" s="154">
        <v>1</v>
      </c>
      <c r="M135" s="154">
        <v>1</v>
      </c>
      <c r="N135" s="154">
        <v>0</v>
      </c>
      <c r="O135" s="154">
        <v>1</v>
      </c>
      <c r="P135" s="154">
        <v>1</v>
      </c>
      <c r="Q135" s="154">
        <v>0</v>
      </c>
      <c r="R135" s="154">
        <v>0</v>
      </c>
      <c r="S135" s="154">
        <v>5</v>
      </c>
    </row>
    <row r="136" spans="1:19" x14ac:dyDescent="0.2">
      <c r="A136" s="161" t="s">
        <v>453</v>
      </c>
      <c r="B136" s="153" t="s">
        <v>145</v>
      </c>
      <c r="C136" s="413">
        <f t="shared" si="14"/>
        <v>0</v>
      </c>
      <c r="D136" s="115">
        <v>0</v>
      </c>
      <c r="E136" s="115">
        <v>0</v>
      </c>
      <c r="F136" s="115">
        <v>1</v>
      </c>
      <c r="G136" s="115">
        <v>0</v>
      </c>
      <c r="H136" s="115">
        <v>1</v>
      </c>
      <c r="I136" s="115">
        <v>0</v>
      </c>
      <c r="J136" s="153" t="s">
        <v>145</v>
      </c>
      <c r="K136" s="413">
        <f t="shared" si="15"/>
        <v>0</v>
      </c>
      <c r="L136" s="115">
        <v>2</v>
      </c>
      <c r="M136" s="115">
        <v>1</v>
      </c>
      <c r="N136" s="115">
        <v>1</v>
      </c>
      <c r="O136" s="115">
        <v>3</v>
      </c>
      <c r="P136" s="115">
        <v>0</v>
      </c>
      <c r="Q136" s="115">
        <v>1</v>
      </c>
      <c r="R136" s="115">
        <v>2</v>
      </c>
      <c r="S136" s="115">
        <v>12</v>
      </c>
    </row>
    <row r="137" spans="1:19" x14ac:dyDescent="0.2">
      <c r="A137" s="161" t="s">
        <v>454</v>
      </c>
      <c r="B137" s="153" t="s">
        <v>145</v>
      </c>
      <c r="C137" s="413">
        <f t="shared" si="14"/>
        <v>0</v>
      </c>
      <c r="D137" s="167">
        <v>0</v>
      </c>
      <c r="E137" s="167">
        <v>0</v>
      </c>
      <c r="F137" s="167">
        <v>0</v>
      </c>
      <c r="G137" s="167">
        <v>0</v>
      </c>
      <c r="H137" s="167">
        <v>0</v>
      </c>
      <c r="I137" s="167">
        <v>0</v>
      </c>
      <c r="J137" s="153" t="s">
        <v>145</v>
      </c>
      <c r="K137" s="413">
        <f t="shared" si="15"/>
        <v>0</v>
      </c>
      <c r="L137" s="167">
        <v>2</v>
      </c>
      <c r="M137" s="167">
        <v>2</v>
      </c>
      <c r="N137" s="167">
        <v>1</v>
      </c>
      <c r="O137" s="167">
        <v>1</v>
      </c>
      <c r="P137" s="167">
        <v>0</v>
      </c>
      <c r="Q137" s="167">
        <v>0</v>
      </c>
      <c r="R137" s="167">
        <v>0</v>
      </c>
      <c r="S137" s="167">
        <v>6</v>
      </c>
    </row>
    <row r="138" spans="1:19" ht="16" x14ac:dyDescent="0.2">
      <c r="A138" s="168" t="s">
        <v>455</v>
      </c>
      <c r="B138" s="153" t="s">
        <v>145</v>
      </c>
      <c r="C138" s="413">
        <f t="shared" si="14"/>
        <v>0</v>
      </c>
      <c r="D138" s="224">
        <v>1</v>
      </c>
      <c r="E138" s="224">
        <v>0</v>
      </c>
      <c r="F138" s="224">
        <v>0</v>
      </c>
      <c r="G138" s="224">
        <v>1</v>
      </c>
      <c r="H138" s="224">
        <v>0</v>
      </c>
      <c r="I138" s="224">
        <v>0</v>
      </c>
      <c r="J138" s="153" t="s">
        <v>145</v>
      </c>
      <c r="K138" s="413">
        <f t="shared" si="15"/>
        <v>0</v>
      </c>
      <c r="L138" s="224">
        <v>3</v>
      </c>
      <c r="M138" s="224">
        <v>0</v>
      </c>
      <c r="N138" s="224">
        <v>1</v>
      </c>
      <c r="O138" s="224">
        <v>1</v>
      </c>
      <c r="P138" s="224">
        <v>0</v>
      </c>
      <c r="Q138" s="224">
        <v>1</v>
      </c>
      <c r="R138" s="224">
        <v>0</v>
      </c>
      <c r="S138" s="224">
        <v>8</v>
      </c>
    </row>
    <row r="139" spans="1:19" ht="16" x14ac:dyDescent="0.2">
      <c r="A139" s="168" t="s">
        <v>456</v>
      </c>
      <c r="B139" s="153" t="s">
        <v>145</v>
      </c>
      <c r="C139" s="413">
        <f t="shared" si="14"/>
        <v>0</v>
      </c>
      <c r="D139" s="223">
        <v>0</v>
      </c>
      <c r="E139" s="223">
        <v>0</v>
      </c>
      <c r="F139" s="223">
        <v>0</v>
      </c>
      <c r="G139" s="223">
        <v>0</v>
      </c>
      <c r="H139" s="223">
        <v>0</v>
      </c>
      <c r="I139" s="223">
        <v>0</v>
      </c>
      <c r="J139" s="153" t="s">
        <v>145</v>
      </c>
      <c r="K139" s="413">
        <f t="shared" si="15"/>
        <v>0</v>
      </c>
      <c r="L139" s="223">
        <v>1</v>
      </c>
      <c r="M139" s="223">
        <v>0</v>
      </c>
      <c r="N139" s="223">
        <v>0</v>
      </c>
      <c r="O139" s="223">
        <v>0</v>
      </c>
      <c r="P139" s="223">
        <v>1</v>
      </c>
      <c r="Q139" s="223">
        <v>0</v>
      </c>
      <c r="R139" s="223">
        <v>0</v>
      </c>
      <c r="S139" s="223">
        <v>2</v>
      </c>
    </row>
    <row r="140" spans="1:19" ht="16" x14ac:dyDescent="0.2">
      <c r="A140" s="168" t="s">
        <v>457</v>
      </c>
      <c r="B140" s="153" t="s">
        <v>145</v>
      </c>
      <c r="C140" s="413">
        <f t="shared" si="14"/>
        <v>0</v>
      </c>
      <c r="D140" s="223">
        <v>0</v>
      </c>
      <c r="E140" s="223">
        <v>1</v>
      </c>
      <c r="F140" s="223">
        <v>0</v>
      </c>
      <c r="G140" s="223">
        <v>0</v>
      </c>
      <c r="H140" s="223">
        <v>0</v>
      </c>
      <c r="I140" s="223">
        <v>0</v>
      </c>
      <c r="J140" s="153" t="s">
        <v>145</v>
      </c>
      <c r="K140" s="413">
        <f t="shared" si="15"/>
        <v>0</v>
      </c>
      <c r="L140" s="223">
        <v>1</v>
      </c>
      <c r="M140" s="223">
        <v>0</v>
      </c>
      <c r="N140" s="223">
        <v>2</v>
      </c>
      <c r="O140" s="223">
        <v>1</v>
      </c>
      <c r="P140" s="223">
        <v>1</v>
      </c>
      <c r="Q140" s="223">
        <v>0</v>
      </c>
      <c r="R140" s="223">
        <v>2</v>
      </c>
      <c r="S140" s="223">
        <v>8</v>
      </c>
    </row>
    <row r="141" spans="1:19" ht="16" x14ac:dyDescent="0.2">
      <c r="A141" s="168" t="s">
        <v>458</v>
      </c>
      <c r="B141" s="153" t="s">
        <v>145</v>
      </c>
      <c r="C141" s="413">
        <f t="shared" si="14"/>
        <v>0</v>
      </c>
      <c r="D141" s="167">
        <v>0</v>
      </c>
      <c r="E141" s="167">
        <v>0</v>
      </c>
      <c r="F141" s="167">
        <v>1</v>
      </c>
      <c r="G141" s="167">
        <v>0</v>
      </c>
      <c r="H141" s="167">
        <v>0</v>
      </c>
      <c r="I141" s="167">
        <v>0</v>
      </c>
      <c r="J141" s="154" t="s">
        <v>145</v>
      </c>
      <c r="K141" s="413">
        <f t="shared" si="15"/>
        <v>0</v>
      </c>
      <c r="L141" s="167">
        <v>2</v>
      </c>
      <c r="M141" s="167">
        <v>1</v>
      </c>
      <c r="N141" s="167">
        <v>1</v>
      </c>
      <c r="O141" s="167">
        <v>1</v>
      </c>
      <c r="P141" s="167">
        <v>0</v>
      </c>
      <c r="Q141" s="167">
        <v>0</v>
      </c>
      <c r="R141" s="167">
        <v>0</v>
      </c>
      <c r="S141" s="167">
        <v>6</v>
      </c>
    </row>
    <row r="142" spans="1:19" ht="16" x14ac:dyDescent="0.2">
      <c r="A142" s="168" t="s">
        <v>459</v>
      </c>
      <c r="B142" s="153" t="s">
        <v>145</v>
      </c>
      <c r="C142" s="413">
        <f t="shared" si="14"/>
        <v>0</v>
      </c>
      <c r="D142" s="224">
        <v>0</v>
      </c>
      <c r="E142" s="224">
        <v>1</v>
      </c>
      <c r="F142" s="224">
        <v>0</v>
      </c>
      <c r="G142" s="224">
        <v>0</v>
      </c>
      <c r="H142" s="224">
        <v>0</v>
      </c>
      <c r="I142" s="224">
        <v>0</v>
      </c>
      <c r="J142" s="153" t="s">
        <v>145</v>
      </c>
      <c r="K142" s="413">
        <f t="shared" si="15"/>
        <v>0</v>
      </c>
      <c r="L142" s="224">
        <v>1</v>
      </c>
      <c r="M142" s="224">
        <v>2</v>
      </c>
      <c r="N142" s="224">
        <v>1</v>
      </c>
      <c r="O142" s="224">
        <v>1</v>
      </c>
      <c r="P142" s="224">
        <v>2</v>
      </c>
      <c r="Q142" s="224">
        <v>0</v>
      </c>
      <c r="R142" s="224">
        <v>2</v>
      </c>
      <c r="S142" s="224">
        <v>10</v>
      </c>
    </row>
    <row r="143" spans="1:19" ht="16" x14ac:dyDescent="0.2">
      <c r="A143" s="168" t="s">
        <v>460</v>
      </c>
      <c r="B143" s="153" t="s">
        <v>145</v>
      </c>
      <c r="C143" s="413">
        <f t="shared" si="14"/>
        <v>0</v>
      </c>
      <c r="D143" s="223">
        <v>0</v>
      </c>
      <c r="E143" s="223">
        <v>0</v>
      </c>
      <c r="F143" s="223">
        <v>0</v>
      </c>
      <c r="G143" s="223">
        <v>0</v>
      </c>
      <c r="H143" s="223">
        <v>0</v>
      </c>
      <c r="I143" s="223">
        <v>0</v>
      </c>
      <c r="J143" s="153" t="s">
        <v>145</v>
      </c>
      <c r="K143" s="413">
        <f t="shared" si="15"/>
        <v>0</v>
      </c>
      <c r="L143" s="223">
        <v>1</v>
      </c>
      <c r="M143" s="223">
        <v>2</v>
      </c>
      <c r="N143" s="223">
        <v>0</v>
      </c>
      <c r="O143" s="223">
        <v>2</v>
      </c>
      <c r="P143" s="223">
        <v>1</v>
      </c>
      <c r="Q143" s="223">
        <v>1</v>
      </c>
      <c r="R143" s="223">
        <v>2</v>
      </c>
      <c r="S143" s="223">
        <v>9</v>
      </c>
    </row>
    <row r="144" spans="1:19" ht="17" thickBot="1" x14ac:dyDescent="0.25">
      <c r="A144" s="169" t="s">
        <v>461</v>
      </c>
      <c r="B144" s="153" t="s">
        <v>145</v>
      </c>
      <c r="C144" s="413">
        <f t="shared" si="14"/>
        <v>0</v>
      </c>
      <c r="D144" s="226">
        <v>2</v>
      </c>
      <c r="E144" s="226">
        <v>0</v>
      </c>
      <c r="F144" s="226">
        <v>1</v>
      </c>
      <c r="G144" s="226">
        <v>1</v>
      </c>
      <c r="H144" s="226">
        <v>1</v>
      </c>
      <c r="I144" s="226">
        <v>0</v>
      </c>
      <c r="J144" s="153" t="s">
        <v>145</v>
      </c>
      <c r="K144" s="413">
        <f t="shared" si="15"/>
        <v>0</v>
      </c>
      <c r="L144" s="226">
        <v>1</v>
      </c>
      <c r="M144" s="226">
        <v>0</v>
      </c>
      <c r="N144" s="226">
        <v>0</v>
      </c>
      <c r="O144" s="226">
        <v>1</v>
      </c>
      <c r="P144" s="226">
        <v>1</v>
      </c>
      <c r="Q144" s="226">
        <v>2</v>
      </c>
      <c r="R144" s="226">
        <v>1</v>
      </c>
      <c r="S144" s="226">
        <v>11</v>
      </c>
    </row>
    <row r="145" spans="1:19" x14ac:dyDescent="0.2">
      <c r="A145" s="172" t="s">
        <v>462</v>
      </c>
      <c r="B145" s="153" t="s">
        <v>145</v>
      </c>
      <c r="C145" s="413">
        <f t="shared" si="14"/>
        <v>0</v>
      </c>
      <c r="D145" s="154">
        <v>1</v>
      </c>
      <c r="E145" s="154">
        <v>0</v>
      </c>
      <c r="F145" s="154">
        <v>2</v>
      </c>
      <c r="G145" s="154">
        <v>1</v>
      </c>
      <c r="H145" s="154">
        <v>2</v>
      </c>
      <c r="I145" s="154">
        <v>0</v>
      </c>
      <c r="J145" s="153" t="s">
        <v>145</v>
      </c>
      <c r="K145" s="413">
        <f t="shared" si="15"/>
        <v>0</v>
      </c>
      <c r="L145" s="154">
        <v>3</v>
      </c>
      <c r="M145" s="154">
        <v>2</v>
      </c>
      <c r="N145" s="154">
        <v>2</v>
      </c>
      <c r="O145" s="154">
        <v>1</v>
      </c>
      <c r="P145" s="154">
        <v>2</v>
      </c>
      <c r="Q145" s="154">
        <v>1</v>
      </c>
      <c r="R145" s="154">
        <v>2</v>
      </c>
      <c r="S145" s="154">
        <v>19</v>
      </c>
    </row>
    <row r="146" spans="1:19" ht="16" x14ac:dyDescent="0.2">
      <c r="A146" s="132" t="s">
        <v>463</v>
      </c>
      <c r="B146" s="153" t="s">
        <v>145</v>
      </c>
      <c r="C146" s="413">
        <f t="shared" si="14"/>
        <v>0</v>
      </c>
      <c r="D146" s="227">
        <v>2</v>
      </c>
      <c r="E146" s="227">
        <v>2</v>
      </c>
      <c r="F146" s="227">
        <v>0</v>
      </c>
      <c r="G146" s="227">
        <v>0</v>
      </c>
      <c r="H146" s="227">
        <v>0</v>
      </c>
      <c r="I146" s="227">
        <v>0</v>
      </c>
      <c r="J146" s="153" t="s">
        <v>145</v>
      </c>
      <c r="K146" s="413">
        <f t="shared" si="15"/>
        <v>0</v>
      </c>
      <c r="L146" s="227">
        <v>1</v>
      </c>
      <c r="M146" s="227">
        <v>1</v>
      </c>
      <c r="N146" s="227">
        <v>2</v>
      </c>
      <c r="O146" s="227">
        <v>1</v>
      </c>
      <c r="P146" s="227">
        <v>1</v>
      </c>
      <c r="Q146" s="227">
        <v>1</v>
      </c>
      <c r="R146" s="227">
        <v>2</v>
      </c>
      <c r="S146" s="154">
        <v>11</v>
      </c>
    </row>
    <row r="147" spans="1:19" ht="17" thickBot="1" x14ac:dyDescent="0.25">
      <c r="A147" s="132" t="s">
        <v>464</v>
      </c>
      <c r="B147" s="154" t="s">
        <v>145</v>
      </c>
      <c r="C147" s="413">
        <f t="shared" si="14"/>
        <v>0</v>
      </c>
      <c r="D147" s="138">
        <v>0</v>
      </c>
      <c r="E147" s="138">
        <v>0</v>
      </c>
      <c r="F147" s="138">
        <v>0</v>
      </c>
      <c r="G147" s="138">
        <v>0</v>
      </c>
      <c r="H147" s="138">
        <v>0</v>
      </c>
      <c r="I147" s="138">
        <v>0</v>
      </c>
      <c r="J147" s="154" t="s">
        <v>145</v>
      </c>
      <c r="K147" s="413">
        <f t="shared" si="15"/>
        <v>0</v>
      </c>
      <c r="L147" s="138">
        <v>1</v>
      </c>
      <c r="M147" s="138">
        <v>0</v>
      </c>
      <c r="N147" s="138">
        <v>0</v>
      </c>
      <c r="O147" s="138">
        <v>0</v>
      </c>
      <c r="P147" s="138">
        <v>0</v>
      </c>
      <c r="Q147" s="138">
        <v>0</v>
      </c>
      <c r="R147" s="138">
        <v>0</v>
      </c>
      <c r="S147" s="138">
        <v>1</v>
      </c>
    </row>
    <row r="148" spans="1:19" ht="16" x14ac:dyDescent="0.2">
      <c r="A148" s="127" t="s">
        <v>465</v>
      </c>
      <c r="B148" s="153" t="s">
        <v>145</v>
      </c>
      <c r="C148" s="413">
        <f t="shared" si="14"/>
        <v>0</v>
      </c>
      <c r="D148" s="228">
        <v>0</v>
      </c>
      <c r="E148" s="228">
        <v>0</v>
      </c>
      <c r="F148" s="228">
        <v>0</v>
      </c>
      <c r="G148" s="228">
        <v>0</v>
      </c>
      <c r="H148" s="228">
        <v>0</v>
      </c>
      <c r="I148" s="228">
        <v>1</v>
      </c>
      <c r="J148" s="153" t="s">
        <v>145</v>
      </c>
      <c r="K148" s="413">
        <f t="shared" si="15"/>
        <v>0</v>
      </c>
      <c r="L148" s="228">
        <v>0</v>
      </c>
      <c r="M148" s="228">
        <v>1</v>
      </c>
      <c r="N148" s="228">
        <v>1</v>
      </c>
      <c r="O148" s="228">
        <v>0</v>
      </c>
      <c r="P148" s="228">
        <v>0</v>
      </c>
      <c r="Q148" s="228">
        <v>1</v>
      </c>
      <c r="R148" s="228">
        <v>1</v>
      </c>
      <c r="S148" s="154">
        <v>5</v>
      </c>
    </row>
    <row r="149" spans="1:19" ht="16" x14ac:dyDescent="0.2">
      <c r="A149" s="127" t="s">
        <v>466</v>
      </c>
      <c r="B149" s="186" t="s">
        <v>721</v>
      </c>
      <c r="C149" s="413">
        <f t="shared" si="14"/>
        <v>2</v>
      </c>
      <c r="D149" s="189">
        <v>0</v>
      </c>
      <c r="E149" s="189">
        <v>1</v>
      </c>
      <c r="F149" s="189">
        <v>1</v>
      </c>
      <c r="G149" s="189">
        <v>1</v>
      </c>
      <c r="H149" s="189">
        <v>0</v>
      </c>
      <c r="I149" s="189">
        <v>0</v>
      </c>
      <c r="J149" s="153" t="s">
        <v>145</v>
      </c>
      <c r="K149" s="413">
        <f t="shared" si="15"/>
        <v>0</v>
      </c>
      <c r="L149" s="189">
        <v>1</v>
      </c>
      <c r="M149" s="189">
        <v>1</v>
      </c>
      <c r="N149" s="189">
        <v>1</v>
      </c>
      <c r="O149" s="189">
        <v>0</v>
      </c>
      <c r="P149" s="189">
        <v>2</v>
      </c>
      <c r="Q149" s="189">
        <v>0</v>
      </c>
      <c r="R149" s="189">
        <v>0</v>
      </c>
      <c r="S149" s="115">
        <v>8</v>
      </c>
    </row>
    <row r="150" spans="1:19" ht="16" x14ac:dyDescent="0.2">
      <c r="A150" s="132" t="s">
        <v>467</v>
      </c>
      <c r="B150" s="153" t="s">
        <v>145</v>
      </c>
      <c r="C150" s="413">
        <f t="shared" si="14"/>
        <v>0</v>
      </c>
      <c r="D150" s="154">
        <v>0</v>
      </c>
      <c r="E150" s="154">
        <v>0</v>
      </c>
      <c r="F150" s="154">
        <v>1</v>
      </c>
      <c r="G150" s="154">
        <v>1</v>
      </c>
      <c r="H150" s="154">
        <v>0</v>
      </c>
      <c r="I150" s="154">
        <v>0</v>
      </c>
      <c r="J150" s="153" t="s">
        <v>145</v>
      </c>
      <c r="K150" s="413">
        <f t="shared" si="15"/>
        <v>0</v>
      </c>
      <c r="L150" s="154">
        <v>0</v>
      </c>
      <c r="M150" s="154">
        <v>0</v>
      </c>
      <c r="N150" s="154">
        <v>1</v>
      </c>
      <c r="O150" s="154">
        <v>1</v>
      </c>
      <c r="P150" s="154">
        <v>1</v>
      </c>
      <c r="Q150" s="154">
        <v>0</v>
      </c>
      <c r="R150" s="154">
        <v>0</v>
      </c>
      <c r="S150" s="206">
        <v>5</v>
      </c>
    </row>
    <row r="151" spans="1:19" ht="16" x14ac:dyDescent="0.2">
      <c r="A151" s="132" t="s">
        <v>468</v>
      </c>
      <c r="B151" s="153" t="s">
        <v>145</v>
      </c>
      <c r="C151" s="413">
        <f t="shared" si="14"/>
        <v>0</v>
      </c>
      <c r="D151" s="216">
        <v>2</v>
      </c>
      <c r="E151" s="216">
        <v>2</v>
      </c>
      <c r="F151" s="216">
        <v>2</v>
      </c>
      <c r="G151" s="216">
        <v>2</v>
      </c>
      <c r="H151" s="216">
        <v>2</v>
      </c>
      <c r="I151" s="216">
        <v>0</v>
      </c>
      <c r="J151" s="153" t="s">
        <v>145</v>
      </c>
      <c r="K151" s="413">
        <f t="shared" si="15"/>
        <v>0</v>
      </c>
      <c r="L151" s="216">
        <v>2</v>
      </c>
      <c r="M151" s="216">
        <v>2</v>
      </c>
      <c r="N151" s="216">
        <v>2</v>
      </c>
      <c r="O151" s="216">
        <v>3</v>
      </c>
      <c r="P151" s="216">
        <v>3</v>
      </c>
      <c r="Q151" s="216">
        <v>0</v>
      </c>
      <c r="R151" s="216">
        <v>3</v>
      </c>
      <c r="S151" s="154">
        <v>25</v>
      </c>
    </row>
    <row r="152" spans="1:19" ht="16" x14ac:dyDescent="0.2">
      <c r="A152" s="132" t="s">
        <v>469</v>
      </c>
      <c r="B152" s="153" t="s">
        <v>145</v>
      </c>
      <c r="C152" s="413">
        <f t="shared" si="14"/>
        <v>0</v>
      </c>
      <c r="D152" s="154">
        <v>0</v>
      </c>
      <c r="E152" s="154">
        <v>0</v>
      </c>
      <c r="F152" s="154">
        <v>2</v>
      </c>
      <c r="G152" s="154">
        <v>2</v>
      </c>
      <c r="H152" s="154">
        <v>2</v>
      </c>
      <c r="I152" s="154">
        <v>0</v>
      </c>
      <c r="J152" s="153" t="s">
        <v>145</v>
      </c>
      <c r="K152" s="413">
        <f t="shared" si="15"/>
        <v>0</v>
      </c>
      <c r="L152" s="154">
        <v>2</v>
      </c>
      <c r="M152" s="154">
        <v>2</v>
      </c>
      <c r="N152" s="154">
        <v>2</v>
      </c>
      <c r="O152" s="154">
        <v>2</v>
      </c>
      <c r="P152" s="154">
        <v>2</v>
      </c>
      <c r="Q152" s="154">
        <v>0</v>
      </c>
      <c r="R152" s="154">
        <v>2</v>
      </c>
      <c r="S152" s="206">
        <v>18</v>
      </c>
    </row>
    <row r="153" spans="1:19" ht="16" x14ac:dyDescent="0.2">
      <c r="A153" s="132" t="s">
        <v>470</v>
      </c>
      <c r="B153" s="153" t="s">
        <v>145</v>
      </c>
      <c r="C153" s="413">
        <f t="shared" si="14"/>
        <v>0</v>
      </c>
      <c r="D153" s="115">
        <v>1</v>
      </c>
      <c r="E153" s="115">
        <v>0</v>
      </c>
      <c r="F153" s="115">
        <v>1</v>
      </c>
      <c r="G153" s="115">
        <v>1</v>
      </c>
      <c r="H153" s="115">
        <v>2</v>
      </c>
      <c r="I153" s="115">
        <v>0</v>
      </c>
      <c r="J153" s="153" t="s">
        <v>145</v>
      </c>
      <c r="K153" s="413">
        <f t="shared" si="15"/>
        <v>0</v>
      </c>
      <c r="L153" s="115">
        <v>3</v>
      </c>
      <c r="M153" s="115">
        <v>3</v>
      </c>
      <c r="N153" s="115">
        <v>3</v>
      </c>
      <c r="O153" s="115">
        <v>2</v>
      </c>
      <c r="P153" s="115">
        <v>3</v>
      </c>
      <c r="Q153" s="115">
        <v>2</v>
      </c>
      <c r="R153" s="115">
        <v>2</v>
      </c>
      <c r="S153" s="207">
        <v>23</v>
      </c>
    </row>
    <row r="154" spans="1:19" ht="16" x14ac:dyDescent="0.2">
      <c r="A154" s="132" t="s">
        <v>471</v>
      </c>
      <c r="B154" s="153" t="s">
        <v>145</v>
      </c>
      <c r="C154" s="413">
        <f t="shared" si="14"/>
        <v>0</v>
      </c>
      <c r="D154" s="115">
        <v>1</v>
      </c>
      <c r="E154" s="115">
        <v>0</v>
      </c>
      <c r="F154" s="115">
        <v>0</v>
      </c>
      <c r="G154" s="115">
        <v>0</v>
      </c>
      <c r="H154" s="115">
        <v>0</v>
      </c>
      <c r="I154" s="115">
        <v>0</v>
      </c>
      <c r="J154" s="153" t="s">
        <v>145</v>
      </c>
      <c r="K154" s="413">
        <f t="shared" si="15"/>
        <v>0</v>
      </c>
      <c r="L154" s="115">
        <v>3</v>
      </c>
      <c r="M154" s="115">
        <v>3</v>
      </c>
      <c r="N154" s="115">
        <v>2</v>
      </c>
      <c r="O154" s="115">
        <v>2</v>
      </c>
      <c r="P154" s="115">
        <v>0</v>
      </c>
      <c r="Q154" s="115">
        <v>0</v>
      </c>
      <c r="R154" s="115">
        <v>2</v>
      </c>
      <c r="S154" s="207">
        <v>13</v>
      </c>
    </row>
    <row r="155" spans="1:19" ht="16" x14ac:dyDescent="0.2">
      <c r="A155" s="132" t="s">
        <v>472</v>
      </c>
      <c r="B155" s="153" t="s">
        <v>145</v>
      </c>
      <c r="C155" s="413">
        <f t="shared" si="14"/>
        <v>0</v>
      </c>
      <c r="D155" s="115">
        <v>1</v>
      </c>
      <c r="E155" s="115">
        <v>0</v>
      </c>
      <c r="F155" s="115">
        <v>0</v>
      </c>
      <c r="G155" s="115">
        <v>1</v>
      </c>
      <c r="H155" s="115">
        <v>0</v>
      </c>
      <c r="I155" s="115">
        <v>0</v>
      </c>
      <c r="J155" s="153" t="s">
        <v>145</v>
      </c>
      <c r="K155" s="413">
        <f t="shared" si="15"/>
        <v>0</v>
      </c>
      <c r="L155" s="115">
        <v>2</v>
      </c>
      <c r="M155" s="115">
        <v>1</v>
      </c>
      <c r="N155" s="115">
        <v>1</v>
      </c>
      <c r="O155" s="115">
        <v>1</v>
      </c>
      <c r="P155" s="115">
        <v>0</v>
      </c>
      <c r="Q155" s="115">
        <v>1</v>
      </c>
      <c r="R155" s="115">
        <v>1</v>
      </c>
      <c r="S155" s="207">
        <v>9</v>
      </c>
    </row>
    <row r="156" spans="1:19" ht="16" x14ac:dyDescent="0.2">
      <c r="A156" s="132" t="s">
        <v>473</v>
      </c>
      <c r="B156" s="153" t="s">
        <v>145</v>
      </c>
      <c r="C156" s="413">
        <f t="shared" si="14"/>
        <v>0</v>
      </c>
      <c r="D156" s="115">
        <v>0</v>
      </c>
      <c r="E156" s="115">
        <v>0</v>
      </c>
      <c r="F156" s="115">
        <v>0</v>
      </c>
      <c r="G156" s="115">
        <v>0</v>
      </c>
      <c r="H156" s="115">
        <v>0</v>
      </c>
      <c r="I156" s="115">
        <v>0</v>
      </c>
      <c r="J156" s="153" t="s">
        <v>145</v>
      </c>
      <c r="K156" s="413">
        <f t="shared" si="15"/>
        <v>0</v>
      </c>
      <c r="L156" s="115">
        <v>2</v>
      </c>
      <c r="M156" s="115">
        <v>3</v>
      </c>
      <c r="N156" s="115">
        <v>0</v>
      </c>
      <c r="O156" s="115">
        <v>0</v>
      </c>
      <c r="P156" s="115">
        <v>0</v>
      </c>
      <c r="Q156" s="115">
        <v>1</v>
      </c>
      <c r="R156" s="115">
        <v>1</v>
      </c>
      <c r="S156" s="207">
        <v>7</v>
      </c>
    </row>
    <row r="157" spans="1:19" ht="16" x14ac:dyDescent="0.2">
      <c r="A157" s="132" t="s">
        <v>474</v>
      </c>
      <c r="B157" s="153" t="s">
        <v>145</v>
      </c>
      <c r="C157" s="413">
        <f t="shared" si="14"/>
        <v>0</v>
      </c>
      <c r="D157" s="115">
        <v>1</v>
      </c>
      <c r="E157" s="115">
        <v>0</v>
      </c>
      <c r="F157" s="115">
        <v>0</v>
      </c>
      <c r="G157" s="115">
        <v>0</v>
      </c>
      <c r="H157" s="115">
        <v>0</v>
      </c>
      <c r="I157" s="115">
        <v>0</v>
      </c>
      <c r="J157" s="153" t="s">
        <v>145</v>
      </c>
      <c r="K157" s="413">
        <f t="shared" si="15"/>
        <v>0</v>
      </c>
      <c r="L157" s="115">
        <v>2</v>
      </c>
      <c r="M157" s="115">
        <v>3</v>
      </c>
      <c r="N157" s="115">
        <v>2</v>
      </c>
      <c r="O157" s="115">
        <v>1</v>
      </c>
      <c r="P157" s="115">
        <v>2</v>
      </c>
      <c r="Q157" s="115">
        <v>1</v>
      </c>
      <c r="R157" s="115">
        <v>1</v>
      </c>
      <c r="S157" s="207">
        <v>13</v>
      </c>
    </row>
    <row r="158" spans="1:19" ht="16" x14ac:dyDescent="0.2">
      <c r="A158" s="175" t="s">
        <v>475</v>
      </c>
      <c r="B158" s="153" t="s">
        <v>145</v>
      </c>
      <c r="C158" s="413">
        <f t="shared" si="14"/>
        <v>0</v>
      </c>
      <c r="D158" s="115">
        <v>1</v>
      </c>
      <c r="E158" s="115">
        <v>2</v>
      </c>
      <c r="F158" s="115">
        <v>2</v>
      </c>
      <c r="G158" s="115">
        <v>2</v>
      </c>
      <c r="H158" s="115">
        <v>2</v>
      </c>
      <c r="I158" s="115">
        <v>0</v>
      </c>
      <c r="J158" s="153" t="s">
        <v>145</v>
      </c>
      <c r="K158" s="413">
        <f t="shared" si="15"/>
        <v>0</v>
      </c>
      <c r="L158" s="115">
        <v>2</v>
      </c>
      <c r="M158" s="115">
        <v>3</v>
      </c>
      <c r="N158" s="115">
        <v>0</v>
      </c>
      <c r="O158" s="115">
        <v>2</v>
      </c>
      <c r="P158" s="115">
        <v>2</v>
      </c>
      <c r="Q158" s="115">
        <v>2</v>
      </c>
      <c r="R158" s="115">
        <v>0</v>
      </c>
      <c r="S158" s="207">
        <v>20</v>
      </c>
    </row>
    <row r="159" spans="1:19" ht="16" x14ac:dyDescent="0.2">
      <c r="A159" s="168" t="s">
        <v>476</v>
      </c>
      <c r="B159" s="153" t="s">
        <v>145</v>
      </c>
      <c r="C159" s="413">
        <f t="shared" si="14"/>
        <v>0</v>
      </c>
      <c r="D159" s="115">
        <v>0</v>
      </c>
      <c r="E159" s="115">
        <v>0</v>
      </c>
      <c r="F159" s="115">
        <v>1</v>
      </c>
      <c r="G159" s="115">
        <v>0</v>
      </c>
      <c r="H159" s="115">
        <v>0</v>
      </c>
      <c r="I159" s="115">
        <v>1</v>
      </c>
      <c r="J159" s="153" t="s">
        <v>145</v>
      </c>
      <c r="K159" s="413">
        <f t="shared" si="15"/>
        <v>0</v>
      </c>
      <c r="L159" s="115">
        <v>2</v>
      </c>
      <c r="M159" s="115">
        <v>2</v>
      </c>
      <c r="N159" s="115">
        <v>2</v>
      </c>
      <c r="O159" s="115">
        <v>2</v>
      </c>
      <c r="P159" s="115">
        <v>1</v>
      </c>
      <c r="Q159" s="115">
        <v>1</v>
      </c>
      <c r="R159" s="115">
        <v>0</v>
      </c>
      <c r="S159" s="207">
        <v>12</v>
      </c>
    </row>
    <row r="160" spans="1:19" ht="16" x14ac:dyDescent="0.2">
      <c r="A160" s="168" t="s">
        <v>477</v>
      </c>
      <c r="B160" s="153" t="s">
        <v>145</v>
      </c>
      <c r="C160" s="413">
        <f t="shared" si="14"/>
        <v>0</v>
      </c>
      <c r="D160" s="115">
        <v>0</v>
      </c>
      <c r="E160" s="115">
        <v>0</v>
      </c>
      <c r="F160" s="115">
        <v>0</v>
      </c>
      <c r="G160" s="115">
        <v>0</v>
      </c>
      <c r="H160" s="115">
        <v>0</v>
      </c>
      <c r="I160" s="115">
        <v>0</v>
      </c>
      <c r="J160" s="153" t="s">
        <v>145</v>
      </c>
      <c r="K160" s="413">
        <f t="shared" si="15"/>
        <v>0</v>
      </c>
      <c r="L160" s="115">
        <v>0</v>
      </c>
      <c r="M160" s="115">
        <v>0</v>
      </c>
      <c r="N160" s="115">
        <v>0</v>
      </c>
      <c r="O160" s="115">
        <v>1</v>
      </c>
      <c r="P160" s="115">
        <v>0</v>
      </c>
      <c r="Q160" s="115">
        <v>1</v>
      </c>
      <c r="R160" s="115">
        <v>0</v>
      </c>
      <c r="S160" s="115">
        <v>2</v>
      </c>
    </row>
    <row r="161" spans="1:19" ht="16" x14ac:dyDescent="0.2">
      <c r="A161" s="168" t="s">
        <v>478</v>
      </c>
      <c r="B161" s="186" t="s">
        <v>721</v>
      </c>
      <c r="C161" s="413">
        <f t="shared" si="14"/>
        <v>2</v>
      </c>
      <c r="D161" s="115">
        <v>0</v>
      </c>
      <c r="E161" s="115">
        <v>0</v>
      </c>
      <c r="F161" s="115">
        <v>0</v>
      </c>
      <c r="G161" s="115">
        <v>0</v>
      </c>
      <c r="H161" s="115">
        <v>0</v>
      </c>
      <c r="I161" s="115">
        <v>1</v>
      </c>
      <c r="J161" s="186" t="s">
        <v>721</v>
      </c>
      <c r="K161" s="413">
        <f t="shared" si="15"/>
        <v>2</v>
      </c>
      <c r="L161" s="115">
        <v>0</v>
      </c>
      <c r="M161" s="115">
        <v>2</v>
      </c>
      <c r="N161" s="115">
        <v>1</v>
      </c>
      <c r="O161" s="115">
        <v>1</v>
      </c>
      <c r="P161" s="115">
        <v>2</v>
      </c>
      <c r="Q161" s="115">
        <v>1</v>
      </c>
      <c r="R161" s="115">
        <v>2</v>
      </c>
      <c r="S161" s="115">
        <v>10</v>
      </c>
    </row>
    <row r="162" spans="1:19" ht="16" x14ac:dyDescent="0.2">
      <c r="A162" s="168" t="s">
        <v>479</v>
      </c>
      <c r="B162" s="153" t="s">
        <v>145</v>
      </c>
      <c r="C162" s="413">
        <f t="shared" si="14"/>
        <v>0</v>
      </c>
      <c r="D162" s="115">
        <v>3</v>
      </c>
      <c r="E162" s="115">
        <v>0</v>
      </c>
      <c r="F162" s="115">
        <v>2</v>
      </c>
      <c r="G162" s="115">
        <v>2</v>
      </c>
      <c r="H162" s="115">
        <v>3</v>
      </c>
      <c r="I162" s="115">
        <v>0</v>
      </c>
      <c r="J162" s="153" t="s">
        <v>145</v>
      </c>
      <c r="K162" s="413">
        <f t="shared" si="15"/>
        <v>0</v>
      </c>
      <c r="L162" s="115">
        <v>2</v>
      </c>
      <c r="M162" s="115">
        <v>2</v>
      </c>
      <c r="N162" s="115">
        <v>2</v>
      </c>
      <c r="O162" s="115">
        <v>2</v>
      </c>
      <c r="P162" s="115">
        <v>2</v>
      </c>
      <c r="Q162" s="115">
        <v>0</v>
      </c>
      <c r="R162" s="115">
        <v>0</v>
      </c>
      <c r="S162" s="115">
        <v>20</v>
      </c>
    </row>
    <row r="163" spans="1:19" ht="16" x14ac:dyDescent="0.2">
      <c r="A163" s="168" t="s">
        <v>480</v>
      </c>
      <c r="B163" s="153" t="s">
        <v>145</v>
      </c>
      <c r="C163" s="413">
        <f t="shared" si="14"/>
        <v>0</v>
      </c>
      <c r="D163" s="115">
        <v>1</v>
      </c>
      <c r="E163" s="115">
        <v>0</v>
      </c>
      <c r="F163" s="115">
        <v>1</v>
      </c>
      <c r="G163" s="115">
        <v>1</v>
      </c>
      <c r="H163" s="115">
        <v>1</v>
      </c>
      <c r="I163" s="115">
        <v>0</v>
      </c>
      <c r="J163" s="153" t="s">
        <v>145</v>
      </c>
      <c r="K163" s="413">
        <f t="shared" si="15"/>
        <v>0</v>
      </c>
      <c r="L163" s="115">
        <v>1</v>
      </c>
      <c r="M163" s="115">
        <v>0</v>
      </c>
      <c r="N163" s="115">
        <v>0</v>
      </c>
      <c r="O163" s="115">
        <v>0</v>
      </c>
      <c r="P163" s="115">
        <v>0</v>
      </c>
      <c r="Q163" s="115">
        <v>0</v>
      </c>
      <c r="R163" s="115">
        <v>0</v>
      </c>
      <c r="S163" s="115">
        <v>5</v>
      </c>
    </row>
    <row r="164" spans="1:19" ht="16" x14ac:dyDescent="0.2">
      <c r="A164" s="168" t="s">
        <v>481</v>
      </c>
      <c r="B164" s="186" t="s">
        <v>721</v>
      </c>
      <c r="C164" s="413">
        <f t="shared" si="14"/>
        <v>2</v>
      </c>
      <c r="D164" s="115">
        <v>1</v>
      </c>
      <c r="E164" s="115">
        <v>0</v>
      </c>
      <c r="F164" s="115">
        <v>1</v>
      </c>
      <c r="G164" s="115">
        <v>1</v>
      </c>
      <c r="H164" s="115">
        <v>0</v>
      </c>
      <c r="I164" s="115">
        <v>0</v>
      </c>
      <c r="J164" s="186" t="s">
        <v>721</v>
      </c>
      <c r="K164" s="413">
        <f t="shared" si="15"/>
        <v>2</v>
      </c>
      <c r="L164" s="115">
        <v>1</v>
      </c>
      <c r="M164" s="115">
        <v>1</v>
      </c>
      <c r="N164" s="115">
        <v>2</v>
      </c>
      <c r="O164" s="115">
        <v>1</v>
      </c>
      <c r="P164" s="115">
        <v>1</v>
      </c>
      <c r="Q164" s="115">
        <v>0</v>
      </c>
      <c r="R164" s="115">
        <v>1</v>
      </c>
      <c r="S164" s="115">
        <v>10</v>
      </c>
    </row>
    <row r="165" spans="1:19" ht="16" x14ac:dyDescent="0.2">
      <c r="A165" s="168" t="s">
        <v>482</v>
      </c>
      <c r="B165" s="153" t="s">
        <v>145</v>
      </c>
      <c r="C165" s="413">
        <f t="shared" si="14"/>
        <v>0</v>
      </c>
      <c r="D165" s="115">
        <v>0</v>
      </c>
      <c r="E165" s="115">
        <v>0</v>
      </c>
      <c r="F165" s="115">
        <v>0</v>
      </c>
      <c r="G165" s="115">
        <v>0</v>
      </c>
      <c r="H165" s="115">
        <v>0</v>
      </c>
      <c r="I165" s="115">
        <v>0</v>
      </c>
      <c r="J165" s="153" t="s">
        <v>145</v>
      </c>
      <c r="K165" s="413">
        <f t="shared" si="15"/>
        <v>0</v>
      </c>
      <c r="L165" s="115">
        <v>0</v>
      </c>
      <c r="M165" s="115">
        <v>0</v>
      </c>
      <c r="N165" s="115">
        <v>0</v>
      </c>
      <c r="O165" s="115">
        <v>1</v>
      </c>
      <c r="P165" s="115">
        <v>0</v>
      </c>
      <c r="Q165" s="115">
        <v>1</v>
      </c>
      <c r="R165" s="115">
        <v>0</v>
      </c>
      <c r="S165" s="115">
        <v>2</v>
      </c>
    </row>
    <row r="166" spans="1:19" ht="16" x14ac:dyDescent="0.2">
      <c r="A166" s="168" t="s">
        <v>483</v>
      </c>
      <c r="B166" s="153" t="s">
        <v>145</v>
      </c>
      <c r="C166" s="413">
        <f t="shared" si="14"/>
        <v>0</v>
      </c>
      <c r="D166" s="115">
        <v>0</v>
      </c>
      <c r="E166" s="115">
        <v>0</v>
      </c>
      <c r="F166" s="115">
        <v>0</v>
      </c>
      <c r="G166" s="115">
        <v>0</v>
      </c>
      <c r="H166" s="115">
        <v>0</v>
      </c>
      <c r="I166" s="115">
        <v>0</v>
      </c>
      <c r="J166" s="153" t="s">
        <v>145</v>
      </c>
      <c r="K166" s="413">
        <f t="shared" si="15"/>
        <v>0</v>
      </c>
      <c r="L166" s="115">
        <v>1</v>
      </c>
      <c r="M166" s="115">
        <v>2</v>
      </c>
      <c r="N166" s="115">
        <v>1</v>
      </c>
      <c r="O166" s="115">
        <v>1</v>
      </c>
      <c r="P166" s="115">
        <v>2</v>
      </c>
      <c r="Q166" s="115">
        <v>1</v>
      </c>
      <c r="R166" s="115">
        <v>2</v>
      </c>
      <c r="S166" s="115">
        <v>10</v>
      </c>
    </row>
    <row r="167" spans="1:19" ht="16" x14ac:dyDescent="0.2">
      <c r="A167" s="168" t="s">
        <v>484</v>
      </c>
      <c r="B167" s="153" t="s">
        <v>145</v>
      </c>
      <c r="C167" s="413">
        <f t="shared" si="14"/>
        <v>0</v>
      </c>
      <c r="D167" s="115">
        <v>0</v>
      </c>
      <c r="E167" s="115">
        <v>0</v>
      </c>
      <c r="F167" s="115">
        <v>1</v>
      </c>
      <c r="G167" s="115">
        <v>1</v>
      </c>
      <c r="H167" s="115">
        <v>0</v>
      </c>
      <c r="I167" s="115">
        <v>0</v>
      </c>
      <c r="J167" s="153" t="s">
        <v>145</v>
      </c>
      <c r="K167" s="413">
        <f t="shared" si="15"/>
        <v>0</v>
      </c>
      <c r="L167" s="115">
        <v>2</v>
      </c>
      <c r="M167" s="115">
        <v>0</v>
      </c>
      <c r="N167" s="115">
        <v>1</v>
      </c>
      <c r="O167" s="115">
        <v>1</v>
      </c>
      <c r="P167" s="115">
        <v>2</v>
      </c>
      <c r="Q167" s="115">
        <v>2</v>
      </c>
      <c r="R167" s="115">
        <v>2</v>
      </c>
      <c r="S167" s="115">
        <v>12</v>
      </c>
    </row>
    <row r="168" spans="1:19" ht="16" x14ac:dyDescent="0.2">
      <c r="A168" s="168" t="s">
        <v>485</v>
      </c>
      <c r="B168" s="153" t="s">
        <v>145</v>
      </c>
      <c r="C168" s="413">
        <f t="shared" si="14"/>
        <v>0</v>
      </c>
      <c r="D168" s="115">
        <v>1</v>
      </c>
      <c r="E168" s="115">
        <v>0</v>
      </c>
      <c r="F168" s="115">
        <v>0</v>
      </c>
      <c r="G168" s="115">
        <v>0</v>
      </c>
      <c r="H168" s="115">
        <v>0</v>
      </c>
      <c r="I168" s="115">
        <v>0</v>
      </c>
      <c r="J168" s="153" t="s">
        <v>145</v>
      </c>
      <c r="K168" s="413">
        <f t="shared" si="15"/>
        <v>0</v>
      </c>
      <c r="L168" s="115">
        <v>1</v>
      </c>
      <c r="M168" s="115">
        <v>1</v>
      </c>
      <c r="N168" s="115">
        <v>2</v>
      </c>
      <c r="O168" s="115">
        <v>1</v>
      </c>
      <c r="P168" s="115">
        <v>1</v>
      </c>
      <c r="Q168" s="115">
        <v>1</v>
      </c>
      <c r="R168" s="115">
        <v>1</v>
      </c>
      <c r="S168" s="115">
        <v>9</v>
      </c>
    </row>
    <row r="169" spans="1:19" ht="16" x14ac:dyDescent="0.2">
      <c r="A169" s="168" t="s">
        <v>486</v>
      </c>
      <c r="B169" s="186" t="s">
        <v>721</v>
      </c>
      <c r="C169" s="413">
        <f t="shared" si="14"/>
        <v>2</v>
      </c>
      <c r="D169" s="115">
        <v>1</v>
      </c>
      <c r="E169" s="115">
        <v>0</v>
      </c>
      <c r="F169" s="115">
        <v>0</v>
      </c>
      <c r="G169" s="115">
        <v>0</v>
      </c>
      <c r="H169" s="115">
        <v>0</v>
      </c>
      <c r="I169" s="115">
        <v>0</v>
      </c>
      <c r="J169" s="186" t="s">
        <v>721</v>
      </c>
      <c r="K169" s="413">
        <f t="shared" si="15"/>
        <v>2</v>
      </c>
      <c r="L169" s="115">
        <v>1</v>
      </c>
      <c r="M169" s="115">
        <v>2</v>
      </c>
      <c r="N169" s="115">
        <v>2</v>
      </c>
      <c r="O169" s="115">
        <v>1</v>
      </c>
      <c r="P169" s="115">
        <v>2</v>
      </c>
      <c r="Q169" s="115">
        <v>0</v>
      </c>
      <c r="R169" s="115">
        <v>2</v>
      </c>
      <c r="S169" s="115">
        <v>11</v>
      </c>
    </row>
    <row r="170" spans="1:19" ht="16" x14ac:dyDescent="0.2">
      <c r="A170" s="168" t="s">
        <v>487</v>
      </c>
      <c r="B170" s="153" t="s">
        <v>145</v>
      </c>
      <c r="C170" s="413">
        <f t="shared" si="14"/>
        <v>0</v>
      </c>
      <c r="D170" s="154">
        <v>0</v>
      </c>
      <c r="E170" s="154">
        <v>0</v>
      </c>
      <c r="F170" s="154">
        <v>2</v>
      </c>
      <c r="G170" s="154">
        <v>2</v>
      </c>
      <c r="H170" s="154">
        <v>0</v>
      </c>
      <c r="I170" s="154">
        <v>0</v>
      </c>
      <c r="J170" s="153" t="s">
        <v>145</v>
      </c>
      <c r="K170" s="413">
        <f t="shared" si="15"/>
        <v>0</v>
      </c>
      <c r="L170" s="154">
        <v>1</v>
      </c>
      <c r="M170" s="154">
        <v>0</v>
      </c>
      <c r="N170" s="154">
        <v>0</v>
      </c>
      <c r="O170" s="154">
        <v>1</v>
      </c>
      <c r="P170" s="154">
        <v>2</v>
      </c>
      <c r="Q170" s="154">
        <v>0</v>
      </c>
      <c r="R170" s="154">
        <v>0</v>
      </c>
      <c r="S170" s="154">
        <v>8</v>
      </c>
    </row>
    <row r="171" spans="1:19" ht="16" x14ac:dyDescent="0.2">
      <c r="A171" s="168" t="s">
        <v>488</v>
      </c>
      <c r="B171" s="154" t="s">
        <v>145</v>
      </c>
      <c r="C171" s="413">
        <f t="shared" si="14"/>
        <v>0</v>
      </c>
      <c r="D171" s="167">
        <v>0</v>
      </c>
      <c r="E171" s="167">
        <v>0</v>
      </c>
      <c r="F171" s="167">
        <v>0</v>
      </c>
      <c r="G171" s="167">
        <v>1</v>
      </c>
      <c r="H171" s="167">
        <v>0</v>
      </c>
      <c r="I171" s="167">
        <v>0</v>
      </c>
      <c r="J171" s="154" t="s">
        <v>145</v>
      </c>
      <c r="K171" s="413">
        <f t="shared" si="15"/>
        <v>0</v>
      </c>
      <c r="L171" s="167">
        <v>1</v>
      </c>
      <c r="M171" s="167">
        <v>1</v>
      </c>
      <c r="N171" s="167">
        <v>1</v>
      </c>
      <c r="O171" s="167">
        <v>2</v>
      </c>
      <c r="P171" s="167">
        <v>0</v>
      </c>
      <c r="Q171" s="167">
        <v>1</v>
      </c>
      <c r="R171" s="167">
        <v>2</v>
      </c>
      <c r="S171" s="167">
        <v>9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26E4-4C1C-BD4E-9FCC-94F744347DEC}">
  <dimension ref="A1:O183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19.1640625" bestFit="1" customWidth="1"/>
  </cols>
  <sheetData>
    <row r="1" spans="1:15" s="12" customFormat="1" ht="32" x14ac:dyDescent="0.2">
      <c r="A1" s="328" t="s">
        <v>497</v>
      </c>
      <c r="B1" s="7" t="s">
        <v>89</v>
      </c>
      <c r="C1" s="7" t="s">
        <v>90</v>
      </c>
      <c r="D1" s="7" t="s">
        <v>91</v>
      </c>
      <c r="E1" s="7" t="s">
        <v>92</v>
      </c>
      <c r="F1" s="7" t="s">
        <v>93</v>
      </c>
      <c r="G1" s="7" t="s">
        <v>94</v>
      </c>
      <c r="H1" s="7" t="s">
        <v>95</v>
      </c>
      <c r="I1" s="7" t="s">
        <v>96</v>
      </c>
      <c r="J1" s="7" t="s">
        <v>97</v>
      </c>
      <c r="K1" s="7" t="s">
        <v>98</v>
      </c>
      <c r="L1" s="7" t="s">
        <v>99</v>
      </c>
      <c r="M1" s="7" t="s">
        <v>100</v>
      </c>
      <c r="N1" s="7" t="s">
        <v>101</v>
      </c>
      <c r="O1" s="329" t="s">
        <v>70</v>
      </c>
    </row>
    <row r="2" spans="1:15" ht="16" x14ac:dyDescent="0.2">
      <c r="A2" s="342" t="s">
        <v>497</v>
      </c>
      <c r="B2" s="343" t="str">
        <f>_xlfn.XLOOKUP(B1,MDS_2[Pregunta],MDS_2[ITEM_CODE],"XXXXXX")</f>
        <v>Q2_1</v>
      </c>
      <c r="C2" s="343" t="str">
        <f>_xlfn.XLOOKUP(C1,MDS_2[Pregunta],MDS_2[ITEM_CODE],"XXXXXX")</f>
        <v>Q2_2</v>
      </c>
      <c r="D2" s="343" t="str">
        <f>_xlfn.XLOOKUP(D1,MDS_2[Pregunta],MDS_2[ITEM_CODE],"XXXXXX")</f>
        <v>Q2_3</v>
      </c>
      <c r="E2" s="343" t="str">
        <f>_xlfn.XLOOKUP(E1,MDS_2[Pregunta],MDS_2[ITEM_CODE],"XXXXXX")</f>
        <v>Q2_4</v>
      </c>
      <c r="F2" s="343" t="str">
        <f>_xlfn.XLOOKUP(F1,MDS_2[Pregunta],MDS_2[ITEM_CODE],"XXXXXX")</f>
        <v>Q2_5</v>
      </c>
      <c r="G2" s="343" t="str">
        <f>_xlfn.XLOOKUP(G1,MDS_2[Pregunta],MDS_2[ITEM_CODE],"XXXXXX")</f>
        <v>Q2_6</v>
      </c>
      <c r="H2" s="343" t="str">
        <f>_xlfn.XLOOKUP(H1,MDS_2[Pregunta],MDS_2[ITEM_CODE],"XXXXXX")</f>
        <v>Q2_7</v>
      </c>
      <c r="I2" s="343" t="str">
        <f>_xlfn.XLOOKUP(I1,MDS_2[Pregunta],MDS_2[ITEM_CODE],"XXXXXX")</f>
        <v>Q2_8</v>
      </c>
      <c r="J2" s="343" t="str">
        <f>_xlfn.XLOOKUP(J1,MDS_2[Pregunta],MDS_2[ITEM_CODE],"XXXXXX")</f>
        <v>Q2_9</v>
      </c>
      <c r="K2" s="343" t="str">
        <f>_xlfn.XLOOKUP(K1,MDS_2[Pregunta],MDS_2[ITEM_CODE],"XXXXXX")</f>
        <v>Q2_10</v>
      </c>
      <c r="L2" s="343" t="str">
        <f>_xlfn.XLOOKUP(L1,MDS_2[Pregunta],MDS_2[ITEM_CODE],"XXXXXX")</f>
        <v>Q2_11</v>
      </c>
      <c r="M2" s="343" t="str">
        <f>_xlfn.XLOOKUP(M1,MDS_2[Pregunta],MDS_2[ITEM_CODE],"XXXXXX")</f>
        <v>Q2_12</v>
      </c>
      <c r="N2" s="343" t="str">
        <f>_xlfn.XLOOKUP(N1,MDS_2[Pregunta],MDS_2[ITEM_CODE],"XXXXXX")</f>
        <v>Q2_13</v>
      </c>
      <c r="O2" s="343" t="s">
        <v>788</v>
      </c>
    </row>
    <row r="3" spans="1:15" s="6" customFormat="1" x14ac:dyDescent="0.2">
      <c r="A3" s="112" t="s">
        <v>297</v>
      </c>
      <c r="B3" s="31">
        <v>1</v>
      </c>
      <c r="C3" s="31">
        <v>1</v>
      </c>
      <c r="D3" s="31">
        <v>1</v>
      </c>
      <c r="E3" s="31">
        <v>1</v>
      </c>
      <c r="F3" s="31">
        <v>1</v>
      </c>
      <c r="G3" s="31">
        <v>1</v>
      </c>
      <c r="H3" s="31">
        <v>0</v>
      </c>
      <c r="I3" s="31">
        <v>1</v>
      </c>
      <c r="J3" s="31">
        <v>2</v>
      </c>
      <c r="K3" s="31">
        <v>2</v>
      </c>
      <c r="L3" s="31">
        <v>1</v>
      </c>
      <c r="M3" s="31">
        <v>1</v>
      </c>
      <c r="N3" s="31">
        <v>0</v>
      </c>
      <c r="O3" s="31">
        <f>SUM(B3:N3)</f>
        <v>13</v>
      </c>
    </row>
    <row r="4" spans="1:15" x14ac:dyDescent="0.2">
      <c r="A4" s="112" t="s">
        <v>298</v>
      </c>
      <c r="B4" s="31">
        <v>1</v>
      </c>
      <c r="C4" s="31">
        <v>2</v>
      </c>
      <c r="D4" s="31">
        <v>0</v>
      </c>
      <c r="E4" s="31">
        <v>1</v>
      </c>
      <c r="F4" s="31">
        <v>1</v>
      </c>
      <c r="G4" s="31">
        <v>0</v>
      </c>
      <c r="H4" s="31">
        <v>0</v>
      </c>
      <c r="I4" s="31">
        <v>0</v>
      </c>
      <c r="J4" s="31">
        <v>3</v>
      </c>
      <c r="K4" s="31">
        <v>0</v>
      </c>
      <c r="L4" s="31">
        <v>0</v>
      </c>
      <c r="M4" s="31">
        <v>0</v>
      </c>
      <c r="N4" s="31">
        <v>0</v>
      </c>
      <c r="O4" s="31">
        <f t="shared" ref="O4:O18" si="0">SUM(B4:N4)</f>
        <v>8</v>
      </c>
    </row>
    <row r="5" spans="1:15" x14ac:dyDescent="0.2">
      <c r="A5" s="112" t="s">
        <v>299</v>
      </c>
      <c r="B5" s="31">
        <v>0</v>
      </c>
      <c r="C5" s="31">
        <v>3</v>
      </c>
      <c r="D5" s="31">
        <v>1</v>
      </c>
      <c r="E5" s="31">
        <v>1</v>
      </c>
      <c r="F5" s="31">
        <v>0</v>
      </c>
      <c r="G5" s="31">
        <v>0</v>
      </c>
      <c r="H5" s="31">
        <v>2</v>
      </c>
      <c r="I5" s="31">
        <v>2</v>
      </c>
      <c r="J5" s="31">
        <v>1</v>
      </c>
      <c r="K5" s="31">
        <v>0</v>
      </c>
      <c r="L5" s="31">
        <v>1</v>
      </c>
      <c r="M5" s="31">
        <v>1</v>
      </c>
      <c r="N5" s="31">
        <v>0</v>
      </c>
      <c r="O5" s="31">
        <f t="shared" si="0"/>
        <v>12</v>
      </c>
    </row>
    <row r="6" spans="1:15" x14ac:dyDescent="0.2">
      <c r="A6" s="112" t="s">
        <v>300</v>
      </c>
      <c r="B6" s="31">
        <v>3</v>
      </c>
      <c r="C6" s="31">
        <v>1</v>
      </c>
      <c r="D6" s="31">
        <v>1</v>
      </c>
      <c r="E6" s="31">
        <v>2</v>
      </c>
      <c r="F6" s="31">
        <v>3</v>
      </c>
      <c r="G6" s="31">
        <v>3</v>
      </c>
      <c r="H6" s="31">
        <v>2</v>
      </c>
      <c r="I6" s="31">
        <v>3</v>
      </c>
      <c r="J6" s="31">
        <v>3</v>
      </c>
      <c r="K6" s="31">
        <v>2</v>
      </c>
      <c r="L6" s="31">
        <v>3</v>
      </c>
      <c r="M6" s="31">
        <v>3</v>
      </c>
      <c r="N6" s="31">
        <v>0</v>
      </c>
      <c r="O6" s="31">
        <f t="shared" si="0"/>
        <v>29</v>
      </c>
    </row>
    <row r="7" spans="1:15" x14ac:dyDescent="0.2">
      <c r="A7" s="112" t="s">
        <v>301</v>
      </c>
      <c r="B7" s="31">
        <v>1</v>
      </c>
      <c r="C7" s="31">
        <v>4</v>
      </c>
      <c r="D7" s="31">
        <v>0</v>
      </c>
      <c r="E7" s="31">
        <v>0</v>
      </c>
      <c r="F7" s="31">
        <v>1</v>
      </c>
      <c r="G7" s="31">
        <v>1</v>
      </c>
      <c r="H7" s="31">
        <v>0</v>
      </c>
      <c r="I7" s="31">
        <v>1</v>
      </c>
      <c r="J7" s="31">
        <v>1</v>
      </c>
      <c r="K7" s="31">
        <v>0</v>
      </c>
      <c r="L7" s="31">
        <v>1</v>
      </c>
      <c r="M7" s="31">
        <v>2</v>
      </c>
      <c r="N7" s="31">
        <v>2</v>
      </c>
      <c r="O7" s="31">
        <f t="shared" si="0"/>
        <v>14</v>
      </c>
    </row>
    <row r="8" spans="1:15" x14ac:dyDescent="0.2">
      <c r="A8" s="112" t="s">
        <v>302</v>
      </c>
      <c r="B8" s="31">
        <v>0</v>
      </c>
      <c r="C8" s="31">
        <v>1</v>
      </c>
      <c r="D8" s="31">
        <v>1</v>
      </c>
      <c r="E8" s="31">
        <v>1</v>
      </c>
      <c r="F8" s="31">
        <v>1</v>
      </c>
      <c r="G8" s="31">
        <v>0</v>
      </c>
      <c r="H8" s="31">
        <v>0</v>
      </c>
      <c r="I8" s="31">
        <v>0</v>
      </c>
      <c r="J8" s="31">
        <v>1</v>
      </c>
      <c r="K8" s="31">
        <v>0</v>
      </c>
      <c r="L8" s="31">
        <v>1</v>
      </c>
      <c r="M8" s="31">
        <v>1</v>
      </c>
      <c r="N8" s="31">
        <v>1</v>
      </c>
      <c r="O8" s="31">
        <f t="shared" si="0"/>
        <v>8</v>
      </c>
    </row>
    <row r="9" spans="1:15" x14ac:dyDescent="0.2">
      <c r="A9" s="112" t="s">
        <v>303</v>
      </c>
      <c r="B9" s="31">
        <v>2</v>
      </c>
      <c r="C9" s="31">
        <v>0</v>
      </c>
      <c r="D9" s="31">
        <v>1</v>
      </c>
      <c r="E9" s="31">
        <v>1</v>
      </c>
      <c r="F9" s="31">
        <v>1</v>
      </c>
      <c r="G9" s="31">
        <v>1</v>
      </c>
      <c r="H9" s="31">
        <v>1</v>
      </c>
      <c r="I9" s="31">
        <v>1</v>
      </c>
      <c r="J9" s="31">
        <v>1</v>
      </c>
      <c r="K9" s="31">
        <v>1</v>
      </c>
      <c r="L9" s="31">
        <v>0</v>
      </c>
      <c r="M9" s="31">
        <v>1</v>
      </c>
      <c r="N9" s="31">
        <v>1</v>
      </c>
      <c r="O9" s="31">
        <f t="shared" si="0"/>
        <v>12</v>
      </c>
    </row>
    <row r="10" spans="1:15" x14ac:dyDescent="0.2">
      <c r="A10" s="112" t="s">
        <v>304</v>
      </c>
      <c r="B10" s="31">
        <v>0</v>
      </c>
      <c r="C10" s="31">
        <v>1</v>
      </c>
      <c r="D10" s="31">
        <v>1</v>
      </c>
      <c r="E10" s="31">
        <v>0</v>
      </c>
      <c r="F10" s="31">
        <v>0</v>
      </c>
      <c r="G10" s="31">
        <v>1</v>
      </c>
      <c r="H10" s="31">
        <v>0</v>
      </c>
      <c r="I10" s="31">
        <v>1</v>
      </c>
      <c r="J10" s="31">
        <v>1</v>
      </c>
      <c r="K10" s="31">
        <v>0</v>
      </c>
      <c r="L10" s="31">
        <v>2</v>
      </c>
      <c r="M10" s="31">
        <v>1</v>
      </c>
      <c r="N10" s="31">
        <v>1</v>
      </c>
      <c r="O10" s="31">
        <f t="shared" si="0"/>
        <v>9</v>
      </c>
    </row>
    <row r="11" spans="1:15" x14ac:dyDescent="0.2">
      <c r="A11" s="112" t="s">
        <v>305</v>
      </c>
      <c r="B11" s="31">
        <v>2</v>
      </c>
      <c r="C11" s="31">
        <v>4</v>
      </c>
      <c r="D11" s="31">
        <v>1</v>
      </c>
      <c r="E11" s="31">
        <v>2</v>
      </c>
      <c r="F11" s="31">
        <v>4</v>
      </c>
      <c r="G11" s="31">
        <v>3</v>
      </c>
      <c r="H11" s="31">
        <v>4</v>
      </c>
      <c r="I11" s="31">
        <v>2</v>
      </c>
      <c r="J11" s="31">
        <v>4</v>
      </c>
      <c r="K11" s="31">
        <v>1</v>
      </c>
      <c r="L11" s="31">
        <v>4</v>
      </c>
      <c r="M11" s="31">
        <v>4</v>
      </c>
      <c r="N11" s="31">
        <v>4</v>
      </c>
      <c r="O11" s="31">
        <f t="shared" si="0"/>
        <v>39</v>
      </c>
    </row>
    <row r="12" spans="1:15" x14ac:dyDescent="0.2">
      <c r="A12" s="112" t="s">
        <v>306</v>
      </c>
      <c r="B12" s="31">
        <v>2</v>
      </c>
      <c r="C12" s="31">
        <v>1</v>
      </c>
      <c r="D12" s="31">
        <v>1</v>
      </c>
      <c r="E12" s="31">
        <v>2</v>
      </c>
      <c r="F12" s="31">
        <v>0</v>
      </c>
      <c r="G12" s="31">
        <v>1</v>
      </c>
      <c r="H12" s="31">
        <v>0</v>
      </c>
      <c r="I12" s="31">
        <v>1</v>
      </c>
      <c r="J12" s="31">
        <v>1</v>
      </c>
      <c r="K12" s="31">
        <v>1</v>
      </c>
      <c r="L12" s="31">
        <v>1</v>
      </c>
      <c r="M12" s="31">
        <v>2</v>
      </c>
      <c r="N12" s="31">
        <v>2</v>
      </c>
      <c r="O12" s="31">
        <f t="shared" si="0"/>
        <v>15</v>
      </c>
    </row>
    <row r="13" spans="1:15" x14ac:dyDescent="0.2">
      <c r="A13" s="112" t="s">
        <v>307</v>
      </c>
      <c r="B13" s="31">
        <v>0</v>
      </c>
      <c r="C13" s="31">
        <v>4</v>
      </c>
      <c r="D13" s="31">
        <v>3</v>
      </c>
      <c r="E13" s="31">
        <v>1</v>
      </c>
      <c r="F13" s="31">
        <v>0</v>
      </c>
      <c r="G13" s="31">
        <v>0</v>
      </c>
      <c r="H13" s="31">
        <v>0</v>
      </c>
      <c r="I13" s="31">
        <v>1</v>
      </c>
      <c r="J13" s="31">
        <v>1</v>
      </c>
      <c r="K13" s="31">
        <v>1</v>
      </c>
      <c r="L13" s="31">
        <v>1</v>
      </c>
      <c r="M13" s="31">
        <v>0</v>
      </c>
      <c r="N13" s="31">
        <v>0</v>
      </c>
      <c r="O13" s="31">
        <f t="shared" si="0"/>
        <v>12</v>
      </c>
    </row>
    <row r="14" spans="1:15" x14ac:dyDescent="0.2">
      <c r="A14" s="112" t="s">
        <v>308</v>
      </c>
      <c r="B14" s="31">
        <v>1</v>
      </c>
      <c r="C14" s="31">
        <v>0</v>
      </c>
      <c r="D14" s="31">
        <v>0</v>
      </c>
      <c r="E14" s="31">
        <v>1</v>
      </c>
      <c r="F14" s="31">
        <v>2</v>
      </c>
      <c r="G14" s="31">
        <v>1</v>
      </c>
      <c r="H14" s="31">
        <v>1</v>
      </c>
      <c r="I14" s="31">
        <v>1</v>
      </c>
      <c r="J14" s="31">
        <v>0</v>
      </c>
      <c r="K14" s="31">
        <v>2</v>
      </c>
      <c r="L14" s="31">
        <v>2</v>
      </c>
      <c r="M14" s="31">
        <v>2</v>
      </c>
      <c r="N14" s="31">
        <v>0</v>
      </c>
      <c r="O14" s="31">
        <f t="shared" si="0"/>
        <v>13</v>
      </c>
    </row>
    <row r="15" spans="1:15" x14ac:dyDescent="0.2">
      <c r="A15" s="112" t="s">
        <v>309</v>
      </c>
      <c r="B15" s="31">
        <v>2</v>
      </c>
      <c r="C15" s="31">
        <v>2</v>
      </c>
      <c r="D15" s="31">
        <v>2</v>
      </c>
      <c r="E15" s="31">
        <v>3</v>
      </c>
      <c r="F15" s="31">
        <v>3</v>
      </c>
      <c r="G15" s="31">
        <v>3</v>
      </c>
      <c r="H15" s="31">
        <v>3</v>
      </c>
      <c r="I15" s="31">
        <v>3</v>
      </c>
      <c r="J15" s="31">
        <v>3</v>
      </c>
      <c r="K15" s="31">
        <v>2</v>
      </c>
      <c r="L15" s="31">
        <v>3</v>
      </c>
      <c r="M15" s="31">
        <v>3</v>
      </c>
      <c r="N15" s="31">
        <v>2</v>
      </c>
      <c r="O15" s="31">
        <f t="shared" si="0"/>
        <v>34</v>
      </c>
    </row>
    <row r="16" spans="1:15" x14ac:dyDescent="0.2">
      <c r="A16" s="112" t="s">
        <v>310</v>
      </c>
      <c r="B16" s="31">
        <v>0</v>
      </c>
      <c r="C16" s="31">
        <v>1</v>
      </c>
      <c r="D16" s="31">
        <v>0</v>
      </c>
      <c r="E16" s="31">
        <v>0</v>
      </c>
      <c r="F16" s="31">
        <v>1</v>
      </c>
      <c r="G16" s="31">
        <v>0</v>
      </c>
      <c r="H16" s="31">
        <v>0</v>
      </c>
      <c r="I16" s="31">
        <v>0</v>
      </c>
      <c r="J16" s="31">
        <v>1</v>
      </c>
      <c r="K16" s="31">
        <v>0</v>
      </c>
      <c r="L16" s="31">
        <v>1</v>
      </c>
      <c r="M16" s="31">
        <v>2</v>
      </c>
      <c r="N16" s="31">
        <v>0</v>
      </c>
      <c r="O16" s="31">
        <f t="shared" si="0"/>
        <v>6</v>
      </c>
    </row>
    <row r="17" spans="1:15" x14ac:dyDescent="0.2">
      <c r="A17" s="112" t="s">
        <v>311</v>
      </c>
      <c r="B17" s="31">
        <v>0</v>
      </c>
      <c r="C17" s="31">
        <v>2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1">
        <f t="shared" si="0"/>
        <v>2</v>
      </c>
    </row>
    <row r="18" spans="1:15" x14ac:dyDescent="0.2">
      <c r="A18" s="112" t="s">
        <v>312</v>
      </c>
      <c r="B18" s="31">
        <v>0</v>
      </c>
      <c r="C18" s="31">
        <v>1</v>
      </c>
      <c r="D18" s="31">
        <v>1</v>
      </c>
      <c r="E18" s="31">
        <v>1</v>
      </c>
      <c r="F18" s="31">
        <v>2</v>
      </c>
      <c r="G18" s="31">
        <v>0</v>
      </c>
      <c r="H18" s="31">
        <v>2</v>
      </c>
      <c r="I18" s="31">
        <v>1</v>
      </c>
      <c r="J18" s="31">
        <v>1</v>
      </c>
      <c r="K18" s="31">
        <v>1</v>
      </c>
      <c r="L18" s="31">
        <v>0</v>
      </c>
      <c r="M18" s="31">
        <v>2</v>
      </c>
      <c r="N18" s="31">
        <v>1</v>
      </c>
      <c r="O18" s="31">
        <f t="shared" si="0"/>
        <v>13</v>
      </c>
    </row>
    <row r="19" spans="1:15" x14ac:dyDescent="0.2">
      <c r="A19" s="112" t="s">
        <v>313</v>
      </c>
      <c r="B19" s="31">
        <v>2</v>
      </c>
      <c r="C19" s="31">
        <v>3</v>
      </c>
      <c r="D19" s="31">
        <v>0</v>
      </c>
      <c r="E19" s="31">
        <v>1</v>
      </c>
      <c r="F19" s="31">
        <v>1</v>
      </c>
      <c r="G19" s="31">
        <v>2</v>
      </c>
      <c r="H19" s="31">
        <v>2</v>
      </c>
      <c r="I19" s="31">
        <v>1</v>
      </c>
      <c r="J19" s="31">
        <v>1</v>
      </c>
      <c r="K19" s="31">
        <v>1</v>
      </c>
      <c r="L19" s="31">
        <v>3</v>
      </c>
      <c r="M19" s="31">
        <v>3</v>
      </c>
      <c r="N19" s="31">
        <v>2</v>
      </c>
      <c r="O19" s="31">
        <f t="shared" ref="O19:O32" si="1">SUM(B19:N19)</f>
        <v>22</v>
      </c>
    </row>
    <row r="20" spans="1:15" x14ac:dyDescent="0.2">
      <c r="A20" s="112" t="s">
        <v>314</v>
      </c>
      <c r="B20" s="31">
        <v>0</v>
      </c>
      <c r="C20" s="31">
        <v>2</v>
      </c>
      <c r="D20" s="31">
        <v>0</v>
      </c>
      <c r="E20" s="31">
        <v>1</v>
      </c>
      <c r="F20" s="31">
        <v>1</v>
      </c>
      <c r="G20" s="31">
        <v>0</v>
      </c>
      <c r="H20" s="31">
        <v>2</v>
      </c>
      <c r="I20" s="31">
        <v>1</v>
      </c>
      <c r="J20" s="31">
        <v>1</v>
      </c>
      <c r="K20" s="31">
        <v>2</v>
      </c>
      <c r="L20" s="31">
        <v>1</v>
      </c>
      <c r="M20" s="31">
        <v>1</v>
      </c>
      <c r="N20" s="31">
        <v>0</v>
      </c>
      <c r="O20" s="31">
        <f t="shared" si="1"/>
        <v>12</v>
      </c>
    </row>
    <row r="21" spans="1:15" x14ac:dyDescent="0.2">
      <c r="A21" s="112" t="s">
        <v>315</v>
      </c>
      <c r="B21" s="31">
        <v>2</v>
      </c>
      <c r="C21" s="31">
        <v>1</v>
      </c>
      <c r="D21" s="31">
        <v>1</v>
      </c>
      <c r="E21" s="31">
        <v>1</v>
      </c>
      <c r="F21" s="31">
        <v>1</v>
      </c>
      <c r="G21" s="31">
        <v>1</v>
      </c>
      <c r="H21" s="31">
        <v>0</v>
      </c>
      <c r="I21" s="31">
        <v>1</v>
      </c>
      <c r="J21" s="31">
        <v>1</v>
      </c>
      <c r="K21" s="31">
        <v>1</v>
      </c>
      <c r="L21" s="31">
        <v>1</v>
      </c>
      <c r="M21" s="31">
        <v>0</v>
      </c>
      <c r="N21" s="31">
        <v>1</v>
      </c>
      <c r="O21" s="31">
        <f t="shared" si="1"/>
        <v>12</v>
      </c>
    </row>
    <row r="22" spans="1:15" x14ac:dyDescent="0.2">
      <c r="A22" s="112" t="s">
        <v>316</v>
      </c>
      <c r="B22" s="31">
        <v>2</v>
      </c>
      <c r="C22" s="31">
        <v>2</v>
      </c>
      <c r="D22" s="31">
        <v>0</v>
      </c>
      <c r="E22" s="31">
        <v>2</v>
      </c>
      <c r="F22" s="31">
        <v>4</v>
      </c>
      <c r="G22" s="31">
        <v>3</v>
      </c>
      <c r="H22" s="31">
        <v>4</v>
      </c>
      <c r="I22" s="31">
        <v>1</v>
      </c>
      <c r="J22" s="31">
        <v>4</v>
      </c>
      <c r="K22" s="31">
        <v>1</v>
      </c>
      <c r="L22" s="31">
        <v>3</v>
      </c>
      <c r="M22" s="31">
        <v>3</v>
      </c>
      <c r="N22" s="31">
        <v>0</v>
      </c>
      <c r="O22" s="31">
        <f t="shared" si="1"/>
        <v>29</v>
      </c>
    </row>
    <row r="23" spans="1:15" x14ac:dyDescent="0.2">
      <c r="A23" s="112" t="s">
        <v>317</v>
      </c>
      <c r="B23" s="31">
        <v>2</v>
      </c>
      <c r="C23" s="31">
        <v>3</v>
      </c>
      <c r="D23" s="31">
        <v>1</v>
      </c>
      <c r="E23" s="31">
        <v>1</v>
      </c>
      <c r="F23" s="31">
        <v>2</v>
      </c>
      <c r="G23" s="31">
        <v>1</v>
      </c>
      <c r="H23" s="31">
        <v>2</v>
      </c>
      <c r="I23" s="31">
        <v>1</v>
      </c>
      <c r="J23" s="31">
        <v>0</v>
      </c>
      <c r="K23" s="31">
        <v>1</v>
      </c>
      <c r="L23" s="31">
        <v>0</v>
      </c>
      <c r="M23" s="31">
        <v>1</v>
      </c>
      <c r="N23" s="31">
        <v>0</v>
      </c>
      <c r="O23" s="31">
        <f t="shared" si="1"/>
        <v>15</v>
      </c>
    </row>
    <row r="24" spans="1:15" x14ac:dyDescent="0.2">
      <c r="A24" s="112" t="s">
        <v>318</v>
      </c>
      <c r="B24" s="31">
        <v>0</v>
      </c>
      <c r="C24" s="31">
        <v>0</v>
      </c>
      <c r="D24" s="31">
        <v>0</v>
      </c>
      <c r="E24" s="31">
        <v>1</v>
      </c>
      <c r="F24" s="31">
        <v>1</v>
      </c>
      <c r="G24" s="31">
        <v>2</v>
      </c>
      <c r="H24" s="31">
        <v>1</v>
      </c>
      <c r="I24" s="31">
        <v>1</v>
      </c>
      <c r="J24" s="31">
        <v>1</v>
      </c>
      <c r="K24" s="31">
        <v>2</v>
      </c>
      <c r="L24" s="31">
        <v>2</v>
      </c>
      <c r="M24" s="31">
        <v>1</v>
      </c>
      <c r="N24" s="31">
        <v>0</v>
      </c>
      <c r="O24" s="31">
        <f t="shared" si="1"/>
        <v>12</v>
      </c>
    </row>
    <row r="25" spans="1:15" x14ac:dyDescent="0.2">
      <c r="A25" s="112" t="s">
        <v>319</v>
      </c>
      <c r="B25" s="31">
        <v>0</v>
      </c>
      <c r="C25" s="31">
        <v>0</v>
      </c>
      <c r="D25" s="31">
        <v>0</v>
      </c>
      <c r="E25" s="31">
        <v>0</v>
      </c>
      <c r="F25" s="31">
        <v>1</v>
      </c>
      <c r="G25" s="31">
        <v>0</v>
      </c>
      <c r="H25" s="31">
        <v>0</v>
      </c>
      <c r="I25" s="31">
        <v>0</v>
      </c>
      <c r="J25" s="31">
        <v>0</v>
      </c>
      <c r="K25" s="31">
        <v>1</v>
      </c>
      <c r="L25" s="31">
        <v>0</v>
      </c>
      <c r="M25" s="31">
        <v>0</v>
      </c>
      <c r="N25" s="31">
        <v>1</v>
      </c>
      <c r="O25" s="31">
        <f t="shared" si="1"/>
        <v>3</v>
      </c>
    </row>
    <row r="26" spans="1:15" x14ac:dyDescent="0.2">
      <c r="A26" s="112" t="s">
        <v>489</v>
      </c>
      <c r="B26" s="31">
        <v>1</v>
      </c>
      <c r="C26" s="31">
        <v>2</v>
      </c>
      <c r="D26" s="31">
        <v>0</v>
      </c>
      <c r="E26" s="31">
        <v>1</v>
      </c>
      <c r="F26" s="31">
        <v>2</v>
      </c>
      <c r="G26" s="31">
        <v>1</v>
      </c>
      <c r="H26" s="31">
        <v>2</v>
      </c>
      <c r="I26" s="31">
        <v>1</v>
      </c>
      <c r="J26" s="31">
        <v>1</v>
      </c>
      <c r="K26" s="31">
        <v>0</v>
      </c>
      <c r="L26" s="31">
        <v>2</v>
      </c>
      <c r="M26" s="31">
        <v>2</v>
      </c>
      <c r="N26" s="31">
        <v>3</v>
      </c>
      <c r="O26" s="31">
        <f t="shared" si="1"/>
        <v>18</v>
      </c>
    </row>
    <row r="27" spans="1:15" x14ac:dyDescent="0.2">
      <c r="A27" s="112" t="s">
        <v>320</v>
      </c>
      <c r="B27" s="26">
        <v>1</v>
      </c>
      <c r="C27" s="26">
        <v>0</v>
      </c>
      <c r="D27" s="26">
        <v>2</v>
      </c>
      <c r="E27" s="26">
        <v>2</v>
      </c>
      <c r="F27" s="26">
        <v>2</v>
      </c>
      <c r="G27" s="26">
        <v>2</v>
      </c>
      <c r="H27" s="26">
        <v>2</v>
      </c>
      <c r="I27" s="26">
        <v>2</v>
      </c>
      <c r="J27" s="26">
        <v>2</v>
      </c>
      <c r="K27" s="26">
        <v>2</v>
      </c>
      <c r="L27" s="26">
        <v>1</v>
      </c>
      <c r="M27" s="26">
        <v>3</v>
      </c>
      <c r="N27" s="26">
        <v>1</v>
      </c>
      <c r="O27" s="26">
        <f t="shared" si="1"/>
        <v>22</v>
      </c>
    </row>
    <row r="28" spans="1:15" x14ac:dyDescent="0.2">
      <c r="A28" s="112" t="s">
        <v>321</v>
      </c>
      <c r="B28" s="31">
        <v>2</v>
      </c>
      <c r="C28" s="31">
        <v>0</v>
      </c>
      <c r="D28" s="31">
        <v>0</v>
      </c>
      <c r="E28" s="31">
        <v>1</v>
      </c>
      <c r="F28" s="31">
        <v>1</v>
      </c>
      <c r="G28" s="31">
        <v>1</v>
      </c>
      <c r="H28" s="31">
        <v>1</v>
      </c>
      <c r="I28" s="31">
        <v>1</v>
      </c>
      <c r="J28" s="31">
        <v>0</v>
      </c>
      <c r="K28" s="31">
        <v>2</v>
      </c>
      <c r="L28" s="31">
        <v>1</v>
      </c>
      <c r="M28" s="31">
        <v>1</v>
      </c>
      <c r="N28" s="31">
        <v>0</v>
      </c>
      <c r="O28" s="31">
        <f t="shared" si="1"/>
        <v>11</v>
      </c>
    </row>
    <row r="29" spans="1:15" x14ac:dyDescent="0.2">
      <c r="A29" s="112" t="s">
        <v>322</v>
      </c>
      <c r="B29" s="31">
        <v>1</v>
      </c>
      <c r="C29" s="31">
        <v>2</v>
      </c>
      <c r="D29" s="31">
        <v>1</v>
      </c>
      <c r="E29" s="31">
        <v>1</v>
      </c>
      <c r="F29" s="31">
        <v>1</v>
      </c>
      <c r="G29" s="31">
        <v>1</v>
      </c>
      <c r="H29" s="31">
        <v>3</v>
      </c>
      <c r="I29" s="31">
        <v>2</v>
      </c>
      <c r="J29" s="31">
        <v>1</v>
      </c>
      <c r="K29" s="31">
        <v>3</v>
      </c>
      <c r="L29" s="31">
        <v>0</v>
      </c>
      <c r="M29" s="31">
        <v>2</v>
      </c>
      <c r="N29" s="31">
        <v>1</v>
      </c>
      <c r="O29" s="31">
        <f t="shared" si="1"/>
        <v>19</v>
      </c>
    </row>
    <row r="30" spans="1:15" x14ac:dyDescent="0.2">
      <c r="A30" s="112" t="s">
        <v>323</v>
      </c>
      <c r="B30" s="26">
        <v>2</v>
      </c>
      <c r="C30" s="26">
        <v>1</v>
      </c>
      <c r="D30" s="26">
        <v>3</v>
      </c>
      <c r="E30" s="26">
        <v>3</v>
      </c>
      <c r="F30" s="26">
        <v>2</v>
      </c>
      <c r="G30" s="26">
        <v>3</v>
      </c>
      <c r="H30" s="26">
        <v>3</v>
      </c>
      <c r="I30" s="26">
        <v>2</v>
      </c>
      <c r="J30" s="26">
        <v>2</v>
      </c>
      <c r="K30" s="26">
        <v>0</v>
      </c>
      <c r="L30" s="26">
        <v>2</v>
      </c>
      <c r="M30" s="26">
        <v>3</v>
      </c>
      <c r="N30" s="26">
        <v>0</v>
      </c>
      <c r="O30" s="26">
        <f t="shared" si="1"/>
        <v>26</v>
      </c>
    </row>
    <row r="31" spans="1:15" x14ac:dyDescent="0.2">
      <c r="A31" s="112" t="s">
        <v>324</v>
      </c>
      <c r="B31" s="122">
        <v>1</v>
      </c>
      <c r="C31" s="122">
        <v>0</v>
      </c>
      <c r="D31" s="122">
        <v>0</v>
      </c>
      <c r="E31" s="122">
        <v>0</v>
      </c>
      <c r="F31" s="26">
        <v>0</v>
      </c>
      <c r="G31" s="26">
        <v>0</v>
      </c>
      <c r="H31" s="26">
        <v>2</v>
      </c>
      <c r="I31" s="26">
        <v>1</v>
      </c>
      <c r="J31" s="26">
        <v>0</v>
      </c>
      <c r="K31" s="26">
        <v>2</v>
      </c>
      <c r="L31" s="26">
        <v>0</v>
      </c>
      <c r="M31" s="26">
        <v>0</v>
      </c>
      <c r="N31" s="26">
        <v>0</v>
      </c>
      <c r="O31" s="26">
        <f t="shared" si="1"/>
        <v>6</v>
      </c>
    </row>
    <row r="32" spans="1:15" x14ac:dyDescent="0.2">
      <c r="A32" s="112" t="s">
        <v>325</v>
      </c>
      <c r="B32" s="26">
        <v>3</v>
      </c>
      <c r="C32" s="26">
        <v>2</v>
      </c>
      <c r="D32" s="26">
        <v>2</v>
      </c>
      <c r="E32" s="26">
        <v>3</v>
      </c>
      <c r="F32" s="184">
        <v>3</v>
      </c>
      <c r="G32" s="26">
        <v>3</v>
      </c>
      <c r="H32" s="26">
        <v>3</v>
      </c>
      <c r="I32" s="26">
        <v>3</v>
      </c>
      <c r="J32" s="26">
        <v>3</v>
      </c>
      <c r="K32" s="26">
        <v>1</v>
      </c>
      <c r="L32" s="26">
        <v>3</v>
      </c>
      <c r="M32" s="26">
        <v>2</v>
      </c>
      <c r="N32" s="26">
        <v>2</v>
      </c>
      <c r="O32" s="26">
        <f t="shared" si="1"/>
        <v>33</v>
      </c>
    </row>
    <row r="33" spans="1:15" x14ac:dyDescent="0.2">
      <c r="A33" s="113" t="s">
        <v>326</v>
      </c>
      <c r="B33" s="187">
        <v>3</v>
      </c>
      <c r="C33" s="187">
        <v>4</v>
      </c>
      <c r="D33" s="187">
        <v>2</v>
      </c>
      <c r="E33" s="187">
        <v>1</v>
      </c>
      <c r="F33" s="185">
        <v>2</v>
      </c>
      <c r="G33" s="185">
        <v>1</v>
      </c>
      <c r="H33" s="185">
        <v>3</v>
      </c>
      <c r="I33" s="185">
        <v>0</v>
      </c>
      <c r="J33" s="185">
        <v>3</v>
      </c>
      <c r="K33" s="185">
        <v>1</v>
      </c>
      <c r="L33" s="185">
        <v>3</v>
      </c>
      <c r="M33" s="185">
        <v>4</v>
      </c>
      <c r="N33" s="185">
        <v>0</v>
      </c>
      <c r="O33" s="185">
        <v>27</v>
      </c>
    </row>
    <row r="34" spans="1:15" x14ac:dyDescent="0.2">
      <c r="A34" s="112" t="s">
        <v>327</v>
      </c>
      <c r="B34" s="26">
        <v>0</v>
      </c>
      <c r="C34" s="26">
        <v>0</v>
      </c>
      <c r="D34" s="26">
        <v>0</v>
      </c>
      <c r="E34" s="26">
        <v>0</v>
      </c>
      <c r="F34" s="184">
        <v>1</v>
      </c>
      <c r="G34" s="26">
        <v>1</v>
      </c>
      <c r="H34" s="26">
        <v>0</v>
      </c>
      <c r="I34" s="26">
        <v>1</v>
      </c>
      <c r="J34" s="26">
        <v>0</v>
      </c>
      <c r="K34" s="26">
        <v>1</v>
      </c>
      <c r="L34" s="26">
        <v>0</v>
      </c>
      <c r="M34" s="26">
        <v>0</v>
      </c>
      <c r="N34" s="26">
        <v>0</v>
      </c>
      <c r="O34" s="31">
        <f t="shared" ref="O34:O42" si="2">SUM(B34:N34)</f>
        <v>4</v>
      </c>
    </row>
    <row r="35" spans="1:15" ht="16" x14ac:dyDescent="0.2">
      <c r="A35" s="112" t="s">
        <v>328</v>
      </c>
      <c r="B35" s="190">
        <v>2</v>
      </c>
      <c r="C35" s="190">
        <v>2</v>
      </c>
      <c r="D35" s="190">
        <v>1</v>
      </c>
      <c r="E35" s="190">
        <v>1</v>
      </c>
      <c r="F35" s="189">
        <v>1</v>
      </c>
      <c r="G35" s="189">
        <v>1</v>
      </c>
      <c r="H35" s="189">
        <v>1</v>
      </c>
      <c r="I35" s="189">
        <v>1</v>
      </c>
      <c r="J35" s="189">
        <v>1</v>
      </c>
      <c r="K35" s="189">
        <v>1</v>
      </c>
      <c r="L35" s="189">
        <v>1</v>
      </c>
      <c r="M35" s="189">
        <v>2</v>
      </c>
      <c r="N35" s="189">
        <v>2</v>
      </c>
      <c r="O35" s="31">
        <f t="shared" si="2"/>
        <v>17</v>
      </c>
    </row>
    <row r="36" spans="1:15" x14ac:dyDescent="0.2">
      <c r="A36" s="112" t="s">
        <v>329</v>
      </c>
      <c r="B36" s="26">
        <v>3</v>
      </c>
      <c r="C36" s="26">
        <v>3</v>
      </c>
      <c r="D36" s="26">
        <v>1</v>
      </c>
      <c r="E36" s="26">
        <v>4</v>
      </c>
      <c r="F36" s="184">
        <v>4</v>
      </c>
      <c r="G36" s="26">
        <v>4</v>
      </c>
      <c r="H36" s="26">
        <v>3</v>
      </c>
      <c r="I36" s="26">
        <v>4</v>
      </c>
      <c r="J36" s="26">
        <v>4</v>
      </c>
      <c r="K36" s="26">
        <v>1</v>
      </c>
      <c r="L36" s="26">
        <v>4</v>
      </c>
      <c r="M36" s="26">
        <v>4</v>
      </c>
      <c r="N36" s="26">
        <v>4</v>
      </c>
      <c r="O36" s="31">
        <f t="shared" si="2"/>
        <v>43</v>
      </c>
    </row>
    <row r="37" spans="1:15" x14ac:dyDescent="0.2">
      <c r="A37" s="112" t="s">
        <v>330</v>
      </c>
      <c r="B37" s="122">
        <v>2</v>
      </c>
      <c r="C37" s="122">
        <v>0</v>
      </c>
      <c r="D37" s="122">
        <v>0</v>
      </c>
      <c r="E37" s="122">
        <v>1</v>
      </c>
      <c r="F37" s="10">
        <v>0</v>
      </c>
      <c r="G37" s="10">
        <v>0</v>
      </c>
      <c r="H37" s="10">
        <v>2</v>
      </c>
      <c r="I37" s="10">
        <v>0</v>
      </c>
      <c r="J37" s="10">
        <v>0</v>
      </c>
      <c r="K37" s="10">
        <v>1</v>
      </c>
      <c r="L37" s="10">
        <v>0</v>
      </c>
      <c r="M37" s="10">
        <v>0</v>
      </c>
      <c r="N37" s="10">
        <v>0</v>
      </c>
      <c r="O37" s="31">
        <f t="shared" si="2"/>
        <v>6</v>
      </c>
    </row>
    <row r="38" spans="1:15" x14ac:dyDescent="0.2">
      <c r="A38" s="112" t="s">
        <v>331</v>
      </c>
      <c r="B38" s="26">
        <v>2</v>
      </c>
      <c r="C38" s="26">
        <v>3</v>
      </c>
      <c r="D38" s="26">
        <v>1</v>
      </c>
      <c r="E38" s="26">
        <v>0</v>
      </c>
      <c r="F38" s="26">
        <v>2</v>
      </c>
      <c r="G38" s="26">
        <v>1</v>
      </c>
      <c r="H38" s="26">
        <v>1</v>
      </c>
      <c r="I38" s="26">
        <v>3</v>
      </c>
      <c r="J38" s="26">
        <v>3</v>
      </c>
      <c r="K38" s="26">
        <v>0</v>
      </c>
      <c r="L38" s="26">
        <v>2</v>
      </c>
      <c r="M38" s="26">
        <v>3</v>
      </c>
      <c r="N38" s="26">
        <v>0</v>
      </c>
      <c r="O38" s="31">
        <f t="shared" si="2"/>
        <v>21</v>
      </c>
    </row>
    <row r="39" spans="1:15" x14ac:dyDescent="0.2">
      <c r="A39" s="112" t="s">
        <v>332</v>
      </c>
      <c r="B39" s="26">
        <v>0</v>
      </c>
      <c r="C39" s="26">
        <v>2</v>
      </c>
      <c r="D39" s="26">
        <v>0</v>
      </c>
      <c r="E39" s="26">
        <v>0</v>
      </c>
      <c r="F39" s="26">
        <v>1</v>
      </c>
      <c r="G39" s="26">
        <v>2</v>
      </c>
      <c r="H39" s="26">
        <v>1</v>
      </c>
      <c r="I39" s="26">
        <v>1</v>
      </c>
      <c r="J39" s="26">
        <v>1</v>
      </c>
      <c r="K39" s="26">
        <v>4</v>
      </c>
      <c r="L39" s="26">
        <v>1</v>
      </c>
      <c r="M39" s="26">
        <v>3</v>
      </c>
      <c r="N39" s="26">
        <v>0</v>
      </c>
      <c r="O39" s="31">
        <f t="shared" si="2"/>
        <v>16</v>
      </c>
    </row>
    <row r="40" spans="1:15" x14ac:dyDescent="0.2">
      <c r="A40" s="112" t="s">
        <v>333</v>
      </c>
      <c r="B40" s="26">
        <v>0</v>
      </c>
      <c r="C40" s="26">
        <v>0</v>
      </c>
      <c r="D40" s="26">
        <v>1</v>
      </c>
      <c r="E40" s="26">
        <v>1</v>
      </c>
      <c r="F40" s="26">
        <v>2</v>
      </c>
      <c r="G40" s="26">
        <v>2</v>
      </c>
      <c r="H40" s="26">
        <v>1</v>
      </c>
      <c r="I40" s="26">
        <v>2</v>
      </c>
      <c r="J40" s="26">
        <v>2</v>
      </c>
      <c r="K40" s="26">
        <v>2</v>
      </c>
      <c r="L40" s="26">
        <v>2</v>
      </c>
      <c r="M40" s="26">
        <v>3</v>
      </c>
      <c r="N40" s="26">
        <v>1</v>
      </c>
      <c r="O40" s="31">
        <f t="shared" si="2"/>
        <v>19</v>
      </c>
    </row>
    <row r="41" spans="1:15" x14ac:dyDescent="0.2">
      <c r="A41" s="112" t="s">
        <v>334</v>
      </c>
      <c r="B41" s="26">
        <v>2</v>
      </c>
      <c r="C41" s="26">
        <v>2</v>
      </c>
      <c r="D41" s="26">
        <v>3</v>
      </c>
      <c r="E41" s="26">
        <v>2</v>
      </c>
      <c r="F41" s="26">
        <v>2</v>
      </c>
      <c r="G41" s="26">
        <v>1</v>
      </c>
      <c r="H41" s="26">
        <v>3</v>
      </c>
      <c r="I41" s="26">
        <v>2</v>
      </c>
      <c r="J41" s="26">
        <v>2</v>
      </c>
      <c r="K41" s="26">
        <v>3</v>
      </c>
      <c r="L41" s="26">
        <v>2</v>
      </c>
      <c r="M41" s="26">
        <v>4</v>
      </c>
      <c r="N41" s="26">
        <v>4</v>
      </c>
      <c r="O41" s="31">
        <f t="shared" si="2"/>
        <v>32</v>
      </c>
    </row>
    <row r="42" spans="1:15" x14ac:dyDescent="0.2">
      <c r="A42" s="117" t="s">
        <v>335</v>
      </c>
      <c r="B42" s="26">
        <v>0</v>
      </c>
      <c r="C42" s="26">
        <v>0</v>
      </c>
      <c r="D42" s="26">
        <v>0</v>
      </c>
      <c r="E42" s="26">
        <v>0</v>
      </c>
      <c r="F42" s="26">
        <v>0</v>
      </c>
      <c r="G42" s="26">
        <v>0</v>
      </c>
      <c r="H42" s="26">
        <v>1</v>
      </c>
      <c r="I42" s="26">
        <v>0</v>
      </c>
      <c r="J42" s="26">
        <v>0</v>
      </c>
      <c r="K42" s="26">
        <v>2</v>
      </c>
      <c r="L42" s="26">
        <v>0</v>
      </c>
      <c r="M42" s="26">
        <v>1</v>
      </c>
      <c r="N42" s="26">
        <v>0</v>
      </c>
      <c r="O42" s="31">
        <f t="shared" si="2"/>
        <v>4</v>
      </c>
    </row>
    <row r="43" spans="1:15" x14ac:dyDescent="0.2">
      <c r="A43" s="117" t="s">
        <v>336</v>
      </c>
      <c r="B43" s="26">
        <v>0</v>
      </c>
      <c r="C43" s="26">
        <v>0</v>
      </c>
      <c r="D43" s="26">
        <v>0</v>
      </c>
      <c r="E43" s="26">
        <v>0</v>
      </c>
      <c r="F43" s="26">
        <v>0</v>
      </c>
      <c r="G43" s="26">
        <v>0</v>
      </c>
      <c r="H43" s="26">
        <v>1</v>
      </c>
      <c r="I43" s="26">
        <v>0</v>
      </c>
      <c r="J43" s="26">
        <v>0</v>
      </c>
      <c r="K43" s="26">
        <v>1</v>
      </c>
      <c r="L43" s="26">
        <v>0</v>
      </c>
      <c r="M43" s="26">
        <v>0</v>
      </c>
      <c r="N43" s="26">
        <v>0</v>
      </c>
      <c r="O43" s="31">
        <f t="shared" ref="O43:O46" si="3">SUM(B43:N43)</f>
        <v>2</v>
      </c>
    </row>
    <row r="44" spans="1:15" x14ac:dyDescent="0.2">
      <c r="A44" s="117" t="s">
        <v>337</v>
      </c>
      <c r="B44" s="26">
        <v>3</v>
      </c>
      <c r="C44" s="26">
        <v>3</v>
      </c>
      <c r="D44" s="26">
        <v>2</v>
      </c>
      <c r="E44" s="26">
        <v>0</v>
      </c>
      <c r="F44" s="26">
        <v>0</v>
      </c>
      <c r="G44" s="26">
        <v>0</v>
      </c>
      <c r="H44" s="26">
        <v>1</v>
      </c>
      <c r="I44" s="26">
        <v>1</v>
      </c>
      <c r="J44" s="26">
        <v>1</v>
      </c>
      <c r="K44" s="26">
        <v>1</v>
      </c>
      <c r="L44" s="26">
        <v>1</v>
      </c>
      <c r="M44" s="26">
        <v>2</v>
      </c>
      <c r="N44" s="26">
        <v>0</v>
      </c>
      <c r="O44" s="31">
        <f t="shared" si="3"/>
        <v>15</v>
      </c>
    </row>
    <row r="45" spans="1:15" x14ac:dyDescent="0.2">
      <c r="A45" s="119" t="s">
        <v>338</v>
      </c>
      <c r="B45" s="27">
        <v>1</v>
      </c>
      <c r="C45" s="27">
        <v>0</v>
      </c>
      <c r="D45" s="27">
        <v>0</v>
      </c>
      <c r="E45" s="27">
        <v>1</v>
      </c>
      <c r="F45" s="27">
        <v>1</v>
      </c>
      <c r="G45" s="27">
        <v>1</v>
      </c>
      <c r="H45" s="27">
        <v>1</v>
      </c>
      <c r="I45" s="27">
        <v>1</v>
      </c>
      <c r="J45" s="27">
        <v>1</v>
      </c>
      <c r="K45" s="27">
        <v>0</v>
      </c>
      <c r="L45" s="27">
        <v>1</v>
      </c>
      <c r="M45" s="27">
        <v>2</v>
      </c>
      <c r="N45" s="27">
        <v>2</v>
      </c>
      <c r="O45" s="31">
        <f t="shared" si="3"/>
        <v>12</v>
      </c>
    </row>
    <row r="46" spans="1:15" x14ac:dyDescent="0.2">
      <c r="A46" s="112" t="s">
        <v>339</v>
      </c>
      <c r="B46" s="26">
        <v>1</v>
      </c>
      <c r="C46" s="26">
        <v>0</v>
      </c>
      <c r="D46" s="26">
        <v>2</v>
      </c>
      <c r="E46" s="26">
        <v>2</v>
      </c>
      <c r="F46" s="26">
        <v>2</v>
      </c>
      <c r="G46" s="26">
        <v>2</v>
      </c>
      <c r="H46" s="26">
        <v>2</v>
      </c>
      <c r="I46" s="26">
        <v>2</v>
      </c>
      <c r="J46" s="26">
        <v>2</v>
      </c>
      <c r="K46" s="26">
        <v>2</v>
      </c>
      <c r="L46" s="26">
        <v>1</v>
      </c>
      <c r="M46" s="26">
        <v>3</v>
      </c>
      <c r="N46" s="26">
        <v>1</v>
      </c>
      <c r="O46" s="31">
        <f t="shared" si="3"/>
        <v>22</v>
      </c>
    </row>
    <row r="47" spans="1:15" x14ac:dyDescent="0.2">
      <c r="A47" s="117" t="s">
        <v>340</v>
      </c>
      <c r="B47" s="26" t="s">
        <v>501</v>
      </c>
      <c r="C47" s="26" t="s">
        <v>501</v>
      </c>
      <c r="D47" s="26" t="s">
        <v>501</v>
      </c>
      <c r="E47" s="26" t="s">
        <v>501</v>
      </c>
      <c r="F47" s="26" t="s">
        <v>501</v>
      </c>
      <c r="G47" s="26" t="s">
        <v>501</v>
      </c>
      <c r="H47" s="26" t="s">
        <v>501</v>
      </c>
      <c r="I47" s="26" t="s">
        <v>501</v>
      </c>
      <c r="J47" s="26" t="s">
        <v>501</v>
      </c>
      <c r="K47" s="26" t="s">
        <v>501</v>
      </c>
      <c r="L47" s="26" t="s">
        <v>501</v>
      </c>
      <c r="M47" s="26" t="s">
        <v>501</v>
      </c>
      <c r="N47" s="26" t="s">
        <v>501</v>
      </c>
      <c r="O47" s="26" t="s">
        <v>501</v>
      </c>
    </row>
    <row r="48" spans="1:15" x14ac:dyDescent="0.2">
      <c r="A48" s="117" t="s">
        <v>341</v>
      </c>
      <c r="B48" s="122" t="s">
        <v>501</v>
      </c>
      <c r="C48" s="122" t="s">
        <v>501</v>
      </c>
      <c r="D48" s="122" t="s">
        <v>501</v>
      </c>
      <c r="E48" s="122" t="s">
        <v>501</v>
      </c>
      <c r="F48" s="122" t="s">
        <v>501</v>
      </c>
      <c r="G48" s="122" t="s">
        <v>501</v>
      </c>
      <c r="H48" s="122" t="s">
        <v>501</v>
      </c>
      <c r="I48" s="122" t="s">
        <v>501</v>
      </c>
      <c r="J48" s="122" t="s">
        <v>501</v>
      </c>
      <c r="K48" s="122" t="s">
        <v>501</v>
      </c>
      <c r="L48" s="122" t="s">
        <v>501</v>
      </c>
      <c r="M48" s="122" t="s">
        <v>501</v>
      </c>
      <c r="N48" s="122" t="s">
        <v>501</v>
      </c>
      <c r="O48" s="122" t="s">
        <v>501</v>
      </c>
    </row>
    <row r="49" spans="1:15" x14ac:dyDescent="0.2">
      <c r="A49" s="117" t="s">
        <v>342</v>
      </c>
      <c r="B49" s="26">
        <v>0</v>
      </c>
      <c r="C49" s="26">
        <v>3</v>
      </c>
      <c r="D49" s="26">
        <v>1</v>
      </c>
      <c r="E49" s="26">
        <v>0</v>
      </c>
      <c r="F49" s="26">
        <v>0</v>
      </c>
      <c r="G49" s="26">
        <v>0</v>
      </c>
      <c r="H49" s="26">
        <v>0</v>
      </c>
      <c r="I49" s="26">
        <v>0</v>
      </c>
      <c r="J49" s="26">
        <v>0</v>
      </c>
      <c r="K49" s="26">
        <v>1</v>
      </c>
      <c r="L49" s="26">
        <v>0</v>
      </c>
      <c r="M49" s="26">
        <v>0</v>
      </c>
      <c r="N49" s="26">
        <v>0</v>
      </c>
      <c r="O49" s="194">
        <f t="shared" ref="O49" si="4">SUM(B49:N49)</f>
        <v>5</v>
      </c>
    </row>
    <row r="50" spans="1:15" x14ac:dyDescent="0.2">
      <c r="A50" s="117" t="s">
        <v>343</v>
      </c>
      <c r="B50" s="31">
        <v>0</v>
      </c>
      <c r="C50" s="31">
        <v>0</v>
      </c>
      <c r="D50" s="31">
        <v>0</v>
      </c>
      <c r="E50" s="31">
        <v>0</v>
      </c>
      <c r="F50" s="31">
        <v>1</v>
      </c>
      <c r="G50" s="31">
        <v>0</v>
      </c>
      <c r="H50" s="31">
        <v>0</v>
      </c>
      <c r="I50" s="31">
        <v>0</v>
      </c>
      <c r="J50" s="31">
        <v>0</v>
      </c>
      <c r="K50" s="31">
        <v>1</v>
      </c>
      <c r="L50" s="31">
        <v>0</v>
      </c>
      <c r="M50" s="31">
        <v>0</v>
      </c>
      <c r="N50" s="31">
        <v>1</v>
      </c>
      <c r="O50" s="31">
        <f>SUM(B50:N50)</f>
        <v>3</v>
      </c>
    </row>
    <row r="51" spans="1:15" x14ac:dyDescent="0.2">
      <c r="A51" s="117" t="s">
        <v>344</v>
      </c>
      <c r="B51" s="26" t="s">
        <v>501</v>
      </c>
      <c r="C51" s="26" t="s">
        <v>501</v>
      </c>
      <c r="D51" s="26" t="s">
        <v>501</v>
      </c>
      <c r="E51" s="26" t="s">
        <v>501</v>
      </c>
      <c r="F51" s="26" t="s">
        <v>501</v>
      </c>
      <c r="G51" s="26" t="s">
        <v>501</v>
      </c>
      <c r="H51" s="26" t="s">
        <v>501</v>
      </c>
      <c r="I51" s="26" t="s">
        <v>501</v>
      </c>
      <c r="J51" s="26" t="s">
        <v>501</v>
      </c>
      <c r="K51" s="26" t="s">
        <v>501</v>
      </c>
      <c r="L51" s="26" t="s">
        <v>501</v>
      </c>
      <c r="M51" s="26" t="s">
        <v>501</v>
      </c>
      <c r="N51" s="26" t="s">
        <v>501</v>
      </c>
      <c r="O51" s="26" t="s">
        <v>501</v>
      </c>
    </row>
    <row r="52" spans="1:15" x14ac:dyDescent="0.2">
      <c r="A52" s="119" t="s">
        <v>345</v>
      </c>
      <c r="B52" s="10">
        <v>2</v>
      </c>
      <c r="C52" s="10">
        <v>0</v>
      </c>
      <c r="D52" s="10">
        <v>2</v>
      </c>
      <c r="E52" s="10">
        <v>0</v>
      </c>
      <c r="F52" s="10">
        <v>2</v>
      </c>
      <c r="G52" s="10">
        <v>2</v>
      </c>
      <c r="H52" s="10">
        <v>1</v>
      </c>
      <c r="I52" s="10">
        <v>1</v>
      </c>
      <c r="J52" s="10">
        <v>1</v>
      </c>
      <c r="K52" s="10">
        <v>1</v>
      </c>
      <c r="L52" s="10">
        <v>1</v>
      </c>
      <c r="M52" s="10">
        <v>3</v>
      </c>
      <c r="N52" s="10">
        <v>0</v>
      </c>
      <c r="O52" s="31">
        <f t="shared" ref="O52:O61" si="5">SUM(B52:N52)</f>
        <v>16</v>
      </c>
    </row>
    <row r="53" spans="1:15" x14ac:dyDescent="0.2">
      <c r="A53" s="119" t="s">
        <v>346</v>
      </c>
      <c r="B53" s="10">
        <v>1</v>
      </c>
      <c r="C53" s="198">
        <v>1</v>
      </c>
      <c r="D53" s="198">
        <v>1</v>
      </c>
      <c r="E53" s="198">
        <v>1</v>
      </c>
      <c r="F53" s="198">
        <v>1</v>
      </c>
      <c r="G53" s="10">
        <v>2</v>
      </c>
      <c r="H53" s="10">
        <v>2</v>
      </c>
      <c r="I53" s="10">
        <v>1</v>
      </c>
      <c r="J53" s="10">
        <v>3</v>
      </c>
      <c r="K53" s="10">
        <v>1</v>
      </c>
      <c r="L53" s="10">
        <v>3</v>
      </c>
      <c r="M53" s="10">
        <v>3</v>
      </c>
      <c r="N53" s="10">
        <v>0</v>
      </c>
      <c r="O53" s="31">
        <f t="shared" si="5"/>
        <v>20</v>
      </c>
    </row>
    <row r="54" spans="1:15" x14ac:dyDescent="0.2">
      <c r="A54" s="112" t="s">
        <v>347</v>
      </c>
      <c r="B54" s="26">
        <v>1</v>
      </c>
      <c r="C54" s="26">
        <v>1</v>
      </c>
      <c r="D54" s="26">
        <v>1</v>
      </c>
      <c r="E54" s="26">
        <v>1</v>
      </c>
      <c r="F54" s="26">
        <v>1</v>
      </c>
      <c r="G54" s="26">
        <v>1</v>
      </c>
      <c r="H54" s="26">
        <v>1</v>
      </c>
      <c r="I54" s="26">
        <v>1</v>
      </c>
      <c r="J54" s="26">
        <v>1</v>
      </c>
      <c r="K54" s="26">
        <v>1</v>
      </c>
      <c r="L54" s="26">
        <v>2</v>
      </c>
      <c r="M54" s="26">
        <v>0</v>
      </c>
      <c r="N54" s="26">
        <v>0</v>
      </c>
      <c r="O54" s="31">
        <f t="shared" si="5"/>
        <v>12</v>
      </c>
    </row>
    <row r="55" spans="1:15" x14ac:dyDescent="0.2">
      <c r="A55" s="112" t="s">
        <v>348</v>
      </c>
      <c r="B55" s="26">
        <v>1</v>
      </c>
      <c r="C55" s="26">
        <v>0</v>
      </c>
      <c r="D55" s="26">
        <v>0</v>
      </c>
      <c r="E55" s="26">
        <v>1</v>
      </c>
      <c r="F55" s="26">
        <v>2</v>
      </c>
      <c r="G55" s="26">
        <v>2</v>
      </c>
      <c r="H55" s="26">
        <v>0</v>
      </c>
      <c r="I55" s="26">
        <v>0</v>
      </c>
      <c r="J55" s="26">
        <v>0</v>
      </c>
      <c r="K55" s="26">
        <v>0</v>
      </c>
      <c r="L55" s="26">
        <v>1</v>
      </c>
      <c r="M55" s="26">
        <v>1</v>
      </c>
      <c r="N55" s="26">
        <v>2</v>
      </c>
      <c r="O55" s="31">
        <f t="shared" si="5"/>
        <v>10</v>
      </c>
    </row>
    <row r="56" spans="1:15" x14ac:dyDescent="0.2">
      <c r="A56" s="112" t="s">
        <v>349</v>
      </c>
      <c r="B56" s="26">
        <v>1</v>
      </c>
      <c r="C56" s="26">
        <v>0</v>
      </c>
      <c r="D56" s="26">
        <v>0</v>
      </c>
      <c r="E56" s="26">
        <v>0</v>
      </c>
      <c r="F56" s="26">
        <v>0</v>
      </c>
      <c r="G56" s="26">
        <v>0</v>
      </c>
      <c r="H56" s="26">
        <v>0</v>
      </c>
      <c r="I56" s="26">
        <v>0</v>
      </c>
      <c r="J56" s="26">
        <v>0</v>
      </c>
      <c r="K56" s="26">
        <v>1</v>
      </c>
      <c r="L56" s="26">
        <v>1</v>
      </c>
      <c r="M56" s="26">
        <v>1</v>
      </c>
      <c r="N56" s="26">
        <v>1</v>
      </c>
      <c r="O56" s="31">
        <f t="shared" si="5"/>
        <v>5</v>
      </c>
    </row>
    <row r="57" spans="1:15" x14ac:dyDescent="0.2">
      <c r="A57" s="112" t="s">
        <v>350</v>
      </c>
      <c r="B57" s="26">
        <v>2</v>
      </c>
      <c r="C57" s="26">
        <v>0</v>
      </c>
      <c r="D57" s="26">
        <v>0</v>
      </c>
      <c r="E57" s="26">
        <v>0</v>
      </c>
      <c r="F57" s="26">
        <v>3</v>
      </c>
      <c r="G57" s="26">
        <v>3</v>
      </c>
      <c r="H57" s="26">
        <v>2</v>
      </c>
      <c r="I57" s="26">
        <v>0</v>
      </c>
      <c r="J57" s="26">
        <v>1</v>
      </c>
      <c r="K57" s="26">
        <v>0</v>
      </c>
      <c r="L57" s="26">
        <v>2</v>
      </c>
      <c r="M57" s="26">
        <v>2</v>
      </c>
      <c r="N57" s="26">
        <v>1</v>
      </c>
      <c r="O57" s="31">
        <f t="shared" si="5"/>
        <v>16</v>
      </c>
    </row>
    <row r="58" spans="1:15" x14ac:dyDescent="0.2">
      <c r="A58" s="112" t="s">
        <v>351</v>
      </c>
      <c r="B58" s="26">
        <v>0</v>
      </c>
      <c r="C58" s="26">
        <v>0</v>
      </c>
      <c r="D58" s="26">
        <v>0</v>
      </c>
      <c r="E58" s="26">
        <v>1</v>
      </c>
      <c r="F58" s="26">
        <v>1</v>
      </c>
      <c r="G58" s="26">
        <v>1</v>
      </c>
      <c r="H58" s="26">
        <v>1</v>
      </c>
      <c r="I58" s="26">
        <v>1</v>
      </c>
      <c r="J58" s="26">
        <v>0</v>
      </c>
      <c r="K58" s="26">
        <v>1</v>
      </c>
      <c r="L58" s="26">
        <v>0</v>
      </c>
      <c r="M58" s="26">
        <v>0</v>
      </c>
      <c r="N58" s="26">
        <v>0</v>
      </c>
      <c r="O58" s="31">
        <f t="shared" si="5"/>
        <v>6</v>
      </c>
    </row>
    <row r="59" spans="1:15" x14ac:dyDescent="0.2">
      <c r="A59" s="112" t="s">
        <v>352</v>
      </c>
      <c r="B59" s="26">
        <v>1</v>
      </c>
      <c r="C59" s="26">
        <v>1</v>
      </c>
      <c r="D59" s="26">
        <v>0</v>
      </c>
      <c r="E59" s="26">
        <v>0</v>
      </c>
      <c r="F59" s="26">
        <v>0</v>
      </c>
      <c r="G59" s="26">
        <v>0</v>
      </c>
      <c r="H59" s="26">
        <v>1</v>
      </c>
      <c r="I59" s="26">
        <v>0</v>
      </c>
      <c r="J59" s="26">
        <v>0</v>
      </c>
      <c r="K59" s="26">
        <v>1</v>
      </c>
      <c r="L59" s="26">
        <v>0</v>
      </c>
      <c r="M59" s="26">
        <v>0</v>
      </c>
      <c r="N59" s="26">
        <v>1</v>
      </c>
      <c r="O59" s="31">
        <f t="shared" si="5"/>
        <v>5</v>
      </c>
    </row>
    <row r="60" spans="1:15" x14ac:dyDescent="0.2">
      <c r="A60" s="112" t="s">
        <v>353</v>
      </c>
      <c r="B60" s="26">
        <v>0</v>
      </c>
      <c r="C60" s="26">
        <v>0</v>
      </c>
      <c r="D60" s="26">
        <v>0</v>
      </c>
      <c r="E60" s="26">
        <v>0</v>
      </c>
      <c r="F60" s="26">
        <v>0</v>
      </c>
      <c r="G60" s="26">
        <v>0</v>
      </c>
      <c r="H60" s="26">
        <v>2</v>
      </c>
      <c r="I60" s="26">
        <v>0</v>
      </c>
      <c r="J60" s="26">
        <v>1</v>
      </c>
      <c r="K60" s="26">
        <v>1</v>
      </c>
      <c r="L60" s="26">
        <v>0</v>
      </c>
      <c r="M60" s="26">
        <v>1</v>
      </c>
      <c r="N60" s="26">
        <v>0</v>
      </c>
      <c r="O60" s="31">
        <f t="shared" si="5"/>
        <v>5</v>
      </c>
    </row>
    <row r="61" spans="1:15" x14ac:dyDescent="0.2">
      <c r="A61" s="112" t="s">
        <v>354</v>
      </c>
      <c r="B61" s="26">
        <v>0</v>
      </c>
      <c r="C61" s="26">
        <v>0</v>
      </c>
      <c r="D61" s="26">
        <v>0</v>
      </c>
      <c r="E61" s="26">
        <v>0</v>
      </c>
      <c r="F61" s="26">
        <v>0</v>
      </c>
      <c r="G61" s="26">
        <v>0</v>
      </c>
      <c r="H61" s="26">
        <v>1</v>
      </c>
      <c r="I61" s="26">
        <v>0</v>
      </c>
      <c r="J61" s="26">
        <v>1</v>
      </c>
      <c r="K61" s="26">
        <v>1</v>
      </c>
      <c r="L61" s="26">
        <v>1</v>
      </c>
      <c r="M61" s="26">
        <v>0</v>
      </c>
      <c r="N61" s="26">
        <v>0</v>
      </c>
      <c r="O61" s="31">
        <f t="shared" si="5"/>
        <v>4</v>
      </c>
    </row>
    <row r="62" spans="1:15" x14ac:dyDescent="0.2">
      <c r="A62" s="112" t="s">
        <v>355</v>
      </c>
      <c r="B62" s="26" t="s">
        <v>498</v>
      </c>
      <c r="C62" s="26" t="s">
        <v>498</v>
      </c>
      <c r="D62" s="26" t="s">
        <v>498</v>
      </c>
      <c r="E62" s="26" t="s">
        <v>498</v>
      </c>
      <c r="F62" s="26" t="s">
        <v>498</v>
      </c>
      <c r="G62" s="26" t="s">
        <v>498</v>
      </c>
      <c r="H62" s="26" t="s">
        <v>498</v>
      </c>
      <c r="I62" s="26" t="s">
        <v>498</v>
      </c>
      <c r="J62" s="26" t="s">
        <v>498</v>
      </c>
      <c r="K62" s="26" t="s">
        <v>498</v>
      </c>
      <c r="L62" s="26" t="s">
        <v>498</v>
      </c>
      <c r="M62" s="26" t="s">
        <v>498</v>
      </c>
      <c r="N62" s="26" t="s">
        <v>498</v>
      </c>
      <c r="O62" s="26" t="s">
        <v>498</v>
      </c>
    </row>
    <row r="63" spans="1:15" x14ac:dyDescent="0.2">
      <c r="A63" s="112" t="s">
        <v>356</v>
      </c>
      <c r="B63" s="26">
        <v>1</v>
      </c>
      <c r="C63" s="26">
        <v>1</v>
      </c>
      <c r="D63" s="26">
        <v>0</v>
      </c>
      <c r="E63" s="26">
        <v>0</v>
      </c>
      <c r="F63" s="26">
        <v>1</v>
      </c>
      <c r="G63" s="26">
        <v>1</v>
      </c>
      <c r="H63" s="26">
        <v>1</v>
      </c>
      <c r="I63" s="26">
        <v>0</v>
      </c>
      <c r="J63" s="26">
        <v>1</v>
      </c>
      <c r="K63" s="26">
        <v>0</v>
      </c>
      <c r="L63" s="26">
        <v>0</v>
      </c>
      <c r="M63" s="26">
        <v>0</v>
      </c>
      <c r="N63" s="26">
        <v>0</v>
      </c>
      <c r="O63" s="26"/>
    </row>
    <row r="64" spans="1:15" x14ac:dyDescent="0.2">
      <c r="A64" s="112" t="s">
        <v>357</v>
      </c>
      <c r="B64" s="26" t="s">
        <v>498</v>
      </c>
      <c r="C64" s="26" t="s">
        <v>498</v>
      </c>
      <c r="D64" s="26" t="s">
        <v>498</v>
      </c>
      <c r="E64" s="26" t="s">
        <v>498</v>
      </c>
      <c r="F64" s="26" t="s">
        <v>498</v>
      </c>
      <c r="G64" s="26" t="s">
        <v>498</v>
      </c>
      <c r="H64" s="26" t="s">
        <v>498</v>
      </c>
      <c r="I64" s="26" t="s">
        <v>498</v>
      </c>
      <c r="J64" s="26" t="s">
        <v>498</v>
      </c>
      <c r="K64" s="26" t="s">
        <v>498</v>
      </c>
      <c r="L64" s="26" t="s">
        <v>498</v>
      </c>
      <c r="M64" s="26" t="s">
        <v>498</v>
      </c>
      <c r="N64" s="26" t="s">
        <v>498</v>
      </c>
      <c r="O64" s="26" t="s">
        <v>498</v>
      </c>
    </row>
    <row r="65" spans="1:15" x14ac:dyDescent="0.2">
      <c r="A65" s="112" t="s">
        <v>358</v>
      </c>
      <c r="B65" s="26">
        <v>0</v>
      </c>
      <c r="C65" s="26">
        <v>1</v>
      </c>
      <c r="D65" s="26">
        <v>0</v>
      </c>
      <c r="E65" s="26">
        <v>0</v>
      </c>
      <c r="F65" s="26">
        <v>0</v>
      </c>
      <c r="G65" s="26">
        <v>0</v>
      </c>
      <c r="H65" s="26">
        <v>0</v>
      </c>
      <c r="I65" s="26">
        <v>0</v>
      </c>
      <c r="J65" s="26">
        <v>0</v>
      </c>
      <c r="K65" s="26">
        <v>0</v>
      </c>
      <c r="L65" s="26">
        <v>0</v>
      </c>
      <c r="M65" s="26">
        <v>0</v>
      </c>
      <c r="N65" s="26">
        <v>0</v>
      </c>
      <c r="O65" s="31">
        <f>SUM(B65:N65)</f>
        <v>1</v>
      </c>
    </row>
    <row r="66" spans="1:15" x14ac:dyDescent="0.2">
      <c r="A66" s="112" t="s">
        <v>359</v>
      </c>
      <c r="B66" s="26" t="s">
        <v>498</v>
      </c>
      <c r="C66" s="26" t="s">
        <v>498</v>
      </c>
      <c r="D66" s="26" t="s">
        <v>498</v>
      </c>
      <c r="E66" s="26" t="s">
        <v>498</v>
      </c>
      <c r="F66" s="26" t="s">
        <v>498</v>
      </c>
      <c r="G66" s="26" t="s">
        <v>498</v>
      </c>
      <c r="H66" s="26" t="s">
        <v>498</v>
      </c>
      <c r="I66" s="26" t="s">
        <v>498</v>
      </c>
      <c r="J66" s="26" t="s">
        <v>498</v>
      </c>
      <c r="K66" s="26" t="s">
        <v>498</v>
      </c>
      <c r="L66" s="26" t="s">
        <v>498</v>
      </c>
      <c r="M66" s="26" t="s">
        <v>498</v>
      </c>
      <c r="N66" s="26" t="s">
        <v>498</v>
      </c>
      <c r="O66" s="26" t="s">
        <v>498</v>
      </c>
    </row>
    <row r="67" spans="1:15" x14ac:dyDescent="0.2">
      <c r="A67" s="112" t="s">
        <v>360</v>
      </c>
      <c r="B67" s="26">
        <v>0</v>
      </c>
      <c r="C67" s="26">
        <v>0</v>
      </c>
      <c r="D67" s="26">
        <v>0</v>
      </c>
      <c r="E67" s="26">
        <v>0</v>
      </c>
      <c r="F67" s="26">
        <v>0</v>
      </c>
      <c r="G67" s="26">
        <v>0</v>
      </c>
      <c r="H67" s="26">
        <v>2</v>
      </c>
      <c r="I67" s="26">
        <v>1</v>
      </c>
      <c r="J67" s="26">
        <v>0</v>
      </c>
      <c r="K67" s="26">
        <v>2</v>
      </c>
      <c r="L67" s="26">
        <v>0</v>
      </c>
      <c r="M67" s="26">
        <v>0</v>
      </c>
      <c r="N67" s="26">
        <v>0</v>
      </c>
      <c r="O67" s="31">
        <f>SUM(B67:N67)</f>
        <v>5</v>
      </c>
    </row>
    <row r="68" spans="1:15" x14ac:dyDescent="0.2">
      <c r="A68" s="112" t="s">
        <v>361</v>
      </c>
      <c r="B68" s="26" t="s">
        <v>498</v>
      </c>
      <c r="C68" s="26" t="s">
        <v>498</v>
      </c>
      <c r="D68" s="26" t="s">
        <v>498</v>
      </c>
      <c r="E68" s="26" t="s">
        <v>498</v>
      </c>
      <c r="F68" s="26" t="s">
        <v>498</v>
      </c>
      <c r="G68" s="26" t="s">
        <v>498</v>
      </c>
      <c r="H68" s="26" t="s">
        <v>498</v>
      </c>
      <c r="I68" s="26" t="s">
        <v>498</v>
      </c>
      <c r="J68" s="26" t="s">
        <v>498</v>
      </c>
      <c r="K68" s="26" t="s">
        <v>498</v>
      </c>
      <c r="L68" s="26" t="s">
        <v>498</v>
      </c>
      <c r="M68" s="26" t="s">
        <v>498</v>
      </c>
      <c r="N68" s="26" t="s">
        <v>498</v>
      </c>
      <c r="O68" s="26" t="s">
        <v>498</v>
      </c>
    </row>
    <row r="69" spans="1:15" x14ac:dyDescent="0.2">
      <c r="A69" s="112" t="s">
        <v>362</v>
      </c>
      <c r="B69" s="26">
        <v>0</v>
      </c>
      <c r="C69" s="26">
        <v>0</v>
      </c>
      <c r="D69" s="26">
        <v>0</v>
      </c>
      <c r="E69" s="26">
        <v>0</v>
      </c>
      <c r="F69" s="26">
        <v>0</v>
      </c>
      <c r="G69" s="26">
        <v>0</v>
      </c>
      <c r="H69" s="26">
        <v>0</v>
      </c>
      <c r="I69" s="26">
        <v>0</v>
      </c>
      <c r="J69" s="26">
        <v>0</v>
      </c>
      <c r="K69" s="26">
        <v>1</v>
      </c>
      <c r="L69" s="26">
        <v>1</v>
      </c>
      <c r="M69" s="26">
        <v>0</v>
      </c>
      <c r="N69" s="26">
        <v>0</v>
      </c>
      <c r="O69" s="31">
        <f>SUM(B69:N69)</f>
        <v>2</v>
      </c>
    </row>
    <row r="70" spans="1:15" x14ac:dyDescent="0.2">
      <c r="A70" s="112" t="s">
        <v>364</v>
      </c>
      <c r="B70" s="26">
        <v>2</v>
      </c>
      <c r="C70" s="26">
        <v>2</v>
      </c>
      <c r="D70" s="26">
        <v>0</v>
      </c>
      <c r="E70" s="26">
        <v>0</v>
      </c>
      <c r="F70" s="26">
        <v>0</v>
      </c>
      <c r="G70" s="26">
        <v>2</v>
      </c>
      <c r="H70" s="26">
        <v>0</v>
      </c>
      <c r="I70" s="26">
        <v>0</v>
      </c>
      <c r="J70" s="26">
        <v>0</v>
      </c>
      <c r="K70" s="26">
        <v>2</v>
      </c>
      <c r="L70" s="26">
        <v>2</v>
      </c>
      <c r="M70" s="26">
        <v>3</v>
      </c>
      <c r="N70" s="26">
        <v>3</v>
      </c>
      <c r="O70" s="31">
        <f t="shared" ref="O70:O71" si="6">SUM(B70:N70)</f>
        <v>16</v>
      </c>
    </row>
    <row r="71" spans="1:15" x14ac:dyDescent="0.2">
      <c r="A71" s="112" t="s">
        <v>365</v>
      </c>
      <c r="B71" s="26">
        <v>1</v>
      </c>
      <c r="C71" s="26">
        <v>0</v>
      </c>
      <c r="D71" s="26">
        <v>0</v>
      </c>
      <c r="E71" s="26">
        <v>0</v>
      </c>
      <c r="F71" s="26">
        <v>1</v>
      </c>
      <c r="G71" s="26">
        <v>1</v>
      </c>
      <c r="H71" s="26">
        <v>1</v>
      </c>
      <c r="I71" s="26">
        <v>1</v>
      </c>
      <c r="J71" s="26">
        <v>1</v>
      </c>
      <c r="K71" s="26">
        <v>0</v>
      </c>
      <c r="L71" s="26">
        <v>2</v>
      </c>
      <c r="M71" s="26">
        <v>2</v>
      </c>
      <c r="N71" s="26">
        <v>0</v>
      </c>
      <c r="O71" s="31">
        <f t="shared" si="6"/>
        <v>10</v>
      </c>
    </row>
    <row r="72" spans="1:15" x14ac:dyDescent="0.2">
      <c r="A72" s="112" t="s">
        <v>366</v>
      </c>
      <c r="B72" s="26">
        <v>0</v>
      </c>
      <c r="C72" s="26">
        <v>0</v>
      </c>
      <c r="D72" s="26">
        <v>0</v>
      </c>
      <c r="E72" s="26">
        <v>0</v>
      </c>
      <c r="F72" s="26">
        <v>0</v>
      </c>
      <c r="G72" s="26">
        <v>0</v>
      </c>
      <c r="H72" s="26">
        <v>0</v>
      </c>
      <c r="I72" s="26">
        <v>0</v>
      </c>
      <c r="J72" s="26">
        <v>0</v>
      </c>
      <c r="K72" s="26">
        <v>0</v>
      </c>
      <c r="L72" s="26">
        <v>0</v>
      </c>
      <c r="M72" s="26">
        <v>0</v>
      </c>
      <c r="N72" s="26">
        <v>0</v>
      </c>
      <c r="O72" s="26">
        <v>0</v>
      </c>
    </row>
    <row r="73" spans="1:15" x14ac:dyDescent="0.2">
      <c r="A73" s="112" t="s">
        <v>368</v>
      </c>
      <c r="B73" s="26">
        <v>0</v>
      </c>
      <c r="C73" s="26">
        <v>0</v>
      </c>
      <c r="D73" s="26">
        <v>0</v>
      </c>
      <c r="E73" s="26">
        <v>0</v>
      </c>
      <c r="F73" s="26">
        <v>1</v>
      </c>
      <c r="G73" s="26">
        <v>1</v>
      </c>
      <c r="H73" s="26">
        <v>2</v>
      </c>
      <c r="I73" s="26">
        <v>1</v>
      </c>
      <c r="J73" s="26">
        <v>1</v>
      </c>
      <c r="K73" s="26">
        <v>2</v>
      </c>
      <c r="L73" s="26">
        <v>1</v>
      </c>
      <c r="M73" s="26">
        <v>1</v>
      </c>
      <c r="N73" s="26">
        <v>1</v>
      </c>
      <c r="O73" s="31">
        <f t="shared" ref="O73:O74" si="7">SUM(B73:N73)</f>
        <v>11</v>
      </c>
    </row>
    <row r="74" spans="1:15" x14ac:dyDescent="0.2">
      <c r="A74" s="112" t="s">
        <v>369</v>
      </c>
      <c r="B74" s="26">
        <v>0</v>
      </c>
      <c r="C74" s="26">
        <v>2</v>
      </c>
      <c r="D74" s="26">
        <v>0</v>
      </c>
      <c r="E74" s="26">
        <v>2</v>
      </c>
      <c r="F74" s="26">
        <v>0</v>
      </c>
      <c r="G74" s="26">
        <v>2</v>
      </c>
      <c r="H74" s="26">
        <v>0</v>
      </c>
      <c r="I74" s="26">
        <v>0</v>
      </c>
      <c r="J74" s="26">
        <v>1</v>
      </c>
      <c r="K74" s="26">
        <v>0</v>
      </c>
      <c r="L74" s="26">
        <v>1</v>
      </c>
      <c r="M74" s="26">
        <v>1</v>
      </c>
      <c r="N74" s="26">
        <v>1</v>
      </c>
      <c r="O74" s="31">
        <f t="shared" si="7"/>
        <v>10</v>
      </c>
    </row>
    <row r="75" spans="1:15" x14ac:dyDescent="0.2">
      <c r="A75" s="112" t="s">
        <v>370</v>
      </c>
      <c r="B75" s="26" t="s">
        <v>503</v>
      </c>
      <c r="C75" s="26" t="s">
        <v>503</v>
      </c>
      <c r="D75" s="26" t="s">
        <v>503</v>
      </c>
      <c r="E75" s="26" t="s">
        <v>503</v>
      </c>
      <c r="F75" s="26" t="s">
        <v>503</v>
      </c>
      <c r="G75" s="26" t="s">
        <v>503</v>
      </c>
      <c r="H75" s="26" t="s">
        <v>503</v>
      </c>
      <c r="I75" s="26" t="s">
        <v>503</v>
      </c>
      <c r="J75" s="26" t="s">
        <v>503</v>
      </c>
      <c r="K75" s="26" t="s">
        <v>503</v>
      </c>
      <c r="L75" s="26" t="s">
        <v>503</v>
      </c>
      <c r="M75" s="26" t="s">
        <v>503</v>
      </c>
      <c r="N75" s="26" t="s">
        <v>503</v>
      </c>
      <c r="O75" s="26" t="s">
        <v>503</v>
      </c>
    </row>
    <row r="76" spans="1:15" x14ac:dyDescent="0.2">
      <c r="A76" s="112" t="s">
        <v>372</v>
      </c>
      <c r="B76" s="26">
        <v>0</v>
      </c>
      <c r="C76" s="26">
        <v>0</v>
      </c>
      <c r="D76" s="26">
        <v>0</v>
      </c>
      <c r="E76" s="26">
        <v>0</v>
      </c>
      <c r="F76" s="26">
        <v>0</v>
      </c>
      <c r="G76" s="26">
        <v>0</v>
      </c>
      <c r="H76" s="26">
        <v>0</v>
      </c>
      <c r="I76" s="26">
        <v>0</v>
      </c>
      <c r="J76" s="26">
        <v>0</v>
      </c>
      <c r="K76" s="26">
        <v>2</v>
      </c>
      <c r="L76" s="26">
        <v>0</v>
      </c>
      <c r="M76" s="26">
        <v>0</v>
      </c>
      <c r="N76" s="26">
        <v>0</v>
      </c>
      <c r="O76" s="31">
        <f>SUM(B76:N76)</f>
        <v>2</v>
      </c>
    </row>
    <row r="77" spans="1:15" x14ac:dyDescent="0.2">
      <c r="A77" s="112" t="s">
        <v>375</v>
      </c>
      <c r="B77" s="112">
        <v>1</v>
      </c>
      <c r="C77" s="112">
        <v>0</v>
      </c>
      <c r="D77" s="112">
        <v>0</v>
      </c>
      <c r="E77" s="112">
        <v>0</v>
      </c>
      <c r="F77" s="112">
        <v>0</v>
      </c>
      <c r="G77" s="112">
        <v>0</v>
      </c>
      <c r="H77" s="112">
        <v>2</v>
      </c>
      <c r="I77" s="112">
        <v>0</v>
      </c>
      <c r="J77" s="112">
        <v>0</v>
      </c>
      <c r="K77" s="112">
        <v>1</v>
      </c>
      <c r="L77" s="112">
        <v>1</v>
      </c>
      <c r="M77" s="112">
        <v>0</v>
      </c>
      <c r="N77" s="112">
        <v>0</v>
      </c>
      <c r="O77" s="31">
        <f>SUM(B77:N77)</f>
        <v>5</v>
      </c>
    </row>
    <row r="78" spans="1:15" x14ac:dyDescent="0.2">
      <c r="A78" s="112" t="s">
        <v>379</v>
      </c>
      <c r="B78" s="112">
        <v>2</v>
      </c>
      <c r="C78" s="112">
        <v>2</v>
      </c>
      <c r="D78" s="112">
        <v>3</v>
      </c>
      <c r="E78" s="112">
        <v>1</v>
      </c>
      <c r="F78" s="112">
        <v>0</v>
      </c>
      <c r="G78" s="112">
        <v>0</v>
      </c>
      <c r="H78" s="112">
        <v>1</v>
      </c>
      <c r="I78" s="112">
        <v>0</v>
      </c>
      <c r="J78" s="112">
        <v>1</v>
      </c>
      <c r="K78" s="112">
        <v>0</v>
      </c>
      <c r="L78" s="112">
        <v>2</v>
      </c>
      <c r="M78" s="112">
        <v>2</v>
      </c>
      <c r="N78" s="112">
        <v>1</v>
      </c>
      <c r="O78" s="31">
        <f t="shared" ref="O78:O81" si="8">SUM(B78:N78)</f>
        <v>15</v>
      </c>
    </row>
    <row r="79" spans="1:15" x14ac:dyDescent="0.2">
      <c r="A79" s="112" t="s">
        <v>380</v>
      </c>
      <c r="B79" s="112">
        <v>2</v>
      </c>
      <c r="C79" s="112">
        <v>0</v>
      </c>
      <c r="D79" s="112">
        <v>0</v>
      </c>
      <c r="E79" s="112">
        <v>0</v>
      </c>
      <c r="F79" s="112">
        <v>1</v>
      </c>
      <c r="G79" s="112">
        <v>1</v>
      </c>
      <c r="H79" s="112">
        <v>2</v>
      </c>
      <c r="I79" s="112">
        <v>0</v>
      </c>
      <c r="J79" s="112">
        <v>0</v>
      </c>
      <c r="K79" s="112">
        <v>1</v>
      </c>
      <c r="L79" s="112">
        <v>1</v>
      </c>
      <c r="M79" s="112">
        <v>0</v>
      </c>
      <c r="N79" s="112">
        <v>0</v>
      </c>
      <c r="O79" s="31">
        <f t="shared" si="8"/>
        <v>8</v>
      </c>
    </row>
    <row r="80" spans="1:15" x14ac:dyDescent="0.2">
      <c r="A80" s="112" t="s">
        <v>381</v>
      </c>
      <c r="B80" s="26">
        <v>3</v>
      </c>
      <c r="C80" s="26">
        <v>1</v>
      </c>
      <c r="D80" s="26">
        <v>1</v>
      </c>
      <c r="E80" s="26">
        <v>1</v>
      </c>
      <c r="F80" s="26">
        <v>3</v>
      </c>
      <c r="G80" s="26">
        <v>3</v>
      </c>
      <c r="H80" s="26">
        <v>3</v>
      </c>
      <c r="I80" s="26">
        <v>2</v>
      </c>
      <c r="J80" s="26">
        <v>3</v>
      </c>
      <c r="K80" s="26">
        <v>1</v>
      </c>
      <c r="L80" s="26">
        <v>3</v>
      </c>
      <c r="M80" s="26">
        <v>3</v>
      </c>
      <c r="N80" s="26">
        <v>2</v>
      </c>
      <c r="O80" s="31">
        <f t="shared" si="8"/>
        <v>29</v>
      </c>
    </row>
    <row r="81" spans="1:15" x14ac:dyDescent="0.2">
      <c r="A81" s="112" t="s">
        <v>382</v>
      </c>
      <c r="B81" s="26">
        <v>2</v>
      </c>
      <c r="C81" s="26">
        <v>1</v>
      </c>
      <c r="D81" s="26">
        <v>1</v>
      </c>
      <c r="E81" s="26">
        <v>1</v>
      </c>
      <c r="F81" s="26">
        <v>1</v>
      </c>
      <c r="G81" s="26">
        <v>1</v>
      </c>
      <c r="H81" s="26">
        <v>2</v>
      </c>
      <c r="I81" s="26">
        <v>1</v>
      </c>
      <c r="J81" s="26">
        <v>1</v>
      </c>
      <c r="K81" s="26">
        <v>0</v>
      </c>
      <c r="L81" s="26">
        <v>1</v>
      </c>
      <c r="M81" s="26">
        <v>1</v>
      </c>
      <c r="N81" s="26">
        <v>1</v>
      </c>
      <c r="O81" s="31">
        <f t="shared" si="8"/>
        <v>14</v>
      </c>
    </row>
    <row r="82" spans="1:15" x14ac:dyDescent="0.2">
      <c r="A82" s="112" t="s">
        <v>384</v>
      </c>
      <c r="B82" s="26" t="s">
        <v>498</v>
      </c>
      <c r="C82" s="26" t="s">
        <v>498</v>
      </c>
      <c r="D82" s="26" t="s">
        <v>498</v>
      </c>
      <c r="E82" s="26" t="s">
        <v>498</v>
      </c>
      <c r="F82" s="26" t="s">
        <v>498</v>
      </c>
      <c r="G82" s="26" t="s">
        <v>498</v>
      </c>
      <c r="H82" s="26" t="s">
        <v>498</v>
      </c>
      <c r="I82" s="26" t="s">
        <v>498</v>
      </c>
      <c r="J82" s="26" t="s">
        <v>498</v>
      </c>
      <c r="K82" s="26" t="s">
        <v>498</v>
      </c>
      <c r="L82" s="26" t="s">
        <v>498</v>
      </c>
      <c r="M82" s="26" t="s">
        <v>498</v>
      </c>
      <c r="N82" s="26" t="s">
        <v>498</v>
      </c>
      <c r="O82" s="26" t="s">
        <v>498</v>
      </c>
    </row>
    <row r="83" spans="1:15" x14ac:dyDescent="0.2">
      <c r="A83" s="112" t="s">
        <v>385</v>
      </c>
      <c r="B83" s="26">
        <v>1</v>
      </c>
      <c r="C83" s="26">
        <v>0</v>
      </c>
      <c r="D83" s="26">
        <v>0</v>
      </c>
      <c r="E83" s="26">
        <v>1</v>
      </c>
      <c r="F83" s="26">
        <v>1</v>
      </c>
      <c r="G83" s="26">
        <v>1</v>
      </c>
      <c r="H83" s="26">
        <v>1</v>
      </c>
      <c r="I83" s="26">
        <v>0</v>
      </c>
      <c r="J83" s="26">
        <v>1</v>
      </c>
      <c r="K83" s="26">
        <v>0</v>
      </c>
      <c r="L83" s="26">
        <v>1</v>
      </c>
      <c r="M83" s="26">
        <v>0</v>
      </c>
      <c r="N83" s="26">
        <v>0</v>
      </c>
      <c r="O83" s="31">
        <f t="shared" ref="O83:O88" si="9">SUM(B83:N83)</f>
        <v>7</v>
      </c>
    </row>
    <row r="84" spans="1:15" x14ac:dyDescent="0.2">
      <c r="A84" s="112" t="s">
        <v>386</v>
      </c>
      <c r="B84" s="26">
        <v>1</v>
      </c>
      <c r="C84" s="26">
        <v>0</v>
      </c>
      <c r="D84" s="26">
        <v>0</v>
      </c>
      <c r="E84" s="26">
        <v>1</v>
      </c>
      <c r="F84" s="26">
        <v>1</v>
      </c>
      <c r="G84" s="26">
        <v>2</v>
      </c>
      <c r="H84" s="26">
        <v>2</v>
      </c>
      <c r="I84" s="26">
        <v>1</v>
      </c>
      <c r="J84" s="26">
        <v>1</v>
      </c>
      <c r="K84" s="26">
        <v>1</v>
      </c>
      <c r="L84" s="26">
        <v>1</v>
      </c>
      <c r="M84" s="26">
        <v>1</v>
      </c>
      <c r="N84" s="26">
        <v>0</v>
      </c>
      <c r="O84" s="31">
        <f t="shared" si="9"/>
        <v>12</v>
      </c>
    </row>
    <row r="85" spans="1:15" x14ac:dyDescent="0.2">
      <c r="A85" s="112" t="s">
        <v>387</v>
      </c>
      <c r="B85" s="26">
        <v>1</v>
      </c>
      <c r="C85" s="26">
        <v>0</v>
      </c>
      <c r="D85" s="26">
        <v>0</v>
      </c>
      <c r="E85" s="26">
        <v>0</v>
      </c>
      <c r="F85" s="26">
        <v>0</v>
      </c>
      <c r="G85" s="26">
        <v>0</v>
      </c>
      <c r="H85" s="26">
        <v>1</v>
      </c>
      <c r="I85" s="26">
        <v>1</v>
      </c>
      <c r="J85" s="26">
        <v>1</v>
      </c>
      <c r="K85" s="26">
        <v>0</v>
      </c>
      <c r="L85" s="26">
        <v>2</v>
      </c>
      <c r="M85" s="26">
        <v>2</v>
      </c>
      <c r="N85" s="26">
        <v>1</v>
      </c>
      <c r="O85" s="31">
        <f t="shared" si="9"/>
        <v>9</v>
      </c>
    </row>
    <row r="86" spans="1:15" x14ac:dyDescent="0.2">
      <c r="A86" s="112" t="s">
        <v>388</v>
      </c>
      <c r="B86" s="26">
        <v>1</v>
      </c>
      <c r="C86" s="26">
        <v>0</v>
      </c>
      <c r="D86" s="26">
        <v>0</v>
      </c>
      <c r="E86" s="26">
        <v>0</v>
      </c>
      <c r="F86" s="26">
        <v>1</v>
      </c>
      <c r="G86" s="26">
        <v>1</v>
      </c>
      <c r="H86" s="26">
        <v>2</v>
      </c>
      <c r="I86" s="26">
        <v>0</v>
      </c>
      <c r="J86" s="26">
        <v>1</v>
      </c>
      <c r="K86" s="26">
        <v>1</v>
      </c>
      <c r="L86" s="26">
        <v>0</v>
      </c>
      <c r="M86" s="26">
        <v>0</v>
      </c>
      <c r="N86" s="26">
        <v>0</v>
      </c>
      <c r="O86" s="31">
        <f t="shared" si="9"/>
        <v>7</v>
      </c>
    </row>
    <row r="87" spans="1:15" x14ac:dyDescent="0.2">
      <c r="A87" s="112" t="s">
        <v>389</v>
      </c>
      <c r="B87" s="26">
        <v>1</v>
      </c>
      <c r="C87" s="26">
        <v>0</v>
      </c>
      <c r="D87" s="26">
        <v>0</v>
      </c>
      <c r="E87" s="26">
        <v>1</v>
      </c>
      <c r="F87" s="26">
        <v>1</v>
      </c>
      <c r="G87" s="26">
        <v>1</v>
      </c>
      <c r="H87" s="26">
        <v>1</v>
      </c>
      <c r="I87" s="26">
        <v>1</v>
      </c>
      <c r="J87" s="26">
        <v>1</v>
      </c>
      <c r="K87" s="26">
        <v>0</v>
      </c>
      <c r="L87" s="26">
        <v>1</v>
      </c>
      <c r="M87" s="26">
        <v>2</v>
      </c>
      <c r="N87" s="26">
        <v>2</v>
      </c>
      <c r="O87" s="31">
        <f t="shared" si="9"/>
        <v>12</v>
      </c>
    </row>
    <row r="88" spans="1:15" x14ac:dyDescent="0.2">
      <c r="A88" s="112" t="s">
        <v>390</v>
      </c>
      <c r="B88" s="26">
        <v>0</v>
      </c>
      <c r="C88" s="26">
        <v>1</v>
      </c>
      <c r="D88" s="26">
        <v>1</v>
      </c>
      <c r="E88" s="26">
        <v>1</v>
      </c>
      <c r="F88" s="26">
        <v>1</v>
      </c>
      <c r="G88" s="26">
        <v>1</v>
      </c>
      <c r="H88" s="26">
        <v>1</v>
      </c>
      <c r="I88" s="26">
        <v>0</v>
      </c>
      <c r="J88" s="26">
        <v>1</v>
      </c>
      <c r="K88" s="26">
        <v>0</v>
      </c>
      <c r="L88" s="26">
        <v>1</v>
      </c>
      <c r="M88" s="26">
        <v>1</v>
      </c>
      <c r="N88" s="26">
        <v>1</v>
      </c>
      <c r="O88" s="31">
        <f t="shared" si="9"/>
        <v>10</v>
      </c>
    </row>
    <row r="89" spans="1:15" x14ac:dyDescent="0.2">
      <c r="A89" s="112" t="s">
        <v>391</v>
      </c>
      <c r="B89" s="26" t="s">
        <v>502</v>
      </c>
      <c r="C89" s="26" t="s">
        <v>502</v>
      </c>
      <c r="D89" s="26" t="s">
        <v>502</v>
      </c>
      <c r="E89" s="26" t="s">
        <v>502</v>
      </c>
      <c r="F89" s="26" t="s">
        <v>502</v>
      </c>
      <c r="G89" s="26" t="s">
        <v>502</v>
      </c>
      <c r="H89" s="26" t="s">
        <v>502</v>
      </c>
      <c r="I89" s="26" t="s">
        <v>502</v>
      </c>
      <c r="J89" s="26" t="s">
        <v>502</v>
      </c>
      <c r="K89" s="26" t="s">
        <v>502</v>
      </c>
      <c r="L89" s="26" t="s">
        <v>502</v>
      </c>
      <c r="M89" s="26" t="s">
        <v>502</v>
      </c>
      <c r="N89" s="26" t="s">
        <v>502</v>
      </c>
      <c r="O89" s="26" t="s">
        <v>502</v>
      </c>
    </row>
    <row r="90" spans="1:15" x14ac:dyDescent="0.2">
      <c r="A90" s="112" t="s">
        <v>392</v>
      </c>
      <c r="B90" s="26">
        <v>0</v>
      </c>
      <c r="C90" s="26">
        <v>0</v>
      </c>
      <c r="D90" s="26">
        <v>0</v>
      </c>
      <c r="E90" s="26">
        <v>0</v>
      </c>
      <c r="F90" s="26">
        <v>0</v>
      </c>
      <c r="G90" s="26">
        <v>2</v>
      </c>
      <c r="H90" s="26">
        <v>0</v>
      </c>
      <c r="I90" s="26">
        <v>0</v>
      </c>
      <c r="J90" s="26">
        <v>0</v>
      </c>
      <c r="K90" s="26">
        <v>1</v>
      </c>
      <c r="L90" s="26">
        <v>0</v>
      </c>
      <c r="M90" s="26">
        <v>0</v>
      </c>
      <c r="N90" s="26">
        <v>0</v>
      </c>
      <c r="O90" s="31">
        <f>SUM(B90:N90)</f>
        <v>3</v>
      </c>
    </row>
    <row r="91" spans="1:15" x14ac:dyDescent="0.2">
      <c r="A91" s="112" t="s">
        <v>393</v>
      </c>
      <c r="B91" s="26" t="s">
        <v>498</v>
      </c>
      <c r="C91" s="26" t="s">
        <v>498</v>
      </c>
      <c r="D91" s="26" t="s">
        <v>498</v>
      </c>
      <c r="E91" s="26" t="s">
        <v>498</v>
      </c>
      <c r="F91" s="26" t="s">
        <v>498</v>
      </c>
      <c r="G91" s="26" t="s">
        <v>498</v>
      </c>
      <c r="H91" s="26" t="s">
        <v>498</v>
      </c>
      <c r="I91" s="26" t="s">
        <v>498</v>
      </c>
      <c r="J91" s="26" t="s">
        <v>498</v>
      </c>
      <c r="K91" s="26" t="s">
        <v>498</v>
      </c>
      <c r="L91" s="26" t="s">
        <v>498</v>
      </c>
      <c r="M91" s="26" t="s">
        <v>498</v>
      </c>
      <c r="N91" s="26" t="s">
        <v>498</v>
      </c>
      <c r="O91" s="26" t="s">
        <v>498</v>
      </c>
    </row>
    <row r="92" spans="1:15" x14ac:dyDescent="0.2">
      <c r="A92" s="112" t="s">
        <v>395</v>
      </c>
      <c r="B92" s="26">
        <v>0</v>
      </c>
      <c r="C92" s="26">
        <v>0</v>
      </c>
      <c r="D92" s="26">
        <v>0</v>
      </c>
      <c r="E92" s="26">
        <v>0</v>
      </c>
      <c r="F92" s="26">
        <v>1</v>
      </c>
      <c r="G92" s="26">
        <v>1</v>
      </c>
      <c r="H92" s="26">
        <v>0</v>
      </c>
      <c r="I92" s="26">
        <v>0</v>
      </c>
      <c r="J92" s="26">
        <v>0</v>
      </c>
      <c r="K92" s="26">
        <v>0</v>
      </c>
      <c r="L92" s="26">
        <v>1</v>
      </c>
      <c r="M92" s="26">
        <v>0</v>
      </c>
      <c r="N92" s="26">
        <v>0</v>
      </c>
      <c r="O92" s="31">
        <f t="shared" ref="O92:O93" si="10">SUM(B92:N92)</f>
        <v>3</v>
      </c>
    </row>
    <row r="93" spans="1:15" x14ac:dyDescent="0.2">
      <c r="A93" s="112" t="s">
        <v>396</v>
      </c>
      <c r="B93" s="26">
        <v>1</v>
      </c>
      <c r="C93" s="26">
        <v>1</v>
      </c>
      <c r="D93" s="26">
        <v>0</v>
      </c>
      <c r="E93" s="26">
        <v>2</v>
      </c>
      <c r="F93" s="26">
        <v>1</v>
      </c>
      <c r="G93" s="26">
        <v>1</v>
      </c>
      <c r="H93" s="26">
        <v>2</v>
      </c>
      <c r="I93" s="26">
        <v>0</v>
      </c>
      <c r="J93" s="26">
        <v>1</v>
      </c>
      <c r="K93" s="26">
        <v>1</v>
      </c>
      <c r="L93" s="26">
        <v>1</v>
      </c>
      <c r="M93" s="26">
        <v>0</v>
      </c>
      <c r="N93" s="26">
        <v>0</v>
      </c>
      <c r="O93" s="31">
        <f t="shared" si="10"/>
        <v>11</v>
      </c>
    </row>
    <row r="94" spans="1:15" x14ac:dyDescent="0.2">
      <c r="A94" s="112" t="s">
        <v>398</v>
      </c>
      <c r="B94" s="26">
        <v>1</v>
      </c>
      <c r="C94" s="26">
        <v>1</v>
      </c>
      <c r="D94" s="26">
        <v>0</v>
      </c>
      <c r="E94" s="26">
        <v>0</v>
      </c>
      <c r="F94" s="26">
        <v>1</v>
      </c>
      <c r="G94" s="26">
        <v>1</v>
      </c>
      <c r="H94" s="26">
        <v>2</v>
      </c>
      <c r="I94" s="26">
        <v>0</v>
      </c>
      <c r="J94" s="26">
        <v>1</v>
      </c>
      <c r="K94" s="26">
        <v>1</v>
      </c>
      <c r="L94" s="26">
        <v>1</v>
      </c>
      <c r="M94" s="26">
        <v>0</v>
      </c>
      <c r="N94" s="26">
        <v>0</v>
      </c>
      <c r="O94" s="31">
        <f>SUM(B94:N94)</f>
        <v>9</v>
      </c>
    </row>
    <row r="95" spans="1:15" x14ac:dyDescent="0.2">
      <c r="A95" s="112" t="s">
        <v>400</v>
      </c>
      <c r="B95" s="26" t="s">
        <v>502</v>
      </c>
      <c r="C95" s="26" t="s">
        <v>502</v>
      </c>
      <c r="D95" s="26" t="s">
        <v>502</v>
      </c>
      <c r="E95" s="26" t="s">
        <v>502</v>
      </c>
      <c r="F95" s="26" t="s">
        <v>502</v>
      </c>
      <c r="G95" s="26" t="s">
        <v>502</v>
      </c>
      <c r="H95" s="26" t="s">
        <v>502</v>
      </c>
      <c r="I95" s="26" t="s">
        <v>502</v>
      </c>
      <c r="J95" s="26" t="s">
        <v>502</v>
      </c>
      <c r="K95" s="26" t="s">
        <v>502</v>
      </c>
      <c r="L95" s="26" t="s">
        <v>502</v>
      </c>
      <c r="M95" s="26" t="s">
        <v>502</v>
      </c>
      <c r="N95" s="26" t="s">
        <v>502</v>
      </c>
      <c r="O95" s="26" t="s">
        <v>502</v>
      </c>
    </row>
    <row r="96" spans="1:15" x14ac:dyDescent="0.2">
      <c r="A96" s="112" t="s">
        <v>401</v>
      </c>
      <c r="B96" s="26">
        <v>1</v>
      </c>
      <c r="C96" s="26">
        <v>2</v>
      </c>
      <c r="D96" s="26">
        <v>0</v>
      </c>
      <c r="E96" s="26">
        <v>0</v>
      </c>
      <c r="F96" s="26">
        <v>0</v>
      </c>
      <c r="G96" s="26">
        <v>0</v>
      </c>
      <c r="H96" s="26">
        <v>1</v>
      </c>
      <c r="I96" s="26">
        <v>0</v>
      </c>
      <c r="J96" s="26">
        <v>0</v>
      </c>
      <c r="K96" s="26">
        <v>1</v>
      </c>
      <c r="L96" s="26">
        <v>0</v>
      </c>
      <c r="M96" s="26">
        <v>0</v>
      </c>
      <c r="N96" s="26">
        <v>0</v>
      </c>
      <c r="O96" s="31">
        <f t="shared" ref="O96:O98" si="11">SUM(B96:N96)</f>
        <v>5</v>
      </c>
    </row>
    <row r="97" spans="1:15" x14ac:dyDescent="0.2">
      <c r="A97" s="112" t="s">
        <v>402</v>
      </c>
      <c r="B97" s="26">
        <v>0</v>
      </c>
      <c r="C97" s="26">
        <v>0</v>
      </c>
      <c r="D97" s="26">
        <v>0</v>
      </c>
      <c r="E97" s="26">
        <v>0</v>
      </c>
      <c r="F97" s="26">
        <v>0</v>
      </c>
      <c r="G97" s="26">
        <v>0</v>
      </c>
      <c r="H97" s="26">
        <v>0</v>
      </c>
      <c r="I97" s="26">
        <v>0</v>
      </c>
      <c r="J97" s="26">
        <v>0</v>
      </c>
      <c r="K97" s="26">
        <v>0</v>
      </c>
      <c r="L97" s="26">
        <v>0</v>
      </c>
      <c r="M97" s="26">
        <v>1</v>
      </c>
      <c r="N97" s="26">
        <v>0</v>
      </c>
      <c r="O97" s="31">
        <f t="shared" si="11"/>
        <v>1</v>
      </c>
    </row>
    <row r="98" spans="1:15" x14ac:dyDescent="0.2">
      <c r="A98" s="112" t="s">
        <v>403</v>
      </c>
      <c r="B98" s="26">
        <v>0</v>
      </c>
      <c r="C98" s="26">
        <v>2</v>
      </c>
      <c r="D98" s="26">
        <v>0</v>
      </c>
      <c r="E98" s="26">
        <v>0</v>
      </c>
      <c r="F98" s="26">
        <v>0</v>
      </c>
      <c r="G98" s="26">
        <v>1</v>
      </c>
      <c r="H98" s="26">
        <v>2</v>
      </c>
      <c r="I98" s="26">
        <v>0</v>
      </c>
      <c r="J98" s="26">
        <v>2</v>
      </c>
      <c r="K98" s="26">
        <v>1</v>
      </c>
      <c r="L98" s="26">
        <v>0</v>
      </c>
      <c r="M98" s="26">
        <v>2</v>
      </c>
      <c r="N98" s="26">
        <v>1</v>
      </c>
      <c r="O98" s="31">
        <f t="shared" si="11"/>
        <v>11</v>
      </c>
    </row>
    <row r="99" spans="1:15" ht="16" x14ac:dyDescent="0.2">
      <c r="A99" s="124" t="s">
        <v>404</v>
      </c>
      <c r="B99" s="199">
        <v>2</v>
      </c>
      <c r="C99" s="199">
        <v>0</v>
      </c>
      <c r="D99" s="199">
        <v>1</v>
      </c>
      <c r="E99" s="199">
        <v>1</v>
      </c>
      <c r="F99" s="199">
        <v>3</v>
      </c>
      <c r="G99" s="199">
        <v>2</v>
      </c>
      <c r="H99" s="199">
        <v>2</v>
      </c>
      <c r="I99" s="199">
        <v>2</v>
      </c>
      <c r="J99" s="199">
        <v>3</v>
      </c>
      <c r="K99" s="199">
        <v>1</v>
      </c>
      <c r="L99" s="199">
        <v>2</v>
      </c>
      <c r="M99" s="199">
        <v>2</v>
      </c>
      <c r="N99" s="199">
        <v>2</v>
      </c>
      <c r="O99" s="129">
        <v>23</v>
      </c>
    </row>
    <row r="100" spans="1:15" x14ac:dyDescent="0.2">
      <c r="A100" s="127" t="s">
        <v>405</v>
      </c>
      <c r="B100" s="129">
        <v>1</v>
      </c>
      <c r="C100" s="129">
        <v>0</v>
      </c>
      <c r="D100" s="129">
        <v>0</v>
      </c>
      <c r="E100" s="129">
        <v>1</v>
      </c>
      <c r="F100" s="129">
        <v>1</v>
      </c>
      <c r="G100" s="129">
        <v>1</v>
      </c>
      <c r="H100" s="129">
        <v>1</v>
      </c>
      <c r="I100" s="129">
        <v>2</v>
      </c>
      <c r="J100" s="129">
        <v>2</v>
      </c>
      <c r="K100" s="129">
        <v>1</v>
      </c>
      <c r="L100" s="129">
        <v>1</v>
      </c>
      <c r="M100" s="129">
        <v>2</v>
      </c>
      <c r="N100" s="129">
        <v>2</v>
      </c>
      <c r="O100" s="129">
        <v>15</v>
      </c>
    </row>
    <row r="101" spans="1:15" ht="16" x14ac:dyDescent="0.2">
      <c r="A101" s="127" t="s">
        <v>406</v>
      </c>
      <c r="B101" s="199">
        <v>1</v>
      </c>
      <c r="C101" s="199">
        <v>0</v>
      </c>
      <c r="D101" s="199">
        <v>0</v>
      </c>
      <c r="E101" s="199">
        <v>0</v>
      </c>
      <c r="F101" s="199">
        <v>1</v>
      </c>
      <c r="G101" s="199">
        <v>0</v>
      </c>
      <c r="H101" s="199">
        <v>0</v>
      </c>
      <c r="I101" s="199">
        <v>0</v>
      </c>
      <c r="J101" s="199">
        <v>0</v>
      </c>
      <c r="K101" s="199">
        <v>0</v>
      </c>
      <c r="L101" s="199">
        <v>0</v>
      </c>
      <c r="M101" s="199">
        <v>1</v>
      </c>
      <c r="N101" s="199">
        <v>0</v>
      </c>
      <c r="O101" s="129">
        <v>3</v>
      </c>
    </row>
    <row r="102" spans="1:15" x14ac:dyDescent="0.2">
      <c r="A102" s="127" t="s">
        <v>407</v>
      </c>
      <c r="B102" s="129">
        <v>1</v>
      </c>
      <c r="C102" s="129">
        <v>0</v>
      </c>
      <c r="D102" s="129">
        <v>0</v>
      </c>
      <c r="E102" s="129">
        <v>1</v>
      </c>
      <c r="F102" s="129">
        <v>1</v>
      </c>
      <c r="G102" s="129">
        <v>0</v>
      </c>
      <c r="H102" s="129">
        <v>1</v>
      </c>
      <c r="I102" s="129">
        <v>0</v>
      </c>
      <c r="J102" s="129">
        <v>1</v>
      </c>
      <c r="K102" s="129">
        <v>1</v>
      </c>
      <c r="L102" s="129">
        <v>0</v>
      </c>
      <c r="M102" s="129">
        <v>0</v>
      </c>
      <c r="N102" s="129">
        <v>0</v>
      </c>
      <c r="O102" s="129">
        <v>6</v>
      </c>
    </row>
    <row r="103" spans="1:15" ht="16" x14ac:dyDescent="0.2">
      <c r="A103" s="132" t="s">
        <v>408</v>
      </c>
      <c r="B103" s="199">
        <v>0</v>
      </c>
      <c r="C103" s="199">
        <v>0</v>
      </c>
      <c r="D103" s="199">
        <v>2</v>
      </c>
      <c r="E103" s="199">
        <v>0</v>
      </c>
      <c r="F103" s="199">
        <v>0</v>
      </c>
      <c r="G103" s="199">
        <v>0</v>
      </c>
      <c r="H103" s="199">
        <v>0</v>
      </c>
      <c r="I103" s="199">
        <v>0</v>
      </c>
      <c r="J103" s="199">
        <v>0</v>
      </c>
      <c r="K103" s="199">
        <v>1</v>
      </c>
      <c r="L103" s="199">
        <v>0</v>
      </c>
      <c r="M103" s="199">
        <v>0</v>
      </c>
      <c r="N103" s="199">
        <v>0</v>
      </c>
      <c r="O103" s="129">
        <v>3</v>
      </c>
    </row>
    <row r="104" spans="1:15" x14ac:dyDescent="0.2">
      <c r="A104" s="127" t="s">
        <v>409</v>
      </c>
      <c r="B104" s="129">
        <v>0</v>
      </c>
      <c r="C104" s="129">
        <v>0</v>
      </c>
      <c r="D104" s="129">
        <v>0</v>
      </c>
      <c r="E104" s="129">
        <v>0</v>
      </c>
      <c r="F104" s="129">
        <v>0</v>
      </c>
      <c r="G104" s="129">
        <v>0</v>
      </c>
      <c r="H104" s="129">
        <v>0</v>
      </c>
      <c r="I104" s="129">
        <v>0</v>
      </c>
      <c r="J104" s="129">
        <v>0</v>
      </c>
      <c r="K104" s="129">
        <v>0</v>
      </c>
      <c r="L104" s="129">
        <v>0</v>
      </c>
      <c r="M104" s="129">
        <v>1</v>
      </c>
      <c r="N104" s="129">
        <v>0</v>
      </c>
      <c r="O104" s="129">
        <v>1</v>
      </c>
    </row>
    <row r="105" spans="1:15" x14ac:dyDescent="0.2">
      <c r="A105" s="127" t="s">
        <v>410</v>
      </c>
      <c r="B105" s="129">
        <v>0</v>
      </c>
      <c r="C105" s="129">
        <v>0</v>
      </c>
      <c r="D105" s="129">
        <v>0</v>
      </c>
      <c r="E105" s="129">
        <v>0</v>
      </c>
      <c r="F105" s="129">
        <v>1</v>
      </c>
      <c r="G105" s="129">
        <v>1</v>
      </c>
      <c r="H105" s="129">
        <v>1</v>
      </c>
      <c r="I105" s="129">
        <v>2</v>
      </c>
      <c r="J105" s="129">
        <v>1</v>
      </c>
      <c r="K105" s="129">
        <v>2</v>
      </c>
      <c r="L105" s="129">
        <v>1</v>
      </c>
      <c r="M105" s="129">
        <v>1</v>
      </c>
      <c r="N105" s="129">
        <v>0</v>
      </c>
      <c r="O105" s="129">
        <v>10</v>
      </c>
    </row>
    <row r="106" spans="1:15" ht="16" x14ac:dyDescent="0.2">
      <c r="A106" s="133" t="s">
        <v>411</v>
      </c>
      <c r="B106" s="126">
        <v>0</v>
      </c>
      <c r="C106" s="126">
        <v>0</v>
      </c>
      <c r="D106" s="126">
        <v>0</v>
      </c>
      <c r="E106" s="126">
        <v>0</v>
      </c>
      <c r="F106" s="126">
        <v>1</v>
      </c>
      <c r="G106" s="126">
        <v>0</v>
      </c>
      <c r="H106" s="126">
        <v>2</v>
      </c>
      <c r="I106" s="126">
        <v>1</v>
      </c>
      <c r="J106" s="126">
        <v>1</v>
      </c>
      <c r="K106" s="126">
        <v>1</v>
      </c>
      <c r="L106" s="126">
        <v>1</v>
      </c>
      <c r="M106" s="126">
        <v>1</v>
      </c>
      <c r="N106" s="126">
        <v>0</v>
      </c>
      <c r="O106" s="126">
        <v>8</v>
      </c>
    </row>
    <row r="107" spans="1:15" x14ac:dyDescent="0.2">
      <c r="A107" s="136" t="s">
        <v>412</v>
      </c>
      <c r="B107" s="126">
        <v>1</v>
      </c>
      <c r="C107" s="126">
        <v>0</v>
      </c>
      <c r="D107" s="126">
        <v>0</v>
      </c>
      <c r="E107" s="126">
        <v>1</v>
      </c>
      <c r="F107" s="126">
        <v>1</v>
      </c>
      <c r="G107" s="126">
        <v>0</v>
      </c>
      <c r="H107" s="126">
        <v>1</v>
      </c>
      <c r="I107" s="126">
        <v>1</v>
      </c>
      <c r="J107" s="126">
        <v>1</v>
      </c>
      <c r="K107" s="126">
        <v>0</v>
      </c>
      <c r="L107" s="126">
        <v>1</v>
      </c>
      <c r="M107" s="126">
        <v>1</v>
      </c>
      <c r="N107" s="126">
        <v>0</v>
      </c>
      <c r="O107" s="126">
        <v>8</v>
      </c>
    </row>
    <row r="108" spans="1:15" x14ac:dyDescent="0.2">
      <c r="A108" s="136" t="s">
        <v>413</v>
      </c>
      <c r="B108" s="129">
        <v>2</v>
      </c>
      <c r="C108" s="129">
        <v>2</v>
      </c>
      <c r="D108" s="129">
        <v>2</v>
      </c>
      <c r="E108" s="129">
        <v>2</v>
      </c>
      <c r="F108" s="129">
        <v>2</v>
      </c>
      <c r="G108" s="129">
        <v>2</v>
      </c>
      <c r="H108" s="129">
        <v>2</v>
      </c>
      <c r="I108" s="129">
        <v>2</v>
      </c>
      <c r="J108" s="129">
        <v>2</v>
      </c>
      <c r="K108" s="129">
        <v>1</v>
      </c>
      <c r="L108" s="129">
        <v>2</v>
      </c>
      <c r="M108" s="129">
        <v>3</v>
      </c>
      <c r="N108" s="129">
        <v>3</v>
      </c>
      <c r="O108" s="129">
        <v>27</v>
      </c>
    </row>
    <row r="109" spans="1:15" ht="16" thickBot="1" x14ac:dyDescent="0.25">
      <c r="A109" s="136" t="s">
        <v>414</v>
      </c>
      <c r="B109" s="138">
        <v>2</v>
      </c>
      <c r="C109" s="138">
        <v>2</v>
      </c>
      <c r="D109" s="138">
        <v>0</v>
      </c>
      <c r="E109" s="138">
        <v>0</v>
      </c>
      <c r="F109" s="138">
        <v>0</v>
      </c>
      <c r="G109" s="138">
        <v>0</v>
      </c>
      <c r="H109" s="138">
        <v>1</v>
      </c>
      <c r="I109" s="138">
        <v>0</v>
      </c>
      <c r="J109" s="138">
        <v>2</v>
      </c>
      <c r="K109" s="138">
        <v>1</v>
      </c>
      <c r="L109" s="138">
        <v>1</v>
      </c>
      <c r="M109" s="138">
        <v>1</v>
      </c>
      <c r="N109" s="138">
        <v>0</v>
      </c>
      <c r="O109" s="138">
        <v>10</v>
      </c>
    </row>
    <row r="110" spans="1:15" ht="16" x14ac:dyDescent="0.2">
      <c r="A110" s="139" t="s">
        <v>415</v>
      </c>
      <c r="B110" s="163">
        <v>1</v>
      </c>
      <c r="C110" s="163">
        <v>0</v>
      </c>
      <c r="D110" s="163">
        <v>2</v>
      </c>
      <c r="E110" s="163">
        <v>0</v>
      </c>
      <c r="F110" s="163">
        <v>2</v>
      </c>
      <c r="G110" s="163">
        <v>1</v>
      </c>
      <c r="H110" s="163">
        <v>1</v>
      </c>
      <c r="I110" s="163">
        <v>1</v>
      </c>
      <c r="J110" s="163">
        <v>1</v>
      </c>
      <c r="K110" s="163">
        <v>1</v>
      </c>
      <c r="L110" s="163">
        <v>1</v>
      </c>
      <c r="M110" s="163">
        <v>1</v>
      </c>
      <c r="N110" s="163">
        <v>1</v>
      </c>
      <c r="O110" s="126">
        <v>13</v>
      </c>
    </row>
    <row r="111" spans="1:15" ht="16" x14ac:dyDescent="0.2">
      <c r="A111" s="139" t="s">
        <v>416</v>
      </c>
      <c r="B111" s="199">
        <v>2</v>
      </c>
      <c r="C111" s="199">
        <v>2</v>
      </c>
      <c r="D111" s="199">
        <v>1</v>
      </c>
      <c r="E111" s="199">
        <v>1</v>
      </c>
      <c r="F111" s="199">
        <v>1</v>
      </c>
      <c r="G111" s="199">
        <v>1</v>
      </c>
      <c r="H111" s="199">
        <v>1</v>
      </c>
      <c r="I111" s="199">
        <v>1</v>
      </c>
      <c r="J111" s="199">
        <v>1</v>
      </c>
      <c r="K111" s="199">
        <v>1</v>
      </c>
      <c r="L111" s="199">
        <v>1</v>
      </c>
      <c r="M111" s="199">
        <v>2</v>
      </c>
      <c r="N111" s="199">
        <v>2</v>
      </c>
      <c r="O111" s="129">
        <v>17</v>
      </c>
    </row>
    <row r="112" spans="1:15" ht="16" x14ac:dyDescent="0.2">
      <c r="A112" s="139" t="s">
        <v>417</v>
      </c>
      <c r="B112" s="199">
        <v>2</v>
      </c>
      <c r="C112" s="199">
        <v>0</v>
      </c>
      <c r="D112" s="199">
        <v>0</v>
      </c>
      <c r="E112" s="199">
        <v>0</v>
      </c>
      <c r="F112" s="199">
        <v>0</v>
      </c>
      <c r="G112" s="199">
        <v>0</v>
      </c>
      <c r="H112" s="199">
        <v>1</v>
      </c>
      <c r="I112" s="199">
        <v>0</v>
      </c>
      <c r="J112" s="199">
        <v>1</v>
      </c>
      <c r="K112" s="199">
        <v>1</v>
      </c>
      <c r="L112" s="199">
        <v>1</v>
      </c>
      <c r="M112" s="199">
        <v>1</v>
      </c>
      <c r="N112" s="199">
        <v>0</v>
      </c>
      <c r="O112" s="129">
        <v>7</v>
      </c>
    </row>
    <row r="113" spans="1:15" ht="16" x14ac:dyDescent="0.2">
      <c r="A113" s="139" t="s">
        <v>418</v>
      </c>
      <c r="B113" s="210">
        <v>0</v>
      </c>
      <c r="C113" s="210">
        <v>0</v>
      </c>
      <c r="D113" s="210">
        <v>0</v>
      </c>
      <c r="E113" s="210">
        <v>0</v>
      </c>
      <c r="F113" s="210">
        <v>1</v>
      </c>
      <c r="G113" s="210">
        <v>1</v>
      </c>
      <c r="H113" s="210">
        <v>1</v>
      </c>
      <c r="I113" s="210">
        <v>1</v>
      </c>
      <c r="J113" s="210">
        <v>1</v>
      </c>
      <c r="K113" s="210">
        <v>1</v>
      </c>
      <c r="L113" s="210">
        <v>2</v>
      </c>
      <c r="M113" s="210">
        <v>1</v>
      </c>
      <c r="N113" s="210">
        <v>0</v>
      </c>
      <c r="O113" s="210">
        <v>9</v>
      </c>
    </row>
    <row r="114" spans="1:15" ht="16" x14ac:dyDescent="0.2">
      <c r="A114" s="139" t="s">
        <v>419</v>
      </c>
      <c r="B114" s="199">
        <v>1</v>
      </c>
      <c r="C114" s="199">
        <v>1</v>
      </c>
      <c r="D114" s="199">
        <v>2</v>
      </c>
      <c r="E114" s="199">
        <v>1</v>
      </c>
      <c r="F114" s="199">
        <v>2</v>
      </c>
      <c r="G114" s="199">
        <v>1</v>
      </c>
      <c r="H114" s="199">
        <v>1</v>
      </c>
      <c r="I114" s="199">
        <v>1</v>
      </c>
      <c r="J114" s="199">
        <v>0</v>
      </c>
      <c r="K114" s="199">
        <v>1</v>
      </c>
      <c r="L114" s="199">
        <v>0</v>
      </c>
      <c r="M114" s="199">
        <v>1</v>
      </c>
      <c r="N114" s="199">
        <v>0</v>
      </c>
      <c r="O114" s="199">
        <v>12</v>
      </c>
    </row>
    <row r="115" spans="1:15" x14ac:dyDescent="0.2">
      <c r="A115" s="139" t="s">
        <v>420</v>
      </c>
      <c r="B115" s="129">
        <v>1</v>
      </c>
      <c r="C115" s="129">
        <v>0</v>
      </c>
      <c r="D115" s="129">
        <v>0</v>
      </c>
      <c r="E115" s="129">
        <v>1</v>
      </c>
      <c r="F115" s="129">
        <v>1</v>
      </c>
      <c r="G115" s="129">
        <v>1</v>
      </c>
      <c r="H115" s="129">
        <v>1</v>
      </c>
      <c r="I115" s="129">
        <v>1</v>
      </c>
      <c r="J115" s="129">
        <v>0</v>
      </c>
      <c r="K115" s="129">
        <v>0</v>
      </c>
      <c r="L115" s="129">
        <v>0</v>
      </c>
      <c r="M115" s="129">
        <v>1</v>
      </c>
      <c r="N115" s="129">
        <v>0</v>
      </c>
      <c r="O115" s="129">
        <v>7</v>
      </c>
    </row>
    <row r="116" spans="1:15" ht="16" x14ac:dyDescent="0.2">
      <c r="A116" s="139" t="s">
        <v>421</v>
      </c>
      <c r="B116" s="199">
        <v>1</v>
      </c>
      <c r="C116" s="199">
        <v>1</v>
      </c>
      <c r="D116" s="199">
        <v>1</v>
      </c>
      <c r="E116" s="199">
        <v>0</v>
      </c>
      <c r="F116" s="199">
        <v>1</v>
      </c>
      <c r="G116" s="199">
        <v>1</v>
      </c>
      <c r="H116" s="199">
        <v>1</v>
      </c>
      <c r="I116" s="199">
        <v>2</v>
      </c>
      <c r="J116" s="199">
        <v>0</v>
      </c>
      <c r="K116" s="199">
        <v>0</v>
      </c>
      <c r="L116" s="199">
        <v>1</v>
      </c>
      <c r="M116" s="199">
        <v>0</v>
      </c>
      <c r="N116" s="199">
        <v>0</v>
      </c>
      <c r="O116" s="199">
        <v>8</v>
      </c>
    </row>
    <row r="117" spans="1:15" x14ac:dyDescent="0.2">
      <c r="A117" s="139" t="s">
        <v>422</v>
      </c>
      <c r="B117" s="129">
        <v>1</v>
      </c>
      <c r="C117" s="129">
        <v>0</v>
      </c>
      <c r="D117" s="129">
        <v>1</v>
      </c>
      <c r="E117" s="129">
        <v>0</v>
      </c>
      <c r="F117" s="129">
        <v>0</v>
      </c>
      <c r="G117" s="129">
        <v>0</v>
      </c>
      <c r="H117" s="129">
        <v>1</v>
      </c>
      <c r="I117" s="129">
        <v>2</v>
      </c>
      <c r="J117" s="129">
        <v>1</v>
      </c>
      <c r="K117" s="129">
        <v>0</v>
      </c>
      <c r="L117" s="129">
        <v>1</v>
      </c>
      <c r="M117" s="129">
        <v>1</v>
      </c>
      <c r="N117" s="129">
        <v>1</v>
      </c>
      <c r="O117" s="129">
        <v>9</v>
      </c>
    </row>
    <row r="118" spans="1:15" x14ac:dyDescent="0.2">
      <c r="A118" s="139" t="s">
        <v>423</v>
      </c>
      <c r="B118" s="129">
        <v>1</v>
      </c>
      <c r="C118" s="129">
        <v>0</v>
      </c>
      <c r="D118" s="129">
        <v>0</v>
      </c>
      <c r="E118" s="129">
        <v>0</v>
      </c>
      <c r="F118" s="129">
        <v>0</v>
      </c>
      <c r="G118" s="129">
        <v>0</v>
      </c>
      <c r="H118" s="129">
        <v>1</v>
      </c>
      <c r="I118" s="129">
        <v>2</v>
      </c>
      <c r="J118" s="129">
        <v>0</v>
      </c>
      <c r="K118" s="129">
        <v>0</v>
      </c>
      <c r="L118" s="129">
        <v>0</v>
      </c>
      <c r="M118" s="129">
        <v>0</v>
      </c>
      <c r="N118" s="129">
        <v>0</v>
      </c>
      <c r="O118" s="129">
        <v>4</v>
      </c>
    </row>
    <row r="119" spans="1:15" ht="16" x14ac:dyDescent="0.2">
      <c r="A119" s="124" t="s">
        <v>424</v>
      </c>
      <c r="B119" s="126">
        <v>1</v>
      </c>
      <c r="C119" s="126">
        <v>1</v>
      </c>
      <c r="D119" s="126">
        <v>0</v>
      </c>
      <c r="E119" s="126">
        <v>1</v>
      </c>
      <c r="F119" s="126">
        <v>1</v>
      </c>
      <c r="G119" s="126">
        <v>1</v>
      </c>
      <c r="H119" s="126">
        <v>2</v>
      </c>
      <c r="I119" s="126">
        <v>1</v>
      </c>
      <c r="J119" s="126">
        <v>2</v>
      </c>
      <c r="K119" s="126">
        <v>1</v>
      </c>
      <c r="L119" s="126">
        <v>2</v>
      </c>
      <c r="M119" s="126">
        <v>2</v>
      </c>
      <c r="N119" s="126">
        <v>1</v>
      </c>
      <c r="O119" s="126">
        <v>16</v>
      </c>
    </row>
    <row r="120" spans="1:15" x14ac:dyDescent="0.2">
      <c r="A120" s="139" t="s">
        <v>425</v>
      </c>
      <c r="B120" s="129">
        <v>2</v>
      </c>
      <c r="C120" s="129">
        <v>2</v>
      </c>
      <c r="D120" s="129">
        <v>1</v>
      </c>
      <c r="E120" s="129">
        <v>1</v>
      </c>
      <c r="F120" s="129">
        <v>1</v>
      </c>
      <c r="G120" s="129">
        <v>1</v>
      </c>
      <c r="H120" s="129">
        <v>2</v>
      </c>
      <c r="I120" s="129">
        <v>2</v>
      </c>
      <c r="J120" s="129">
        <v>0</v>
      </c>
      <c r="K120" s="129">
        <v>0</v>
      </c>
      <c r="L120" s="129">
        <v>1</v>
      </c>
      <c r="M120" s="129">
        <v>1</v>
      </c>
      <c r="N120" s="129">
        <v>1</v>
      </c>
      <c r="O120" s="129">
        <v>15</v>
      </c>
    </row>
    <row r="121" spans="1:15" x14ac:dyDescent="0.2">
      <c r="A121" s="139" t="s">
        <v>426</v>
      </c>
      <c r="B121" s="129">
        <v>2</v>
      </c>
      <c r="C121" s="129">
        <v>0</v>
      </c>
      <c r="D121" s="129">
        <v>2</v>
      </c>
      <c r="E121" s="129">
        <v>2</v>
      </c>
      <c r="F121" s="129">
        <v>2</v>
      </c>
      <c r="G121" s="129">
        <v>2</v>
      </c>
      <c r="H121" s="129">
        <v>2</v>
      </c>
      <c r="I121" s="129">
        <v>2</v>
      </c>
      <c r="J121" s="129">
        <v>1</v>
      </c>
      <c r="K121" s="129">
        <v>0</v>
      </c>
      <c r="L121" s="129">
        <v>2</v>
      </c>
      <c r="M121" s="129">
        <v>1</v>
      </c>
      <c r="N121" s="129">
        <v>1</v>
      </c>
      <c r="O121" s="129">
        <v>19</v>
      </c>
    </row>
    <row r="122" spans="1:15" x14ac:dyDescent="0.2">
      <c r="A122" s="149" t="s">
        <v>427</v>
      </c>
      <c r="B122" s="129">
        <v>1</v>
      </c>
      <c r="C122" s="129">
        <v>0</v>
      </c>
      <c r="D122" s="129">
        <v>1</v>
      </c>
      <c r="E122" s="129">
        <v>1</v>
      </c>
      <c r="F122" s="129">
        <v>1</v>
      </c>
      <c r="G122" s="129">
        <v>1</v>
      </c>
      <c r="H122" s="129">
        <v>2</v>
      </c>
      <c r="I122" s="129">
        <v>2</v>
      </c>
      <c r="J122" s="129">
        <v>1</v>
      </c>
      <c r="K122" s="129">
        <v>0</v>
      </c>
      <c r="L122" s="129">
        <v>1</v>
      </c>
      <c r="M122" s="129">
        <v>1</v>
      </c>
      <c r="N122" s="129">
        <v>1</v>
      </c>
      <c r="O122" s="129">
        <v>13</v>
      </c>
    </row>
    <row r="123" spans="1:15" ht="16" x14ac:dyDescent="0.2">
      <c r="A123" s="151" t="s">
        <v>428</v>
      </c>
      <c r="B123" s="126">
        <v>1</v>
      </c>
      <c r="C123" s="126">
        <v>0</v>
      </c>
      <c r="D123" s="126">
        <v>0</v>
      </c>
      <c r="E123" s="126">
        <v>0</v>
      </c>
      <c r="F123" s="126">
        <v>0</v>
      </c>
      <c r="G123" s="126">
        <v>0</v>
      </c>
      <c r="H123" s="126">
        <v>1</v>
      </c>
      <c r="I123" s="126">
        <v>0</v>
      </c>
      <c r="J123" s="126">
        <v>0</v>
      </c>
      <c r="K123" s="126">
        <v>0</v>
      </c>
      <c r="L123" s="126">
        <v>0</v>
      </c>
      <c r="M123" s="126">
        <v>0</v>
      </c>
      <c r="N123" s="126">
        <v>0</v>
      </c>
      <c r="O123" s="126">
        <v>2</v>
      </c>
    </row>
    <row r="124" spans="1:15" ht="16" x14ac:dyDescent="0.2">
      <c r="A124" s="151" t="s">
        <v>429</v>
      </c>
      <c r="B124" s="129">
        <v>1</v>
      </c>
      <c r="C124" s="129">
        <v>0</v>
      </c>
      <c r="D124" s="129">
        <v>0</v>
      </c>
      <c r="E124" s="129">
        <v>0</v>
      </c>
      <c r="F124" s="129">
        <v>0</v>
      </c>
      <c r="G124" s="129">
        <v>0</v>
      </c>
      <c r="H124" s="129">
        <v>1</v>
      </c>
      <c r="I124" s="129">
        <v>1</v>
      </c>
      <c r="J124" s="129">
        <v>0</v>
      </c>
      <c r="K124" s="129">
        <v>0</v>
      </c>
      <c r="L124" s="129">
        <v>0</v>
      </c>
      <c r="M124" s="129">
        <v>0</v>
      </c>
      <c r="N124" s="129">
        <v>0</v>
      </c>
      <c r="O124" s="129">
        <v>3</v>
      </c>
    </row>
    <row r="125" spans="1:15" ht="16" x14ac:dyDescent="0.2">
      <c r="A125" s="152" t="s">
        <v>430</v>
      </c>
      <c r="B125" s="154">
        <v>2</v>
      </c>
      <c r="C125" s="154">
        <v>0</v>
      </c>
      <c r="D125" s="154">
        <v>1</v>
      </c>
      <c r="E125" s="154">
        <v>1</v>
      </c>
      <c r="F125" s="154">
        <v>1</v>
      </c>
      <c r="G125" s="154">
        <v>1</v>
      </c>
      <c r="H125" s="154">
        <v>1</v>
      </c>
      <c r="I125" s="154">
        <v>2</v>
      </c>
      <c r="J125" s="154">
        <v>0</v>
      </c>
      <c r="K125" s="154">
        <v>0</v>
      </c>
      <c r="L125" s="154">
        <v>1</v>
      </c>
      <c r="M125" s="154">
        <v>0</v>
      </c>
      <c r="N125" s="154">
        <v>0</v>
      </c>
      <c r="O125" s="154">
        <v>10</v>
      </c>
    </row>
    <row r="126" spans="1:15" ht="16" x14ac:dyDescent="0.2">
      <c r="A126" s="152" t="s">
        <v>431</v>
      </c>
      <c r="B126" s="129">
        <v>0</v>
      </c>
      <c r="C126" s="129">
        <v>0</v>
      </c>
      <c r="D126" s="129">
        <v>1</v>
      </c>
      <c r="E126" s="129">
        <v>1</v>
      </c>
      <c r="F126" s="129">
        <v>1</v>
      </c>
      <c r="G126" s="129">
        <v>1</v>
      </c>
      <c r="H126" s="129">
        <v>1</v>
      </c>
      <c r="I126" s="129">
        <v>1</v>
      </c>
      <c r="J126" s="129">
        <v>0</v>
      </c>
      <c r="K126" s="129">
        <v>0</v>
      </c>
      <c r="L126" s="129">
        <v>0</v>
      </c>
      <c r="M126" s="129">
        <v>0</v>
      </c>
      <c r="N126" s="129">
        <v>0</v>
      </c>
      <c r="O126" s="129">
        <v>6</v>
      </c>
    </row>
    <row r="127" spans="1:15" x14ac:dyDescent="0.2">
      <c r="A127" s="136" t="s">
        <v>432</v>
      </c>
      <c r="B127" s="129">
        <v>2</v>
      </c>
      <c r="C127" s="129">
        <v>1</v>
      </c>
      <c r="D127" s="129">
        <v>2</v>
      </c>
      <c r="E127" s="129">
        <v>2</v>
      </c>
      <c r="F127" s="129">
        <v>2</v>
      </c>
      <c r="G127" s="129">
        <v>2</v>
      </c>
      <c r="H127" s="129">
        <v>2</v>
      </c>
      <c r="I127" s="129">
        <v>2</v>
      </c>
      <c r="J127" s="129">
        <v>0</v>
      </c>
      <c r="K127" s="129">
        <v>0</v>
      </c>
      <c r="L127" s="129">
        <v>2</v>
      </c>
      <c r="M127" s="129">
        <v>1</v>
      </c>
      <c r="N127" s="129">
        <v>1</v>
      </c>
      <c r="O127" s="129">
        <v>19</v>
      </c>
    </row>
    <row r="128" spans="1:15" x14ac:dyDescent="0.2">
      <c r="A128" s="136" t="s">
        <v>433</v>
      </c>
      <c r="B128" s="126">
        <v>2</v>
      </c>
      <c r="C128" s="126">
        <v>1</v>
      </c>
      <c r="D128" s="126">
        <v>2</v>
      </c>
      <c r="E128" s="126">
        <v>2</v>
      </c>
      <c r="F128" s="126">
        <v>2</v>
      </c>
      <c r="G128" s="126">
        <v>2</v>
      </c>
      <c r="H128" s="126">
        <v>2</v>
      </c>
      <c r="I128" s="126">
        <v>2</v>
      </c>
      <c r="J128" s="126">
        <v>0</v>
      </c>
      <c r="K128" s="126">
        <v>0</v>
      </c>
      <c r="L128" s="126">
        <v>2</v>
      </c>
      <c r="M128" s="126">
        <v>1</v>
      </c>
      <c r="N128" s="126">
        <v>1</v>
      </c>
      <c r="O128" s="126">
        <v>19</v>
      </c>
    </row>
    <row r="129" spans="1:15" x14ac:dyDescent="0.2">
      <c r="A129" s="136" t="s">
        <v>434</v>
      </c>
      <c r="B129" s="129">
        <v>2</v>
      </c>
      <c r="C129" s="129">
        <v>1</v>
      </c>
      <c r="D129" s="129">
        <v>2</v>
      </c>
      <c r="E129" s="129">
        <v>2</v>
      </c>
      <c r="F129" s="129">
        <v>2</v>
      </c>
      <c r="G129" s="129">
        <v>2</v>
      </c>
      <c r="H129" s="129">
        <v>2</v>
      </c>
      <c r="I129" s="129">
        <v>2</v>
      </c>
      <c r="J129" s="129">
        <v>1</v>
      </c>
      <c r="K129" s="129">
        <v>1</v>
      </c>
      <c r="L129" s="129">
        <v>2</v>
      </c>
      <c r="M129" s="129">
        <v>1</v>
      </c>
      <c r="N129" s="129">
        <v>0</v>
      </c>
      <c r="O129" s="129">
        <v>20</v>
      </c>
    </row>
    <row r="130" spans="1:15" x14ac:dyDescent="0.2">
      <c r="A130" s="136" t="s">
        <v>435</v>
      </c>
      <c r="B130" s="129">
        <v>2</v>
      </c>
      <c r="C130" s="129">
        <v>1</v>
      </c>
      <c r="D130" s="129">
        <v>2</v>
      </c>
      <c r="E130" s="129">
        <v>2</v>
      </c>
      <c r="F130" s="129">
        <v>2</v>
      </c>
      <c r="G130" s="129">
        <v>2</v>
      </c>
      <c r="H130" s="129">
        <v>2</v>
      </c>
      <c r="I130" s="129">
        <v>2</v>
      </c>
      <c r="J130" s="129">
        <v>0</v>
      </c>
      <c r="K130" s="129">
        <v>0</v>
      </c>
      <c r="L130" s="129">
        <v>2</v>
      </c>
      <c r="M130" s="129">
        <v>1</v>
      </c>
      <c r="N130" s="129">
        <v>1</v>
      </c>
      <c r="O130" s="129">
        <v>19</v>
      </c>
    </row>
    <row r="131" spans="1:15" x14ac:dyDescent="0.2">
      <c r="A131" s="136" t="s">
        <v>436</v>
      </c>
      <c r="B131" s="129">
        <v>1</v>
      </c>
      <c r="C131" s="129">
        <v>0</v>
      </c>
      <c r="D131" s="129">
        <v>1</v>
      </c>
      <c r="E131" s="129">
        <v>2</v>
      </c>
      <c r="F131" s="129">
        <v>2</v>
      </c>
      <c r="G131" s="129">
        <v>2</v>
      </c>
      <c r="H131" s="129">
        <v>2</v>
      </c>
      <c r="I131" s="129">
        <v>2</v>
      </c>
      <c r="J131" s="129">
        <v>1</v>
      </c>
      <c r="K131" s="129">
        <v>0</v>
      </c>
      <c r="L131" s="129">
        <v>1</v>
      </c>
      <c r="M131" s="129">
        <v>1</v>
      </c>
      <c r="N131" s="129">
        <v>0</v>
      </c>
      <c r="O131" s="129">
        <v>15</v>
      </c>
    </row>
    <row r="132" spans="1:15" x14ac:dyDescent="0.2">
      <c r="A132" s="136" t="s">
        <v>437</v>
      </c>
      <c r="B132" s="129">
        <v>1</v>
      </c>
      <c r="C132" s="129">
        <v>0</v>
      </c>
      <c r="D132" s="129">
        <v>1</v>
      </c>
      <c r="E132" s="129">
        <v>1</v>
      </c>
      <c r="F132" s="129">
        <v>1</v>
      </c>
      <c r="G132" s="129">
        <v>1</v>
      </c>
      <c r="H132" s="129">
        <v>2</v>
      </c>
      <c r="I132" s="129">
        <v>2</v>
      </c>
      <c r="J132" s="129">
        <v>0</v>
      </c>
      <c r="K132" s="129">
        <v>0</v>
      </c>
      <c r="L132" s="129">
        <v>2</v>
      </c>
      <c r="M132" s="129">
        <v>2</v>
      </c>
      <c r="N132" s="129">
        <v>1</v>
      </c>
      <c r="O132" s="129">
        <v>14</v>
      </c>
    </row>
    <row r="133" spans="1:15" x14ac:dyDescent="0.2">
      <c r="A133" s="136" t="s">
        <v>438</v>
      </c>
      <c r="B133" s="131">
        <v>2</v>
      </c>
      <c r="C133" s="131">
        <v>1</v>
      </c>
      <c r="D133" s="131">
        <v>2</v>
      </c>
      <c r="E133" s="131">
        <v>2</v>
      </c>
      <c r="F133" s="131">
        <v>2</v>
      </c>
      <c r="G133" s="131">
        <v>2</v>
      </c>
      <c r="H133" s="131">
        <v>2</v>
      </c>
      <c r="I133" s="131">
        <v>2</v>
      </c>
      <c r="J133" s="131">
        <v>0</v>
      </c>
      <c r="K133" s="131">
        <v>0</v>
      </c>
      <c r="L133" s="131">
        <v>1</v>
      </c>
      <c r="M133" s="131">
        <v>1</v>
      </c>
      <c r="N133" s="131">
        <v>0</v>
      </c>
      <c r="O133" s="131">
        <v>17</v>
      </c>
    </row>
    <row r="134" spans="1:15" ht="16" x14ac:dyDescent="0.2">
      <c r="A134" s="157" t="s">
        <v>439</v>
      </c>
      <c r="B134" s="205">
        <v>1</v>
      </c>
      <c r="C134" s="205">
        <v>0</v>
      </c>
      <c r="D134" s="205">
        <v>0</v>
      </c>
      <c r="E134" s="205">
        <v>0</v>
      </c>
      <c r="F134" s="205">
        <v>0</v>
      </c>
      <c r="G134" s="205">
        <v>0</v>
      </c>
      <c r="H134" s="205">
        <v>1</v>
      </c>
      <c r="I134" s="205">
        <v>0</v>
      </c>
      <c r="J134" s="126">
        <v>0</v>
      </c>
      <c r="K134" s="126">
        <v>0</v>
      </c>
      <c r="L134" s="126">
        <v>0</v>
      </c>
      <c r="M134" s="126">
        <v>0</v>
      </c>
      <c r="N134" s="126">
        <v>0</v>
      </c>
      <c r="O134" s="126">
        <v>2</v>
      </c>
    </row>
    <row r="135" spans="1:15" ht="16" x14ac:dyDescent="0.2">
      <c r="A135" s="132" t="s">
        <v>440</v>
      </c>
      <c r="B135" s="129">
        <v>0</v>
      </c>
      <c r="C135" s="129">
        <v>0</v>
      </c>
      <c r="D135" s="129">
        <v>0</v>
      </c>
      <c r="E135" s="129">
        <v>0</v>
      </c>
      <c r="F135" s="129">
        <v>0</v>
      </c>
      <c r="G135" s="129">
        <v>0</v>
      </c>
      <c r="H135" s="129">
        <v>1</v>
      </c>
      <c r="I135" s="129">
        <v>0</v>
      </c>
      <c r="J135" s="129">
        <v>1</v>
      </c>
      <c r="K135" s="129">
        <v>1</v>
      </c>
      <c r="L135" s="129">
        <v>1</v>
      </c>
      <c r="M135" s="129">
        <v>1</v>
      </c>
      <c r="N135" s="129">
        <v>0</v>
      </c>
      <c r="O135" s="129">
        <v>5</v>
      </c>
    </row>
    <row r="136" spans="1:15" x14ac:dyDescent="0.2">
      <c r="A136" s="136" t="s">
        <v>441</v>
      </c>
      <c r="B136" s="28">
        <v>1</v>
      </c>
      <c r="C136" s="28">
        <v>0</v>
      </c>
      <c r="D136" s="28">
        <v>0</v>
      </c>
      <c r="E136" s="28">
        <v>2</v>
      </c>
      <c r="F136" s="28">
        <v>2</v>
      </c>
      <c r="G136" s="28">
        <v>1</v>
      </c>
      <c r="H136" s="28">
        <v>2</v>
      </c>
      <c r="I136" s="28">
        <v>1</v>
      </c>
      <c r="J136" s="28">
        <v>0</v>
      </c>
      <c r="K136" s="28">
        <v>0</v>
      </c>
      <c r="L136" s="28">
        <v>0</v>
      </c>
      <c r="M136" s="28">
        <v>1</v>
      </c>
      <c r="N136" s="28">
        <v>0</v>
      </c>
      <c r="O136" s="136">
        <v>10</v>
      </c>
    </row>
    <row r="137" spans="1:15" ht="16" x14ac:dyDescent="0.2">
      <c r="A137" s="136" t="s">
        <v>442</v>
      </c>
      <c r="B137" s="200">
        <v>1</v>
      </c>
      <c r="C137" s="200">
        <v>0</v>
      </c>
      <c r="D137" s="200">
        <v>0</v>
      </c>
      <c r="E137" s="200">
        <v>0</v>
      </c>
      <c r="F137" s="200">
        <v>1</v>
      </c>
      <c r="G137" s="200">
        <v>0</v>
      </c>
      <c r="H137" s="200">
        <v>2</v>
      </c>
      <c r="I137" s="200">
        <v>0</v>
      </c>
      <c r="J137" s="200">
        <v>0</v>
      </c>
      <c r="K137" s="200">
        <v>1</v>
      </c>
      <c r="L137" s="200">
        <v>0</v>
      </c>
      <c r="M137" s="200">
        <v>1</v>
      </c>
      <c r="N137" s="200">
        <v>0</v>
      </c>
      <c r="O137" s="136">
        <v>6</v>
      </c>
    </row>
    <row r="138" spans="1:15" x14ac:dyDescent="0.2">
      <c r="A138" s="136" t="s">
        <v>443</v>
      </c>
      <c r="B138" s="28">
        <v>0</v>
      </c>
      <c r="C138" s="28">
        <v>0</v>
      </c>
      <c r="D138" s="28">
        <v>0</v>
      </c>
      <c r="E138" s="28">
        <v>0</v>
      </c>
      <c r="F138" s="28">
        <v>1</v>
      </c>
      <c r="G138" s="28">
        <v>1</v>
      </c>
      <c r="H138" s="28">
        <v>1</v>
      </c>
      <c r="I138" s="28">
        <v>2</v>
      </c>
      <c r="J138" s="28">
        <v>1</v>
      </c>
      <c r="K138" s="28">
        <v>2</v>
      </c>
      <c r="L138" s="28">
        <v>1</v>
      </c>
      <c r="M138" s="28">
        <v>1</v>
      </c>
      <c r="N138" s="28">
        <v>0</v>
      </c>
      <c r="O138" s="136">
        <v>10</v>
      </c>
    </row>
    <row r="139" spans="1:15" x14ac:dyDescent="0.2">
      <c r="A139" s="136" t="s">
        <v>444</v>
      </c>
      <c r="B139" s="28">
        <v>1</v>
      </c>
      <c r="C139" s="28">
        <v>1</v>
      </c>
      <c r="D139" s="28">
        <v>1</v>
      </c>
      <c r="E139" s="28">
        <v>0</v>
      </c>
      <c r="F139" s="28">
        <v>0</v>
      </c>
      <c r="G139" s="28">
        <v>0</v>
      </c>
      <c r="H139" s="28">
        <v>2</v>
      </c>
      <c r="I139" s="28">
        <v>0</v>
      </c>
      <c r="J139" s="28">
        <v>0</v>
      </c>
      <c r="K139" s="28">
        <v>1</v>
      </c>
      <c r="L139" s="28">
        <v>0</v>
      </c>
      <c r="M139" s="28">
        <v>1</v>
      </c>
      <c r="N139" s="28">
        <v>0</v>
      </c>
      <c r="O139" s="136">
        <v>7</v>
      </c>
    </row>
    <row r="140" spans="1:15" x14ac:dyDescent="0.2">
      <c r="A140" s="136" t="s">
        <v>445</v>
      </c>
      <c r="B140" s="28">
        <v>1</v>
      </c>
      <c r="C140" s="28">
        <v>1</v>
      </c>
      <c r="D140" s="28">
        <v>1</v>
      </c>
      <c r="E140" s="28">
        <v>0</v>
      </c>
      <c r="F140" s="28">
        <v>0</v>
      </c>
      <c r="G140" s="28">
        <v>0</v>
      </c>
      <c r="H140" s="28">
        <v>2</v>
      </c>
      <c r="I140" s="28">
        <v>0</v>
      </c>
      <c r="J140" s="28">
        <v>0</v>
      </c>
      <c r="K140" s="28">
        <v>1</v>
      </c>
      <c r="L140" s="28">
        <v>0</v>
      </c>
      <c r="M140" s="28">
        <v>1</v>
      </c>
      <c r="N140" s="28">
        <v>0</v>
      </c>
      <c r="O140" s="136">
        <v>7</v>
      </c>
    </row>
    <row r="141" spans="1:15" ht="16" x14ac:dyDescent="0.2">
      <c r="A141" s="132" t="s">
        <v>446</v>
      </c>
      <c r="B141" s="154">
        <v>1</v>
      </c>
      <c r="C141" s="154">
        <v>0</v>
      </c>
      <c r="D141" s="154">
        <v>0</v>
      </c>
      <c r="E141" s="154">
        <v>1</v>
      </c>
      <c r="F141" s="154">
        <v>1</v>
      </c>
      <c r="G141" s="154">
        <v>0</v>
      </c>
      <c r="H141" s="154">
        <v>1</v>
      </c>
      <c r="I141" s="154">
        <v>0</v>
      </c>
      <c r="J141" s="154">
        <v>1</v>
      </c>
      <c r="K141" s="154">
        <v>1</v>
      </c>
      <c r="L141" s="154">
        <v>0</v>
      </c>
      <c r="M141" s="154">
        <v>0</v>
      </c>
      <c r="N141" s="154">
        <v>0</v>
      </c>
      <c r="O141" s="154">
        <v>6</v>
      </c>
    </row>
    <row r="142" spans="1:15" x14ac:dyDescent="0.2">
      <c r="A142" s="127" t="s">
        <v>447</v>
      </c>
      <c r="B142" s="154">
        <v>2</v>
      </c>
      <c r="C142" s="154">
        <v>1</v>
      </c>
      <c r="D142" s="154">
        <v>1</v>
      </c>
      <c r="E142" s="154">
        <v>1</v>
      </c>
      <c r="F142" s="154">
        <v>1</v>
      </c>
      <c r="G142" s="154">
        <v>1</v>
      </c>
      <c r="H142" s="154">
        <v>3</v>
      </c>
      <c r="I142" s="154">
        <v>1</v>
      </c>
      <c r="J142" s="154">
        <v>1</v>
      </c>
      <c r="K142" s="154">
        <v>1</v>
      </c>
      <c r="L142" s="154">
        <v>1</v>
      </c>
      <c r="M142" s="154">
        <v>1</v>
      </c>
      <c r="N142" s="154">
        <v>0</v>
      </c>
      <c r="O142" s="154">
        <v>15</v>
      </c>
    </row>
    <row r="143" spans="1:15" x14ac:dyDescent="0.2">
      <c r="A143" s="127" t="s">
        <v>448</v>
      </c>
      <c r="B143" s="154">
        <v>1</v>
      </c>
      <c r="C143" s="154">
        <v>0</v>
      </c>
      <c r="D143" s="154">
        <v>0</v>
      </c>
      <c r="E143" s="154">
        <v>1</v>
      </c>
      <c r="F143" s="154">
        <v>1</v>
      </c>
      <c r="G143" s="154">
        <v>0</v>
      </c>
      <c r="H143" s="154">
        <v>1</v>
      </c>
      <c r="I143" s="154">
        <v>1</v>
      </c>
      <c r="J143" s="154">
        <v>1</v>
      </c>
      <c r="K143" s="154">
        <v>0</v>
      </c>
      <c r="L143" s="154">
        <v>1</v>
      </c>
      <c r="M143" s="154">
        <v>1</v>
      </c>
      <c r="N143" s="154">
        <v>0</v>
      </c>
      <c r="O143" s="154">
        <v>8</v>
      </c>
    </row>
    <row r="144" spans="1:15" x14ac:dyDescent="0.2">
      <c r="A144" s="127" t="s">
        <v>449</v>
      </c>
      <c r="B144" s="115">
        <v>0</v>
      </c>
      <c r="C144" s="115">
        <v>0</v>
      </c>
      <c r="D144" s="115">
        <v>0</v>
      </c>
      <c r="E144" s="115">
        <v>0</v>
      </c>
      <c r="F144" s="115">
        <v>1</v>
      </c>
      <c r="G144" s="115">
        <v>0</v>
      </c>
      <c r="H144" s="115">
        <v>0</v>
      </c>
      <c r="I144" s="115">
        <v>0</v>
      </c>
      <c r="J144" s="115">
        <v>0</v>
      </c>
      <c r="K144" s="115">
        <v>0</v>
      </c>
      <c r="L144" s="115">
        <v>0</v>
      </c>
      <c r="M144" s="115">
        <v>0</v>
      </c>
      <c r="N144" s="115">
        <v>0</v>
      </c>
      <c r="O144" s="115">
        <v>1</v>
      </c>
    </row>
    <row r="145" spans="1:15" x14ac:dyDescent="0.2">
      <c r="A145" s="161" t="s">
        <v>450</v>
      </c>
      <c r="B145" s="154">
        <v>1</v>
      </c>
      <c r="C145" s="154">
        <v>1</v>
      </c>
      <c r="D145" s="154">
        <v>0</v>
      </c>
      <c r="E145" s="154">
        <v>0</v>
      </c>
      <c r="F145" s="154">
        <v>1</v>
      </c>
      <c r="G145" s="154">
        <v>2</v>
      </c>
      <c r="H145" s="154">
        <v>0</v>
      </c>
      <c r="I145" s="154">
        <v>1</v>
      </c>
      <c r="J145" s="154">
        <v>1</v>
      </c>
      <c r="K145" s="154">
        <v>0</v>
      </c>
      <c r="L145" s="154">
        <v>2</v>
      </c>
      <c r="M145" s="154">
        <v>2</v>
      </c>
      <c r="N145" s="154">
        <v>0</v>
      </c>
      <c r="O145" s="154">
        <v>11</v>
      </c>
    </row>
    <row r="146" spans="1:15" x14ac:dyDescent="0.2">
      <c r="A146" s="161" t="s">
        <v>451</v>
      </c>
      <c r="B146" s="222">
        <v>0</v>
      </c>
      <c r="C146" s="222">
        <v>0</v>
      </c>
      <c r="D146" s="222">
        <v>0</v>
      </c>
      <c r="E146" s="222">
        <v>1</v>
      </c>
      <c r="F146" s="222">
        <v>1</v>
      </c>
      <c r="G146" s="222">
        <v>1</v>
      </c>
      <c r="H146" s="222">
        <v>1</v>
      </c>
      <c r="I146" s="222">
        <v>0</v>
      </c>
      <c r="J146" s="222">
        <v>2</v>
      </c>
      <c r="K146" s="222">
        <v>2</v>
      </c>
      <c r="L146" s="222">
        <v>2</v>
      </c>
      <c r="M146" s="222">
        <v>1</v>
      </c>
      <c r="N146" s="222">
        <v>0</v>
      </c>
      <c r="O146" s="115">
        <v>11</v>
      </c>
    </row>
    <row r="147" spans="1:15" x14ac:dyDescent="0.2">
      <c r="A147" s="161" t="s">
        <v>452</v>
      </c>
      <c r="B147" s="154">
        <v>1</v>
      </c>
      <c r="C147" s="154">
        <v>0</v>
      </c>
      <c r="D147" s="154">
        <v>0</v>
      </c>
      <c r="E147" s="154">
        <v>1</v>
      </c>
      <c r="F147" s="154">
        <v>1</v>
      </c>
      <c r="G147" s="154">
        <v>1</v>
      </c>
      <c r="H147" s="154">
        <v>1</v>
      </c>
      <c r="I147" s="154">
        <v>1</v>
      </c>
      <c r="J147" s="154">
        <v>1</v>
      </c>
      <c r="K147" s="154">
        <v>1</v>
      </c>
      <c r="L147" s="154">
        <v>1</v>
      </c>
      <c r="M147" s="154">
        <v>1</v>
      </c>
      <c r="N147" s="154">
        <v>0</v>
      </c>
      <c r="O147" s="154">
        <v>10</v>
      </c>
    </row>
    <row r="148" spans="1:15" x14ac:dyDescent="0.2">
      <c r="A148" s="161" t="s">
        <v>453</v>
      </c>
      <c r="B148" s="115">
        <v>1</v>
      </c>
      <c r="C148" s="115">
        <v>2</v>
      </c>
      <c r="D148" s="115">
        <v>0</v>
      </c>
      <c r="E148" s="115">
        <v>1</v>
      </c>
      <c r="F148" s="115">
        <v>1</v>
      </c>
      <c r="G148" s="115">
        <v>1</v>
      </c>
      <c r="H148" s="115">
        <v>2</v>
      </c>
      <c r="I148" s="115">
        <v>1</v>
      </c>
      <c r="J148" s="115">
        <v>1</v>
      </c>
      <c r="K148" s="115">
        <v>2</v>
      </c>
      <c r="L148" s="115">
        <v>2</v>
      </c>
      <c r="M148" s="115">
        <v>2</v>
      </c>
      <c r="N148" s="115">
        <v>2</v>
      </c>
      <c r="O148" s="115">
        <v>18</v>
      </c>
    </row>
    <row r="149" spans="1:15" x14ac:dyDescent="0.2">
      <c r="A149" s="161" t="s">
        <v>454</v>
      </c>
      <c r="B149" s="167">
        <v>0</v>
      </c>
      <c r="C149" s="167">
        <v>0</v>
      </c>
      <c r="D149" s="167">
        <v>0</v>
      </c>
      <c r="E149" s="167">
        <v>0</v>
      </c>
      <c r="F149" s="167">
        <v>0</v>
      </c>
      <c r="G149" s="167">
        <v>0</v>
      </c>
      <c r="H149" s="167">
        <v>0</v>
      </c>
      <c r="I149" s="167">
        <v>0</v>
      </c>
      <c r="J149" s="167">
        <v>1</v>
      </c>
      <c r="K149" s="167">
        <v>1</v>
      </c>
      <c r="L149" s="167">
        <v>0</v>
      </c>
      <c r="M149" s="167">
        <v>0</v>
      </c>
      <c r="N149" s="167">
        <v>0</v>
      </c>
      <c r="O149" s="167">
        <v>2</v>
      </c>
    </row>
    <row r="150" spans="1:15" ht="16" x14ac:dyDescent="0.2">
      <c r="A150" s="168" t="s">
        <v>455</v>
      </c>
      <c r="B150" s="224">
        <v>2</v>
      </c>
      <c r="C150" s="224">
        <v>2</v>
      </c>
      <c r="D150" s="224">
        <v>0</v>
      </c>
      <c r="E150" s="224">
        <v>0</v>
      </c>
      <c r="F150" s="224">
        <v>1</v>
      </c>
      <c r="G150" s="224">
        <v>1</v>
      </c>
      <c r="H150" s="224">
        <v>2</v>
      </c>
      <c r="I150" s="224">
        <v>1</v>
      </c>
      <c r="J150" s="224">
        <v>0</v>
      </c>
      <c r="K150" s="224">
        <v>0</v>
      </c>
      <c r="L150" s="224">
        <v>1</v>
      </c>
      <c r="M150" s="224">
        <v>2</v>
      </c>
      <c r="N150" s="224">
        <v>0</v>
      </c>
      <c r="O150" s="224">
        <v>12</v>
      </c>
    </row>
    <row r="151" spans="1:15" ht="16" x14ac:dyDescent="0.2">
      <c r="A151" s="168" t="s">
        <v>456</v>
      </c>
      <c r="B151" s="223">
        <v>0</v>
      </c>
      <c r="C151" s="223">
        <v>0</v>
      </c>
      <c r="D151" s="223">
        <v>1</v>
      </c>
      <c r="E151" s="223">
        <v>1</v>
      </c>
      <c r="F151" s="223">
        <v>1</v>
      </c>
      <c r="G151" s="223">
        <v>0</v>
      </c>
      <c r="H151" s="223">
        <v>2</v>
      </c>
      <c r="I151" s="223">
        <v>1</v>
      </c>
      <c r="J151" s="223">
        <v>1</v>
      </c>
      <c r="K151" s="223">
        <v>0</v>
      </c>
      <c r="L151" s="223">
        <v>1</v>
      </c>
      <c r="M151" s="223">
        <v>0</v>
      </c>
      <c r="N151" s="223">
        <v>0</v>
      </c>
      <c r="O151" s="223">
        <v>8</v>
      </c>
    </row>
    <row r="152" spans="1:15" ht="16" x14ac:dyDescent="0.2">
      <c r="A152" s="168" t="s">
        <v>457</v>
      </c>
      <c r="B152" s="223">
        <v>1</v>
      </c>
      <c r="C152" s="223">
        <v>2</v>
      </c>
      <c r="D152" s="223">
        <v>0</v>
      </c>
      <c r="E152" s="223">
        <v>1</v>
      </c>
      <c r="F152" s="223">
        <v>2</v>
      </c>
      <c r="G152" s="223">
        <v>1</v>
      </c>
      <c r="H152" s="223">
        <v>3</v>
      </c>
      <c r="I152" s="223">
        <v>1</v>
      </c>
      <c r="J152" s="223">
        <v>2</v>
      </c>
      <c r="K152" s="223">
        <v>1</v>
      </c>
      <c r="L152" s="223">
        <v>1</v>
      </c>
      <c r="M152" s="223">
        <v>2</v>
      </c>
      <c r="N152" s="223">
        <v>1</v>
      </c>
      <c r="O152" s="223">
        <v>18</v>
      </c>
    </row>
    <row r="153" spans="1:15" ht="16" x14ac:dyDescent="0.2">
      <c r="A153" s="168" t="s">
        <v>458</v>
      </c>
      <c r="B153" s="167">
        <v>1</v>
      </c>
      <c r="C153" s="167">
        <v>0</v>
      </c>
      <c r="D153" s="167">
        <v>0</v>
      </c>
      <c r="E153" s="167">
        <v>0</v>
      </c>
      <c r="F153" s="167">
        <v>1</v>
      </c>
      <c r="G153" s="167">
        <v>0</v>
      </c>
      <c r="H153" s="167">
        <v>1</v>
      </c>
      <c r="I153" s="167">
        <v>0</v>
      </c>
      <c r="J153" s="167">
        <v>0</v>
      </c>
      <c r="K153" s="167">
        <v>1</v>
      </c>
      <c r="L153" s="167">
        <v>0</v>
      </c>
      <c r="M153" s="167">
        <v>1</v>
      </c>
      <c r="N153" s="167">
        <v>0</v>
      </c>
      <c r="O153" s="167">
        <v>5</v>
      </c>
    </row>
    <row r="154" spans="1:15" ht="16" x14ac:dyDescent="0.2">
      <c r="A154" s="168" t="s">
        <v>459</v>
      </c>
      <c r="B154" s="224">
        <v>1</v>
      </c>
      <c r="C154" s="224">
        <v>2</v>
      </c>
      <c r="D154" s="224">
        <v>0</v>
      </c>
      <c r="E154" s="224">
        <v>1</v>
      </c>
      <c r="F154" s="224">
        <v>1</v>
      </c>
      <c r="G154" s="224">
        <v>1</v>
      </c>
      <c r="H154" s="224">
        <v>2</v>
      </c>
      <c r="I154" s="224">
        <v>1</v>
      </c>
      <c r="J154" s="224">
        <v>1</v>
      </c>
      <c r="K154" s="224">
        <v>1</v>
      </c>
      <c r="L154" s="224">
        <v>1</v>
      </c>
      <c r="M154" s="224">
        <v>2</v>
      </c>
      <c r="N154" s="224">
        <v>1</v>
      </c>
      <c r="O154" s="224">
        <v>15</v>
      </c>
    </row>
    <row r="155" spans="1:15" ht="16" x14ac:dyDescent="0.2">
      <c r="A155" s="168" t="s">
        <v>460</v>
      </c>
      <c r="B155" s="223">
        <v>1</v>
      </c>
      <c r="C155" s="223">
        <v>0</v>
      </c>
      <c r="D155" s="223">
        <v>0</v>
      </c>
      <c r="E155" s="223">
        <v>0</v>
      </c>
      <c r="F155" s="223">
        <v>1</v>
      </c>
      <c r="G155" s="223">
        <v>1</v>
      </c>
      <c r="H155" s="223">
        <v>2</v>
      </c>
      <c r="I155" s="223">
        <v>1</v>
      </c>
      <c r="J155" s="223">
        <v>1</v>
      </c>
      <c r="K155" s="223">
        <v>0</v>
      </c>
      <c r="L155" s="223">
        <v>1</v>
      </c>
      <c r="M155" s="223">
        <v>2</v>
      </c>
      <c r="N155" s="223">
        <v>1</v>
      </c>
      <c r="O155" s="223">
        <v>11</v>
      </c>
    </row>
    <row r="156" spans="1:15" ht="17" thickBot="1" x14ac:dyDescent="0.25">
      <c r="A156" s="169" t="s">
        <v>461</v>
      </c>
      <c r="B156" s="226">
        <v>2</v>
      </c>
      <c r="C156" s="226">
        <v>0</v>
      </c>
      <c r="D156" s="226">
        <v>1</v>
      </c>
      <c r="E156" s="226">
        <v>1</v>
      </c>
      <c r="F156" s="226">
        <v>1</v>
      </c>
      <c r="G156" s="226">
        <v>1</v>
      </c>
      <c r="H156" s="226">
        <v>2</v>
      </c>
      <c r="I156" s="226">
        <v>1</v>
      </c>
      <c r="J156" s="226">
        <v>1</v>
      </c>
      <c r="K156" s="226">
        <v>1</v>
      </c>
      <c r="L156" s="226">
        <v>1</v>
      </c>
      <c r="M156" s="226">
        <v>2</v>
      </c>
      <c r="N156" s="226">
        <v>1</v>
      </c>
      <c r="O156" s="226">
        <v>15</v>
      </c>
    </row>
    <row r="157" spans="1:15" x14ac:dyDescent="0.2">
      <c r="A157" s="172" t="s">
        <v>462</v>
      </c>
      <c r="B157" s="154">
        <v>0</v>
      </c>
      <c r="C157" s="154">
        <v>2</v>
      </c>
      <c r="D157" s="154">
        <v>1</v>
      </c>
      <c r="E157" s="154">
        <v>0</v>
      </c>
      <c r="F157" s="154">
        <v>1</v>
      </c>
      <c r="G157" s="154">
        <v>1</v>
      </c>
      <c r="H157" s="154">
        <v>2</v>
      </c>
      <c r="I157" s="154">
        <v>1</v>
      </c>
      <c r="J157" s="154">
        <v>1</v>
      </c>
      <c r="K157" s="154">
        <v>1</v>
      </c>
      <c r="L157" s="154">
        <v>1</v>
      </c>
      <c r="M157" s="154">
        <v>1</v>
      </c>
      <c r="N157" s="154">
        <v>1</v>
      </c>
      <c r="O157" s="227">
        <v>13</v>
      </c>
    </row>
    <row r="158" spans="1:15" ht="16" x14ac:dyDescent="0.2">
      <c r="A158" s="132" t="s">
        <v>463</v>
      </c>
      <c r="B158" s="227">
        <v>2</v>
      </c>
      <c r="C158" s="227">
        <v>1</v>
      </c>
      <c r="D158" s="227">
        <v>1</v>
      </c>
      <c r="E158" s="227">
        <v>1</v>
      </c>
      <c r="F158" s="227">
        <v>1</v>
      </c>
      <c r="G158" s="227">
        <v>1</v>
      </c>
      <c r="H158" s="227">
        <v>1</v>
      </c>
      <c r="I158" s="227">
        <v>1</v>
      </c>
      <c r="J158" s="227">
        <v>1</v>
      </c>
      <c r="K158" s="227">
        <v>1</v>
      </c>
      <c r="L158" s="227">
        <v>1</v>
      </c>
      <c r="M158" s="227">
        <v>1</v>
      </c>
      <c r="N158" s="227">
        <v>1</v>
      </c>
      <c r="O158" s="227">
        <v>14</v>
      </c>
    </row>
    <row r="159" spans="1:15" ht="17" thickBot="1" x14ac:dyDescent="0.25">
      <c r="A159" s="132" t="s">
        <v>464</v>
      </c>
      <c r="B159" s="138">
        <v>1</v>
      </c>
      <c r="C159" s="138">
        <v>0</v>
      </c>
      <c r="D159" s="138">
        <v>1</v>
      </c>
      <c r="E159" s="138">
        <v>1</v>
      </c>
      <c r="F159" s="138">
        <v>1</v>
      </c>
      <c r="G159" s="138">
        <v>1</v>
      </c>
      <c r="H159" s="138">
        <v>2</v>
      </c>
      <c r="I159" s="138">
        <v>1</v>
      </c>
      <c r="J159" s="138">
        <v>1</v>
      </c>
      <c r="K159" s="138">
        <v>0</v>
      </c>
      <c r="L159" s="138">
        <v>1</v>
      </c>
      <c r="M159" s="138">
        <v>2</v>
      </c>
      <c r="N159" s="138">
        <v>1</v>
      </c>
      <c r="O159" s="138">
        <v>13</v>
      </c>
    </row>
    <row r="160" spans="1:15" ht="16" x14ac:dyDescent="0.2">
      <c r="A160" s="127" t="s">
        <v>465</v>
      </c>
      <c r="B160" s="228">
        <v>1</v>
      </c>
      <c r="C160" s="228">
        <v>0</v>
      </c>
      <c r="D160" s="228">
        <v>1</v>
      </c>
      <c r="E160" s="228">
        <v>0</v>
      </c>
      <c r="F160" s="228">
        <v>0</v>
      </c>
      <c r="G160" s="228">
        <v>0</v>
      </c>
      <c r="H160" s="228">
        <v>0</v>
      </c>
      <c r="I160" s="228">
        <v>0</v>
      </c>
      <c r="J160" s="228">
        <v>1</v>
      </c>
      <c r="K160" s="228">
        <v>0</v>
      </c>
      <c r="L160" s="228">
        <v>0</v>
      </c>
      <c r="M160" s="228">
        <v>0</v>
      </c>
      <c r="N160" s="228">
        <v>0</v>
      </c>
      <c r="O160" s="227">
        <v>3</v>
      </c>
    </row>
    <row r="161" spans="1:15" ht="16" x14ac:dyDescent="0.2">
      <c r="A161" s="127" t="s">
        <v>466</v>
      </c>
      <c r="B161" s="189">
        <v>1</v>
      </c>
      <c r="C161" s="189">
        <v>1</v>
      </c>
      <c r="D161" s="189">
        <v>0</v>
      </c>
      <c r="E161" s="189">
        <v>0</v>
      </c>
      <c r="F161" s="189">
        <v>0</v>
      </c>
      <c r="G161" s="189">
        <v>0</v>
      </c>
      <c r="H161" s="189">
        <v>1</v>
      </c>
      <c r="I161" s="189">
        <v>0</v>
      </c>
      <c r="J161" s="189">
        <v>0</v>
      </c>
      <c r="K161" s="189">
        <v>1</v>
      </c>
      <c r="L161" s="189">
        <v>0</v>
      </c>
      <c r="M161" s="189">
        <v>1</v>
      </c>
      <c r="N161" s="189">
        <v>0</v>
      </c>
      <c r="O161" s="222">
        <v>5</v>
      </c>
    </row>
    <row r="162" spans="1:15" ht="16" x14ac:dyDescent="0.2">
      <c r="A162" s="132" t="s">
        <v>467</v>
      </c>
      <c r="B162" s="154">
        <v>0</v>
      </c>
      <c r="C162" s="154">
        <v>0</v>
      </c>
      <c r="D162" s="154">
        <v>0</v>
      </c>
      <c r="E162" s="154">
        <v>1</v>
      </c>
      <c r="F162" s="154">
        <v>1</v>
      </c>
      <c r="G162" s="154">
        <v>1</v>
      </c>
      <c r="H162" s="154">
        <v>1</v>
      </c>
      <c r="I162" s="154">
        <v>1</v>
      </c>
      <c r="J162" s="154">
        <v>0</v>
      </c>
      <c r="K162" s="154">
        <v>2</v>
      </c>
      <c r="L162" s="154">
        <v>1</v>
      </c>
      <c r="M162" s="154">
        <v>1</v>
      </c>
      <c r="N162" s="154">
        <v>0</v>
      </c>
      <c r="O162" s="227">
        <v>9</v>
      </c>
    </row>
    <row r="163" spans="1:15" ht="16" x14ac:dyDescent="0.2">
      <c r="A163" s="132" t="s">
        <v>468</v>
      </c>
      <c r="B163" s="216">
        <v>2</v>
      </c>
      <c r="C163" s="216">
        <v>2</v>
      </c>
      <c r="D163" s="216">
        <v>1</v>
      </c>
      <c r="E163" s="216">
        <v>2</v>
      </c>
      <c r="F163" s="216">
        <v>3</v>
      </c>
      <c r="G163" s="216">
        <v>3</v>
      </c>
      <c r="H163" s="216">
        <v>4</v>
      </c>
      <c r="I163" s="216">
        <v>3</v>
      </c>
      <c r="J163" s="216">
        <v>4</v>
      </c>
      <c r="K163" s="216">
        <v>1</v>
      </c>
      <c r="L163" s="216">
        <v>3</v>
      </c>
      <c r="M163" s="216">
        <v>3</v>
      </c>
      <c r="N163" s="216">
        <v>3</v>
      </c>
      <c r="O163" s="227">
        <v>34</v>
      </c>
    </row>
    <row r="164" spans="1:15" ht="16" x14ac:dyDescent="0.2">
      <c r="A164" s="132" t="s">
        <v>469</v>
      </c>
      <c r="B164" s="154">
        <v>1</v>
      </c>
      <c r="C164" s="154">
        <v>1</v>
      </c>
      <c r="D164" s="154">
        <v>0</v>
      </c>
      <c r="E164" s="154">
        <v>0</v>
      </c>
      <c r="F164" s="154">
        <v>2</v>
      </c>
      <c r="G164" s="154">
        <v>1</v>
      </c>
      <c r="H164" s="154">
        <v>2</v>
      </c>
      <c r="I164" s="154">
        <v>2</v>
      </c>
      <c r="J164" s="154">
        <v>2</v>
      </c>
      <c r="K164" s="154">
        <v>1</v>
      </c>
      <c r="L164" s="154">
        <v>2</v>
      </c>
      <c r="M164" s="154">
        <v>2</v>
      </c>
      <c r="N164" s="154">
        <v>2</v>
      </c>
      <c r="O164" s="227">
        <v>18</v>
      </c>
    </row>
    <row r="165" spans="1:15" ht="16" x14ac:dyDescent="0.2">
      <c r="A165" s="132" t="s">
        <v>470</v>
      </c>
      <c r="B165" s="115">
        <v>2</v>
      </c>
      <c r="C165" s="115">
        <v>1</v>
      </c>
      <c r="D165" s="115">
        <v>0</v>
      </c>
      <c r="E165" s="115">
        <v>1</v>
      </c>
      <c r="F165" s="115">
        <v>2</v>
      </c>
      <c r="G165" s="115">
        <v>2</v>
      </c>
      <c r="H165" s="115">
        <v>2</v>
      </c>
      <c r="I165" s="115">
        <v>2</v>
      </c>
      <c r="J165" s="115">
        <v>1</v>
      </c>
      <c r="K165" s="115">
        <v>2</v>
      </c>
      <c r="L165" s="115">
        <v>2</v>
      </c>
      <c r="M165" s="115">
        <v>2</v>
      </c>
      <c r="N165" s="115">
        <v>0</v>
      </c>
      <c r="O165" s="222">
        <v>19</v>
      </c>
    </row>
    <row r="166" spans="1:15" ht="16" x14ac:dyDescent="0.2">
      <c r="A166" s="132" t="s">
        <v>471</v>
      </c>
      <c r="B166" s="115">
        <v>2</v>
      </c>
      <c r="C166" s="115">
        <v>3</v>
      </c>
      <c r="D166" s="115">
        <v>2</v>
      </c>
      <c r="E166" s="115">
        <v>0</v>
      </c>
      <c r="F166" s="115">
        <v>1</v>
      </c>
      <c r="G166" s="115">
        <v>1</v>
      </c>
      <c r="H166" s="115">
        <v>3</v>
      </c>
      <c r="I166" s="115">
        <v>1</v>
      </c>
      <c r="J166" s="115">
        <v>1</v>
      </c>
      <c r="K166" s="115">
        <v>1</v>
      </c>
      <c r="L166" s="115">
        <v>1</v>
      </c>
      <c r="M166" s="115">
        <v>2</v>
      </c>
      <c r="N166" s="115">
        <v>1</v>
      </c>
      <c r="O166" s="222">
        <v>19</v>
      </c>
    </row>
    <row r="167" spans="1:15" ht="16" x14ac:dyDescent="0.2">
      <c r="A167" s="132" t="s">
        <v>472</v>
      </c>
      <c r="B167" s="115">
        <v>0</v>
      </c>
      <c r="C167" s="115">
        <v>0</v>
      </c>
      <c r="D167" s="115">
        <v>0</v>
      </c>
      <c r="E167" s="115">
        <v>0</v>
      </c>
      <c r="F167" s="115">
        <v>1</v>
      </c>
      <c r="G167" s="115">
        <v>0</v>
      </c>
      <c r="H167" s="115">
        <v>1</v>
      </c>
      <c r="I167" s="115">
        <v>1</v>
      </c>
      <c r="J167" s="115">
        <v>0</v>
      </c>
      <c r="K167" s="115">
        <v>2</v>
      </c>
      <c r="L167" s="115">
        <v>0</v>
      </c>
      <c r="M167" s="115">
        <v>0</v>
      </c>
      <c r="N167" s="115">
        <v>0</v>
      </c>
      <c r="O167" s="115">
        <v>5</v>
      </c>
    </row>
    <row r="168" spans="1:15" ht="16" x14ac:dyDescent="0.2">
      <c r="A168" s="132" t="s">
        <v>473</v>
      </c>
      <c r="B168" s="115">
        <v>2</v>
      </c>
      <c r="C168" s="115">
        <v>2</v>
      </c>
      <c r="D168" s="115">
        <v>0</v>
      </c>
      <c r="E168" s="115">
        <v>0</v>
      </c>
      <c r="F168" s="115">
        <v>1</v>
      </c>
      <c r="G168" s="115">
        <v>1</v>
      </c>
      <c r="H168" s="115">
        <v>3</v>
      </c>
      <c r="I168" s="115">
        <v>0</v>
      </c>
      <c r="J168" s="115">
        <v>1</v>
      </c>
      <c r="K168" s="115">
        <v>1</v>
      </c>
      <c r="L168" s="115">
        <v>1</v>
      </c>
      <c r="M168" s="115">
        <v>1</v>
      </c>
      <c r="N168" s="115">
        <v>0</v>
      </c>
      <c r="O168" s="115">
        <v>13</v>
      </c>
    </row>
    <row r="169" spans="1:15" ht="16" x14ac:dyDescent="0.2">
      <c r="A169" s="132" t="s">
        <v>474</v>
      </c>
      <c r="B169" s="115">
        <v>1</v>
      </c>
      <c r="C169" s="115">
        <v>0</v>
      </c>
      <c r="D169" s="115">
        <v>1</v>
      </c>
      <c r="E169" s="115">
        <v>0</v>
      </c>
      <c r="F169" s="115">
        <v>1</v>
      </c>
      <c r="G169" s="115">
        <v>1</v>
      </c>
      <c r="H169" s="115">
        <v>2</v>
      </c>
      <c r="I169" s="115">
        <v>1</v>
      </c>
      <c r="J169" s="115">
        <v>1</v>
      </c>
      <c r="K169" s="115">
        <v>1</v>
      </c>
      <c r="L169" s="115">
        <v>1</v>
      </c>
      <c r="M169" s="115">
        <v>2</v>
      </c>
      <c r="N169" s="115">
        <v>2</v>
      </c>
      <c r="O169" s="115">
        <v>14</v>
      </c>
    </row>
    <row r="170" spans="1:15" ht="16" x14ac:dyDescent="0.2">
      <c r="A170" s="175" t="s">
        <v>475</v>
      </c>
      <c r="B170" s="115">
        <v>2</v>
      </c>
      <c r="C170" s="115">
        <v>3</v>
      </c>
      <c r="D170" s="115">
        <v>0</v>
      </c>
      <c r="E170" s="115">
        <v>1</v>
      </c>
      <c r="F170" s="115">
        <v>2</v>
      </c>
      <c r="G170" s="115">
        <v>2</v>
      </c>
      <c r="H170" s="115">
        <v>2</v>
      </c>
      <c r="I170" s="115">
        <v>2</v>
      </c>
      <c r="J170" s="115">
        <v>2</v>
      </c>
      <c r="K170" s="115">
        <v>0</v>
      </c>
      <c r="L170" s="115">
        <v>2</v>
      </c>
      <c r="M170" s="115">
        <v>2</v>
      </c>
      <c r="N170" s="115">
        <v>1</v>
      </c>
      <c r="O170" s="115">
        <v>21</v>
      </c>
    </row>
    <row r="171" spans="1:15" ht="16" x14ac:dyDescent="0.2">
      <c r="A171" s="168" t="s">
        <v>476</v>
      </c>
      <c r="B171" s="115">
        <v>1</v>
      </c>
      <c r="C171" s="115">
        <v>0</v>
      </c>
      <c r="D171" s="115">
        <v>1</v>
      </c>
      <c r="E171" s="115">
        <v>0</v>
      </c>
      <c r="F171" s="115">
        <v>1</v>
      </c>
      <c r="G171" s="115">
        <v>1</v>
      </c>
      <c r="H171" s="115">
        <v>2</v>
      </c>
      <c r="I171" s="115">
        <v>1</v>
      </c>
      <c r="J171" s="115">
        <v>1</v>
      </c>
      <c r="K171" s="115">
        <v>1</v>
      </c>
      <c r="L171" s="115">
        <v>1</v>
      </c>
      <c r="M171" s="115">
        <v>1</v>
      </c>
      <c r="N171" s="115">
        <v>0</v>
      </c>
      <c r="O171" s="115">
        <v>11</v>
      </c>
    </row>
    <row r="172" spans="1:15" ht="16" x14ac:dyDescent="0.2">
      <c r="A172" s="168" t="s">
        <v>477</v>
      </c>
      <c r="B172" s="115">
        <v>1</v>
      </c>
      <c r="C172" s="115">
        <v>0</v>
      </c>
      <c r="D172" s="115">
        <v>0</v>
      </c>
      <c r="E172" s="115">
        <v>2</v>
      </c>
      <c r="F172" s="115">
        <v>2</v>
      </c>
      <c r="G172" s="115">
        <v>1</v>
      </c>
      <c r="H172" s="115">
        <v>2</v>
      </c>
      <c r="I172" s="115">
        <v>1</v>
      </c>
      <c r="J172" s="115">
        <v>1</v>
      </c>
      <c r="K172" s="115">
        <v>1</v>
      </c>
      <c r="L172" s="115">
        <v>1</v>
      </c>
      <c r="M172" s="115">
        <v>1</v>
      </c>
      <c r="N172" s="115">
        <v>0</v>
      </c>
      <c r="O172" s="115">
        <v>13</v>
      </c>
    </row>
    <row r="173" spans="1:15" ht="16" x14ac:dyDescent="0.2">
      <c r="A173" s="168" t="s">
        <v>478</v>
      </c>
      <c r="B173" s="115">
        <v>3</v>
      </c>
      <c r="C173" s="115">
        <v>2</v>
      </c>
      <c r="D173" s="115">
        <v>0</v>
      </c>
      <c r="E173" s="115">
        <v>0</v>
      </c>
      <c r="F173" s="115">
        <v>3</v>
      </c>
      <c r="G173" s="115">
        <v>2</v>
      </c>
      <c r="H173" s="115">
        <v>3</v>
      </c>
      <c r="I173" s="115">
        <v>2</v>
      </c>
      <c r="J173" s="115">
        <v>2</v>
      </c>
      <c r="K173" s="115">
        <v>1</v>
      </c>
      <c r="L173" s="115">
        <v>3</v>
      </c>
      <c r="M173" s="115">
        <v>3</v>
      </c>
      <c r="N173" s="115">
        <v>2</v>
      </c>
      <c r="O173" s="115">
        <v>26</v>
      </c>
    </row>
    <row r="174" spans="1:15" ht="16" x14ac:dyDescent="0.2">
      <c r="A174" s="168" t="s">
        <v>479</v>
      </c>
      <c r="B174" s="115">
        <v>2</v>
      </c>
      <c r="C174" s="115">
        <v>1</v>
      </c>
      <c r="D174" s="115">
        <v>1</v>
      </c>
      <c r="E174" s="115">
        <v>2</v>
      </c>
      <c r="F174" s="115">
        <v>2</v>
      </c>
      <c r="G174" s="115">
        <v>2</v>
      </c>
      <c r="H174" s="115">
        <v>2</v>
      </c>
      <c r="I174" s="115">
        <v>2</v>
      </c>
      <c r="J174" s="115">
        <v>2</v>
      </c>
      <c r="K174" s="115">
        <v>0</v>
      </c>
      <c r="L174" s="115">
        <v>2</v>
      </c>
      <c r="M174" s="115">
        <v>2</v>
      </c>
      <c r="N174" s="115">
        <v>2</v>
      </c>
      <c r="O174" s="115">
        <v>22</v>
      </c>
    </row>
    <row r="175" spans="1:15" ht="16" x14ac:dyDescent="0.2">
      <c r="A175" s="168" t="s">
        <v>480</v>
      </c>
      <c r="B175" s="115">
        <v>1</v>
      </c>
      <c r="C175" s="115">
        <v>0</v>
      </c>
      <c r="D175" s="115">
        <v>0</v>
      </c>
      <c r="E175" s="115">
        <v>0</v>
      </c>
      <c r="F175" s="115">
        <v>0</v>
      </c>
      <c r="G175" s="115">
        <v>0</v>
      </c>
      <c r="H175" s="115">
        <v>2</v>
      </c>
      <c r="I175" s="115">
        <v>1</v>
      </c>
      <c r="J175" s="115">
        <v>1</v>
      </c>
      <c r="K175" s="115">
        <v>0</v>
      </c>
      <c r="L175" s="115">
        <v>1</v>
      </c>
      <c r="M175" s="115">
        <v>1</v>
      </c>
      <c r="N175" s="115">
        <v>0</v>
      </c>
      <c r="O175" s="115">
        <v>7</v>
      </c>
    </row>
    <row r="176" spans="1:15" ht="16" x14ac:dyDescent="0.2">
      <c r="A176" s="168" t="s">
        <v>481</v>
      </c>
      <c r="B176" s="115">
        <v>2</v>
      </c>
      <c r="C176" s="115">
        <v>0</v>
      </c>
      <c r="D176" s="115">
        <v>0</v>
      </c>
      <c r="E176" s="115">
        <v>1</v>
      </c>
      <c r="F176" s="115">
        <v>1</v>
      </c>
      <c r="G176" s="115">
        <v>1</v>
      </c>
      <c r="H176" s="115">
        <v>2</v>
      </c>
      <c r="I176" s="115">
        <v>1</v>
      </c>
      <c r="J176" s="115">
        <v>1</v>
      </c>
      <c r="K176" s="115">
        <v>0</v>
      </c>
      <c r="L176" s="115">
        <v>1</v>
      </c>
      <c r="M176" s="115">
        <v>2</v>
      </c>
      <c r="N176" s="115">
        <v>0</v>
      </c>
      <c r="O176" s="115">
        <v>12</v>
      </c>
    </row>
    <row r="177" spans="1:15" ht="16" x14ac:dyDescent="0.2">
      <c r="A177" s="168" t="s">
        <v>482</v>
      </c>
      <c r="B177" s="115">
        <v>0</v>
      </c>
      <c r="C177" s="115">
        <v>2</v>
      </c>
      <c r="D177" s="115">
        <v>0</v>
      </c>
      <c r="E177" s="115">
        <v>0</v>
      </c>
      <c r="F177" s="115">
        <v>1</v>
      </c>
      <c r="G177" s="115">
        <v>1</v>
      </c>
      <c r="H177" s="115">
        <v>0</v>
      </c>
      <c r="I177" s="115">
        <v>1</v>
      </c>
      <c r="J177" s="115">
        <v>0</v>
      </c>
      <c r="K177" s="115">
        <v>0</v>
      </c>
      <c r="L177" s="115">
        <v>1</v>
      </c>
      <c r="M177" s="115">
        <v>1</v>
      </c>
      <c r="N177" s="115">
        <v>0</v>
      </c>
      <c r="O177" s="115">
        <v>7</v>
      </c>
    </row>
    <row r="178" spans="1:15" ht="16" x14ac:dyDescent="0.2">
      <c r="A178" s="168" t="s">
        <v>483</v>
      </c>
      <c r="B178" s="115">
        <v>1</v>
      </c>
      <c r="C178" s="115">
        <v>2</v>
      </c>
      <c r="D178" s="115">
        <v>2</v>
      </c>
      <c r="E178" s="115">
        <v>1</v>
      </c>
      <c r="F178" s="115">
        <v>1</v>
      </c>
      <c r="G178" s="115">
        <v>1</v>
      </c>
      <c r="H178" s="115">
        <v>3</v>
      </c>
      <c r="I178" s="115">
        <v>1</v>
      </c>
      <c r="J178" s="115">
        <v>1</v>
      </c>
      <c r="K178" s="115">
        <v>0</v>
      </c>
      <c r="L178" s="115">
        <v>1</v>
      </c>
      <c r="M178" s="115">
        <v>2</v>
      </c>
      <c r="N178" s="115">
        <v>0</v>
      </c>
      <c r="O178" s="115">
        <v>16</v>
      </c>
    </row>
    <row r="179" spans="1:15" ht="16" x14ac:dyDescent="0.2">
      <c r="A179" s="168" t="s">
        <v>484</v>
      </c>
      <c r="B179" s="115">
        <v>1</v>
      </c>
      <c r="C179" s="115">
        <v>1</v>
      </c>
      <c r="D179" s="115">
        <v>1</v>
      </c>
      <c r="E179" s="115">
        <v>1</v>
      </c>
      <c r="F179" s="115">
        <v>1</v>
      </c>
      <c r="G179" s="115">
        <v>1</v>
      </c>
      <c r="H179" s="115">
        <v>2</v>
      </c>
      <c r="I179" s="115">
        <v>1</v>
      </c>
      <c r="J179" s="115">
        <v>1</v>
      </c>
      <c r="K179" s="115">
        <v>1</v>
      </c>
      <c r="L179" s="115">
        <v>1</v>
      </c>
      <c r="M179" s="115">
        <v>2</v>
      </c>
      <c r="N179" s="115">
        <v>0</v>
      </c>
      <c r="O179" s="115">
        <v>14</v>
      </c>
    </row>
    <row r="180" spans="1:15" ht="16" x14ac:dyDescent="0.2">
      <c r="A180" s="168" t="s">
        <v>485</v>
      </c>
      <c r="B180" s="115">
        <v>1</v>
      </c>
      <c r="C180" s="115">
        <v>0</v>
      </c>
      <c r="D180" s="115">
        <v>0</v>
      </c>
      <c r="E180" s="115">
        <v>0</v>
      </c>
      <c r="F180" s="115">
        <v>1</v>
      </c>
      <c r="G180" s="115">
        <v>1</v>
      </c>
      <c r="H180" s="115">
        <v>2</v>
      </c>
      <c r="I180" s="115">
        <v>1</v>
      </c>
      <c r="J180" s="115">
        <v>0</v>
      </c>
      <c r="K180" s="115">
        <v>1</v>
      </c>
      <c r="L180" s="115">
        <v>1</v>
      </c>
      <c r="M180" s="115">
        <v>1</v>
      </c>
      <c r="N180" s="115">
        <v>1</v>
      </c>
      <c r="O180" s="115">
        <v>10</v>
      </c>
    </row>
    <row r="181" spans="1:15" ht="16" x14ac:dyDescent="0.2">
      <c r="A181" s="168" t="s">
        <v>486</v>
      </c>
      <c r="B181" s="115">
        <v>0</v>
      </c>
      <c r="C181" s="115">
        <v>0</v>
      </c>
      <c r="D181" s="115">
        <v>0</v>
      </c>
      <c r="E181" s="115">
        <v>2</v>
      </c>
      <c r="F181" s="115">
        <v>2</v>
      </c>
      <c r="G181" s="115">
        <v>2</v>
      </c>
      <c r="H181" s="115">
        <v>3</v>
      </c>
      <c r="I181" s="115">
        <v>2</v>
      </c>
      <c r="J181" s="115">
        <v>3</v>
      </c>
      <c r="K181" s="115">
        <v>0</v>
      </c>
      <c r="L181" s="115">
        <v>2</v>
      </c>
      <c r="M181" s="115">
        <v>2</v>
      </c>
      <c r="N181" s="115">
        <v>1</v>
      </c>
      <c r="O181" s="115">
        <v>19</v>
      </c>
    </row>
    <row r="182" spans="1:15" ht="16" x14ac:dyDescent="0.2">
      <c r="A182" s="168" t="s">
        <v>487</v>
      </c>
      <c r="B182" s="154">
        <v>1</v>
      </c>
      <c r="C182" s="154">
        <v>1</v>
      </c>
      <c r="D182" s="154">
        <v>1</v>
      </c>
      <c r="E182" s="154">
        <v>1</v>
      </c>
      <c r="F182" s="154">
        <v>1</v>
      </c>
      <c r="G182" s="154">
        <v>1</v>
      </c>
      <c r="H182" s="154">
        <v>1</v>
      </c>
      <c r="I182" s="154">
        <v>1</v>
      </c>
      <c r="J182" s="154">
        <v>3</v>
      </c>
      <c r="K182" s="154">
        <v>0</v>
      </c>
      <c r="L182" s="154">
        <v>2</v>
      </c>
      <c r="M182" s="154">
        <v>3</v>
      </c>
      <c r="N182" s="154">
        <v>0</v>
      </c>
      <c r="O182" s="154">
        <v>16</v>
      </c>
    </row>
    <row r="183" spans="1:15" ht="16" x14ac:dyDescent="0.2">
      <c r="A183" s="168" t="s">
        <v>488</v>
      </c>
      <c r="B183" s="167">
        <v>1</v>
      </c>
      <c r="C183" s="167">
        <v>0</v>
      </c>
      <c r="D183" s="167">
        <v>0</v>
      </c>
      <c r="E183" s="167">
        <v>1</v>
      </c>
      <c r="F183" s="167">
        <v>2</v>
      </c>
      <c r="G183" s="167">
        <v>1</v>
      </c>
      <c r="H183" s="167">
        <v>1</v>
      </c>
      <c r="I183" s="167">
        <v>1</v>
      </c>
      <c r="J183" s="167">
        <v>0</v>
      </c>
      <c r="K183" s="167">
        <v>0</v>
      </c>
      <c r="L183" s="167">
        <v>1</v>
      </c>
      <c r="M183" s="167">
        <v>1</v>
      </c>
      <c r="N183" s="167">
        <v>1</v>
      </c>
      <c r="O183" s="167">
        <v>10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AEFB3-7F0B-0B40-A8DD-B756DD243707}">
  <dimension ref="A1:AN183"/>
  <sheetViews>
    <sheetView zoomScale="120" zoomScaleNormal="120" workbookViewId="0">
      <selection activeCell="H55" sqref="H55"/>
    </sheetView>
  </sheetViews>
  <sheetFormatPr baseColWidth="10" defaultColWidth="8.83203125" defaultRowHeight="15" x14ac:dyDescent="0.2"/>
  <cols>
    <col min="1" max="1" width="19.1640625" bestFit="1" customWidth="1"/>
    <col min="5" max="5" width="11.33203125" bestFit="1" customWidth="1"/>
  </cols>
  <sheetData>
    <row r="1" spans="1:40" s="12" customFormat="1" ht="32" x14ac:dyDescent="0.2">
      <c r="A1" s="328" t="s">
        <v>497</v>
      </c>
      <c r="B1" s="7" t="s">
        <v>102</v>
      </c>
      <c r="C1" s="7" t="s">
        <v>103</v>
      </c>
      <c r="D1" s="7" t="s">
        <v>104</v>
      </c>
      <c r="E1" s="7" t="s">
        <v>105</v>
      </c>
      <c r="F1" s="7" t="s">
        <v>106</v>
      </c>
      <c r="G1" s="7" t="s">
        <v>107</v>
      </c>
      <c r="H1" s="7" t="s">
        <v>108</v>
      </c>
      <c r="I1" s="7" t="s">
        <v>109</v>
      </c>
      <c r="J1" s="7" t="s">
        <v>110</v>
      </c>
      <c r="K1" s="7" t="s">
        <v>111</v>
      </c>
      <c r="L1" s="7" t="s">
        <v>112</v>
      </c>
      <c r="M1" s="7" t="s">
        <v>113</v>
      </c>
      <c r="N1" s="7" t="s">
        <v>114</v>
      </c>
      <c r="O1" s="7" t="s">
        <v>115</v>
      </c>
      <c r="P1" s="7" t="s">
        <v>116</v>
      </c>
      <c r="Q1" s="7" t="s">
        <v>117</v>
      </c>
      <c r="R1" s="7" t="s">
        <v>118</v>
      </c>
      <c r="S1" s="7" t="s">
        <v>119</v>
      </c>
      <c r="T1" s="7" t="s">
        <v>120</v>
      </c>
      <c r="U1" s="7" t="s">
        <v>121</v>
      </c>
      <c r="V1" s="7" t="s">
        <v>122</v>
      </c>
      <c r="W1" s="7" t="s">
        <v>123</v>
      </c>
      <c r="X1" s="7" t="s">
        <v>124</v>
      </c>
      <c r="Y1" s="7" t="s">
        <v>125</v>
      </c>
      <c r="Z1" s="7" t="s">
        <v>126</v>
      </c>
      <c r="AA1" s="7" t="s">
        <v>127</v>
      </c>
      <c r="AB1" s="7" t="s">
        <v>128</v>
      </c>
      <c r="AC1" s="7" t="s">
        <v>129</v>
      </c>
      <c r="AD1" s="7" t="s">
        <v>130</v>
      </c>
      <c r="AE1" s="7" t="s">
        <v>131</v>
      </c>
      <c r="AF1" s="7" t="s">
        <v>132</v>
      </c>
      <c r="AG1" s="7" t="s">
        <v>133</v>
      </c>
      <c r="AH1" s="7" t="s">
        <v>134</v>
      </c>
      <c r="AI1" s="7" t="s">
        <v>135</v>
      </c>
      <c r="AJ1" s="7" t="s">
        <v>136</v>
      </c>
      <c r="AK1" s="7" t="s">
        <v>137</v>
      </c>
      <c r="AL1" s="7" t="s">
        <v>138</v>
      </c>
      <c r="AM1" s="329" t="s">
        <v>71</v>
      </c>
      <c r="AN1" s="330" t="s">
        <v>72</v>
      </c>
    </row>
    <row r="2" spans="1:40" ht="16" x14ac:dyDescent="0.2">
      <c r="A2" s="342" t="s">
        <v>497</v>
      </c>
      <c r="B2" s="343" t="str">
        <f>_xlfn.XLOOKUP(B1,MDS_3[Pregunta],MDS_3[ITEM_CODE],"XXXXXX")</f>
        <v>Q3A</v>
      </c>
      <c r="C2" s="343" t="str">
        <f>_xlfn.XLOOKUP(C1,MDS_3[Pregunta],MDS_3[ITEM_CODE],"XXXXXX")</f>
        <v>Q3B</v>
      </c>
      <c r="D2" s="343" t="str">
        <f>_xlfn.XLOOKUP(D1,MDS_3[Pregunta],MDS_3[ITEM_CODE],"XXXXXX")</f>
        <v>Q3_C</v>
      </c>
      <c r="E2" s="343" t="str">
        <f>_xlfn.XLOOKUP(E1,MDS_3[Pregunta],MDS_3[ITEM_CODE],"XXXXXX")</f>
        <v>Q3_C1</v>
      </c>
      <c r="F2" s="343" t="str">
        <f>_xlfn.XLOOKUP(F1,MDS_3[Pregunta],MDS_3[ITEM_CODE],"XXXXXX")</f>
        <v>Q3_1</v>
      </c>
      <c r="G2" s="343" t="str">
        <f>_xlfn.XLOOKUP(G1,MDS_3[Pregunta],MDS_3[ITEM_CODE],"XXXXXX")</f>
        <v>Q3_2</v>
      </c>
      <c r="H2" s="343" t="str">
        <f>_xlfn.XLOOKUP(H1,MDS_3[Pregunta],MDS_3[ITEM_CODE],"XXXXXX")</f>
        <v>Q3_3A</v>
      </c>
      <c r="I2" s="343" t="str">
        <f>_xlfn.XLOOKUP(I1,MDS_3[Pregunta],MDS_3[ITEM_CODE],"XXXXXX")</f>
        <v>Q3_3B</v>
      </c>
      <c r="J2" s="343" t="str">
        <f>_xlfn.XLOOKUP(J1,MDS_3[Pregunta],MDS_3[ITEM_CODE],"XXXXXX")</f>
        <v>Q3_3C</v>
      </c>
      <c r="K2" s="343" t="str">
        <f>_xlfn.XLOOKUP(K1,MDS_3[Pregunta],MDS_3[ITEM_CODE],"XXXXXX")</f>
        <v>Q3_3D</v>
      </c>
      <c r="L2" s="343" t="str">
        <f>_xlfn.XLOOKUP(L1,MDS_3[Pregunta],MDS_3[ITEM_CODE],"XXXXXX")</f>
        <v>Q3_3E</v>
      </c>
      <c r="M2" s="343" t="str">
        <f>_xlfn.XLOOKUP(M1,MDS_3[Pregunta],MDS_3[ITEM_CODE],"XXXXXX")</f>
        <v>Q3_4A</v>
      </c>
      <c r="N2" s="343" t="str">
        <f>_xlfn.XLOOKUP(N1,MDS_3[Pregunta],MDS_3[ITEM_CODE],"XXXXXX")</f>
        <v>Q3_4B</v>
      </c>
      <c r="O2" s="343" t="str">
        <f>_xlfn.XLOOKUP(O1,MDS_3[Pregunta],MDS_3[ITEM_CODE],"XXXXXX")</f>
        <v>Q3_5A</v>
      </c>
      <c r="P2" s="343" t="str">
        <f>_xlfn.XLOOKUP(P1,MDS_3[Pregunta],MDS_3[ITEM_CODE],"XXXXXX")</f>
        <v>Q3_5B</v>
      </c>
      <c r="Q2" s="343" t="str">
        <f>_xlfn.XLOOKUP(Q1,MDS_3[Pregunta],MDS_3[ITEM_CODE],"XXXXXX")</f>
        <v>Q3_6A</v>
      </c>
      <c r="R2" s="343" t="str">
        <f>_xlfn.XLOOKUP(R1,MDS_3[Pregunta],MDS_3[ITEM_CODE],"XXXXXX")</f>
        <v>Q3_6B</v>
      </c>
      <c r="S2" s="343" t="str">
        <f>_xlfn.XLOOKUP(S1,MDS_3[Pregunta],MDS_3[ITEM_CODE],"XXXXXX")</f>
        <v>Q3_7A</v>
      </c>
      <c r="T2" s="343" t="str">
        <f>_xlfn.XLOOKUP(T1,MDS_3[Pregunta],MDS_3[ITEM_CODE],"XXXXXX")</f>
        <v>Q3_7B</v>
      </c>
      <c r="U2" s="343" t="str">
        <f>_xlfn.XLOOKUP(U1,MDS_3[Pregunta],MDS_3[ITEM_CODE],"XXXXXX")</f>
        <v>Q3_8A</v>
      </c>
      <c r="V2" s="343" t="str">
        <f>_xlfn.XLOOKUP(V1,MDS_3[Pregunta],MDS_3[ITEM_CODE],"XXXXXX")</f>
        <v>Q3_8B</v>
      </c>
      <c r="W2" s="343" t="str">
        <f>_xlfn.XLOOKUP(W1,MDS_3[Pregunta],MDS_3[ITEM_CODE],"XXXXXX")</f>
        <v>Q3_9</v>
      </c>
      <c r="X2" s="343" t="str">
        <f>_xlfn.XLOOKUP(X1,MDS_3[Pregunta],MDS_3[ITEM_CODE],"XXXXXX")</f>
        <v>Q3_10</v>
      </c>
      <c r="Y2" s="343" t="str">
        <f>_xlfn.XLOOKUP(Y1,MDS_3[Pregunta],MDS_3[ITEM_CODE],"XXXXXX")</f>
        <v>Q3_11</v>
      </c>
      <c r="Z2" s="343" t="str">
        <f>_xlfn.XLOOKUP(Z1,MDS_3[Pregunta],MDS_3[ITEM_CODE],"XXXXXX")</f>
        <v>Q3_12</v>
      </c>
      <c r="AA2" s="343" t="str">
        <f>_xlfn.XLOOKUP(AA1,MDS_3[Pregunta],MDS_3[ITEM_CODE],"XXXXXX")</f>
        <v>Q3_13</v>
      </c>
      <c r="AB2" s="343" t="str">
        <f>_xlfn.XLOOKUP(AB1,MDS_3[Pregunta],MDS_3[ITEM_CODE],"XXXXXX")</f>
        <v>Q3_14</v>
      </c>
      <c r="AC2" s="343" t="str">
        <f>_xlfn.XLOOKUP(AC1,MDS_3[Pregunta],MDS_3[ITEM_CODE],"XXXXXX")</f>
        <v>Q3_15A</v>
      </c>
      <c r="AD2" s="343" t="str">
        <f>_xlfn.XLOOKUP(AD1,MDS_3[Pregunta],MDS_3[ITEM_CODE],"XXXXXX")</f>
        <v>Q3_15B</v>
      </c>
      <c r="AE2" s="343" t="str">
        <f>_xlfn.XLOOKUP(AE1,MDS_3[Pregunta],MDS_3[ITEM_CODE],"XXXXXX")</f>
        <v>Q3_16A</v>
      </c>
      <c r="AF2" s="343" t="str">
        <f>_xlfn.XLOOKUP(AF1,MDS_3[Pregunta],MDS_3[ITEM_CODE],"XXXXXX")</f>
        <v>Q3_16B</v>
      </c>
      <c r="AG2" s="343" t="str">
        <f>_xlfn.XLOOKUP(AG1,MDS_3[Pregunta],MDS_3[ITEM_CODE],"XXXXXX")</f>
        <v>Q3_17A</v>
      </c>
      <c r="AH2" s="343" t="str">
        <f>_xlfn.XLOOKUP(AH1,MDS_3[Pregunta],MDS_3[ITEM_CODE],"XXXXXX")</f>
        <v>Q3_17B</v>
      </c>
      <c r="AI2" s="343" t="str">
        <f>_xlfn.XLOOKUP(AI1,MDS_3[Pregunta],MDS_3[ITEM_CODE],"XXXXXX")</f>
        <v>Q3_17C</v>
      </c>
      <c r="AJ2" s="343" t="str">
        <f>_xlfn.XLOOKUP(AJ1,MDS_3[Pregunta],MDS_3[ITEM_CODE],"XXXXXX")</f>
        <v>Q3_17D</v>
      </c>
      <c r="AK2" s="343" t="str">
        <f>_xlfn.XLOOKUP(AK1,MDS_3[Pregunta],MDS_3[ITEM_CODE],"XXXXXX")</f>
        <v>Q3_17E</v>
      </c>
      <c r="AL2" s="343" t="str">
        <f>_xlfn.XLOOKUP(AL1,MDS_3[Pregunta],MDS_3[ITEM_CODE],"XXXXXX")</f>
        <v>Q3_18</v>
      </c>
      <c r="AM2" s="343" t="s">
        <v>788</v>
      </c>
      <c r="AN2" s="343" t="str">
        <f>_xlfn.XLOOKUP(AN1,MDS_3[Pregunta],MDS_3[ITEM_CODE],"XXXXXX")</f>
        <v>HOEHN_YAHR</v>
      </c>
    </row>
    <row r="3" spans="1:40" s="6" customFormat="1" x14ac:dyDescent="0.2">
      <c r="A3" s="112" t="s">
        <v>297</v>
      </c>
      <c r="B3" s="31">
        <v>1</v>
      </c>
      <c r="C3" s="31">
        <v>1</v>
      </c>
      <c r="D3" s="31">
        <v>0</v>
      </c>
      <c r="E3" s="31"/>
      <c r="F3" s="31">
        <v>2</v>
      </c>
      <c r="G3" s="31">
        <v>2</v>
      </c>
      <c r="H3" s="31">
        <v>1</v>
      </c>
      <c r="I3" s="31">
        <v>1</v>
      </c>
      <c r="J3" s="31">
        <v>2</v>
      </c>
      <c r="K3" s="31">
        <v>1</v>
      </c>
      <c r="L3" s="31">
        <v>2</v>
      </c>
      <c r="M3" s="31">
        <v>1</v>
      </c>
      <c r="N3" s="31">
        <v>2</v>
      </c>
      <c r="O3" s="31">
        <v>1</v>
      </c>
      <c r="P3" s="31">
        <v>2</v>
      </c>
      <c r="Q3" s="31">
        <v>1</v>
      </c>
      <c r="R3" s="31">
        <v>2</v>
      </c>
      <c r="S3" s="31">
        <v>1</v>
      </c>
      <c r="T3" s="31">
        <v>2</v>
      </c>
      <c r="U3" s="31">
        <v>1</v>
      </c>
      <c r="V3" s="31">
        <v>2</v>
      </c>
      <c r="W3" s="31">
        <v>2</v>
      </c>
      <c r="X3" s="31">
        <v>1</v>
      </c>
      <c r="Y3" s="31">
        <v>0</v>
      </c>
      <c r="Z3" s="31">
        <v>1</v>
      </c>
      <c r="AA3" s="31">
        <v>1</v>
      </c>
      <c r="AB3" s="31">
        <v>2</v>
      </c>
      <c r="AC3" s="31">
        <v>2</v>
      </c>
      <c r="AD3" s="31">
        <v>0</v>
      </c>
      <c r="AE3" s="31">
        <v>1</v>
      </c>
      <c r="AF3" s="31">
        <v>0</v>
      </c>
      <c r="AG3" s="31">
        <v>1</v>
      </c>
      <c r="AH3" s="31">
        <v>0</v>
      </c>
      <c r="AI3" s="31">
        <v>0</v>
      </c>
      <c r="AJ3" s="31">
        <v>0</v>
      </c>
      <c r="AK3" s="31">
        <v>0</v>
      </c>
      <c r="AL3" s="31">
        <v>2</v>
      </c>
      <c r="AM3" s="31">
        <f>SUM(F3:AL3)</f>
        <v>39</v>
      </c>
      <c r="AN3" s="31">
        <v>2</v>
      </c>
    </row>
    <row r="4" spans="1:40" x14ac:dyDescent="0.2">
      <c r="A4" s="112" t="s">
        <v>298</v>
      </c>
      <c r="B4" s="31">
        <v>1</v>
      </c>
      <c r="C4" s="31">
        <v>1</v>
      </c>
      <c r="D4" s="31">
        <v>1</v>
      </c>
      <c r="E4" s="31">
        <v>180</v>
      </c>
      <c r="F4" s="31">
        <v>2</v>
      </c>
      <c r="G4" s="31">
        <v>2</v>
      </c>
      <c r="H4" s="31">
        <v>0</v>
      </c>
      <c r="I4" s="31">
        <v>2</v>
      </c>
      <c r="J4" s="31">
        <v>1</v>
      </c>
      <c r="K4" s="31">
        <v>2</v>
      </c>
      <c r="L4" s="31">
        <v>1</v>
      </c>
      <c r="M4" s="31">
        <v>1</v>
      </c>
      <c r="N4" s="31">
        <v>2</v>
      </c>
      <c r="O4" s="31">
        <v>0</v>
      </c>
      <c r="P4" s="31">
        <v>2</v>
      </c>
      <c r="Q4" s="31">
        <v>1</v>
      </c>
      <c r="R4" s="31">
        <v>3</v>
      </c>
      <c r="S4" s="31">
        <v>1</v>
      </c>
      <c r="T4" s="31">
        <v>3</v>
      </c>
      <c r="U4" s="31">
        <v>0</v>
      </c>
      <c r="V4" s="31">
        <v>2</v>
      </c>
      <c r="W4" s="31">
        <v>2</v>
      </c>
      <c r="X4" s="31">
        <v>1</v>
      </c>
      <c r="Y4" s="31">
        <v>0</v>
      </c>
      <c r="Z4" s="31">
        <v>1</v>
      </c>
      <c r="AA4" s="31">
        <v>2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>
        <v>0</v>
      </c>
      <c r="AM4" s="31">
        <f t="shared" ref="AM4:AM18" si="0">SUM(F4:AL4)</f>
        <v>31</v>
      </c>
      <c r="AN4" s="31">
        <v>2</v>
      </c>
    </row>
    <row r="5" spans="1:40" x14ac:dyDescent="0.2">
      <c r="A5" s="112" t="s">
        <v>299</v>
      </c>
      <c r="B5" s="31">
        <v>1</v>
      </c>
      <c r="C5" s="31">
        <v>1</v>
      </c>
      <c r="D5" s="31">
        <v>1</v>
      </c>
      <c r="E5" s="31">
        <v>120</v>
      </c>
      <c r="F5" s="31">
        <v>1</v>
      </c>
      <c r="G5" s="31">
        <v>1</v>
      </c>
      <c r="H5" s="31">
        <v>0</v>
      </c>
      <c r="I5" s="31">
        <v>1</v>
      </c>
      <c r="J5" s="31">
        <v>2</v>
      </c>
      <c r="K5" s="31">
        <v>0</v>
      </c>
      <c r="L5" s="31">
        <v>0</v>
      </c>
      <c r="M5" s="31">
        <v>0</v>
      </c>
      <c r="N5" s="31">
        <v>2</v>
      </c>
      <c r="O5" s="31">
        <v>0</v>
      </c>
      <c r="P5" s="31">
        <v>2</v>
      </c>
      <c r="Q5" s="31">
        <v>0</v>
      </c>
      <c r="R5" s="31">
        <v>2</v>
      </c>
      <c r="S5" s="31">
        <v>0</v>
      </c>
      <c r="T5" s="31">
        <v>1</v>
      </c>
      <c r="U5" s="31">
        <v>0</v>
      </c>
      <c r="V5" s="31">
        <v>1</v>
      </c>
      <c r="W5" s="31">
        <v>0</v>
      </c>
      <c r="X5" s="31">
        <v>1</v>
      </c>
      <c r="Y5" s="31">
        <v>0</v>
      </c>
      <c r="Z5" s="31">
        <v>1</v>
      </c>
      <c r="AA5" s="31">
        <v>1</v>
      </c>
      <c r="AB5" s="31">
        <v>1</v>
      </c>
      <c r="AC5" s="31">
        <v>0</v>
      </c>
      <c r="AD5" s="31">
        <v>1</v>
      </c>
      <c r="AE5" s="31">
        <v>0</v>
      </c>
      <c r="AF5" s="31">
        <v>1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>
        <v>1</v>
      </c>
      <c r="AM5" s="31">
        <f t="shared" si="0"/>
        <v>20</v>
      </c>
      <c r="AN5" s="31">
        <v>2</v>
      </c>
    </row>
    <row r="6" spans="1:40" x14ac:dyDescent="0.2">
      <c r="A6" s="112" t="s">
        <v>300</v>
      </c>
      <c r="B6" s="31">
        <v>1</v>
      </c>
      <c r="C6" s="31">
        <v>1</v>
      </c>
      <c r="D6" s="31">
        <v>1</v>
      </c>
      <c r="E6" s="31">
        <v>140</v>
      </c>
      <c r="F6" s="31">
        <v>3</v>
      </c>
      <c r="G6" s="31">
        <v>3</v>
      </c>
      <c r="H6" s="31">
        <v>0</v>
      </c>
      <c r="I6" s="31">
        <v>2</v>
      </c>
      <c r="J6" s="31">
        <v>2</v>
      </c>
      <c r="K6" s="31">
        <v>2</v>
      </c>
      <c r="L6" s="31">
        <v>2</v>
      </c>
      <c r="M6" s="31">
        <v>2</v>
      </c>
      <c r="N6" s="31">
        <v>2</v>
      </c>
      <c r="O6" s="31">
        <v>2</v>
      </c>
      <c r="P6" s="31">
        <v>3</v>
      </c>
      <c r="Q6" s="31">
        <v>2</v>
      </c>
      <c r="R6" s="31">
        <v>2</v>
      </c>
      <c r="S6" s="31">
        <v>3</v>
      </c>
      <c r="T6" s="31">
        <v>3</v>
      </c>
      <c r="U6" s="31">
        <v>3</v>
      </c>
      <c r="V6" s="31">
        <v>3</v>
      </c>
      <c r="W6" s="31">
        <v>3</v>
      </c>
      <c r="X6" s="31">
        <v>3</v>
      </c>
      <c r="Y6" s="31">
        <v>0</v>
      </c>
      <c r="Z6" s="31">
        <v>2</v>
      </c>
      <c r="AA6" s="31">
        <v>3</v>
      </c>
      <c r="AB6" s="31">
        <v>3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f t="shared" si="0"/>
        <v>53</v>
      </c>
      <c r="AN6" s="31">
        <v>0</v>
      </c>
    </row>
    <row r="7" spans="1:40" x14ac:dyDescent="0.2">
      <c r="A7" s="112" t="s">
        <v>301</v>
      </c>
      <c r="B7" s="31">
        <v>1</v>
      </c>
      <c r="C7" s="31">
        <v>1</v>
      </c>
      <c r="D7" s="31">
        <v>1</v>
      </c>
      <c r="E7" s="31">
        <v>120</v>
      </c>
      <c r="F7" s="31">
        <v>1</v>
      </c>
      <c r="G7" s="31">
        <v>1</v>
      </c>
      <c r="H7" s="31">
        <v>0</v>
      </c>
      <c r="I7" s="31">
        <v>1</v>
      </c>
      <c r="J7" s="31">
        <v>1</v>
      </c>
      <c r="K7" s="31">
        <v>0</v>
      </c>
      <c r="L7" s="31">
        <v>0</v>
      </c>
      <c r="M7" s="31">
        <v>0</v>
      </c>
      <c r="N7" s="31">
        <v>1</v>
      </c>
      <c r="O7" s="31">
        <v>1</v>
      </c>
      <c r="P7" s="31">
        <v>1</v>
      </c>
      <c r="Q7" s="31">
        <v>0</v>
      </c>
      <c r="R7" s="31">
        <v>0</v>
      </c>
      <c r="S7" s="31">
        <v>0</v>
      </c>
      <c r="T7" s="31">
        <v>1</v>
      </c>
      <c r="U7" s="31">
        <v>0</v>
      </c>
      <c r="V7" s="31">
        <v>1</v>
      </c>
      <c r="W7" s="31">
        <v>0</v>
      </c>
      <c r="X7" s="31">
        <v>1</v>
      </c>
      <c r="Y7" s="31">
        <v>1</v>
      </c>
      <c r="Z7" s="31">
        <v>1</v>
      </c>
      <c r="AA7" s="31">
        <v>2</v>
      </c>
      <c r="AB7" s="31">
        <v>2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f t="shared" si="0"/>
        <v>16</v>
      </c>
      <c r="AN7" s="31">
        <v>2</v>
      </c>
    </row>
    <row r="8" spans="1:40" x14ac:dyDescent="0.2">
      <c r="A8" s="112" t="s">
        <v>302</v>
      </c>
      <c r="B8" s="31">
        <v>1</v>
      </c>
      <c r="C8" s="31">
        <v>1</v>
      </c>
      <c r="D8" s="31">
        <v>0</v>
      </c>
      <c r="E8" s="31"/>
      <c r="F8" s="31">
        <v>0</v>
      </c>
      <c r="G8" s="31">
        <v>1</v>
      </c>
      <c r="H8" s="31">
        <v>0</v>
      </c>
      <c r="I8" s="31">
        <v>2</v>
      </c>
      <c r="J8" s="31">
        <v>0</v>
      </c>
      <c r="K8" s="31">
        <v>1</v>
      </c>
      <c r="L8" s="31">
        <v>0</v>
      </c>
      <c r="M8" s="31">
        <v>1</v>
      </c>
      <c r="N8" s="31">
        <v>0</v>
      </c>
      <c r="O8" s="31">
        <v>1</v>
      </c>
      <c r="P8" s="31">
        <v>0</v>
      </c>
      <c r="Q8" s="31">
        <v>3</v>
      </c>
      <c r="R8" s="31">
        <v>0</v>
      </c>
      <c r="S8" s="31">
        <v>3</v>
      </c>
      <c r="T8" s="31">
        <v>2</v>
      </c>
      <c r="U8" s="31">
        <v>1</v>
      </c>
      <c r="V8" s="31">
        <v>0</v>
      </c>
      <c r="W8" s="31">
        <v>0</v>
      </c>
      <c r="X8" s="31">
        <v>1</v>
      </c>
      <c r="Y8" s="31">
        <v>0</v>
      </c>
      <c r="Z8" s="31">
        <v>1</v>
      </c>
      <c r="AA8" s="31">
        <v>2</v>
      </c>
      <c r="AB8" s="31">
        <v>2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f t="shared" si="0"/>
        <v>21</v>
      </c>
      <c r="AN8" s="31">
        <v>1</v>
      </c>
    </row>
    <row r="9" spans="1:40" x14ac:dyDescent="0.2">
      <c r="A9" s="112" t="s">
        <v>303</v>
      </c>
      <c r="B9" s="31">
        <v>1</v>
      </c>
      <c r="C9" s="31">
        <v>1</v>
      </c>
      <c r="D9" s="31">
        <v>1</v>
      </c>
      <c r="E9" s="31">
        <v>180</v>
      </c>
      <c r="F9" s="31">
        <v>1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2</v>
      </c>
      <c r="N9" s="31">
        <v>0</v>
      </c>
      <c r="O9" s="31">
        <v>2</v>
      </c>
      <c r="P9" s="31">
        <v>1</v>
      </c>
      <c r="Q9" s="31">
        <v>1</v>
      </c>
      <c r="R9" s="31">
        <v>0</v>
      </c>
      <c r="S9" s="31">
        <v>2</v>
      </c>
      <c r="T9" s="31">
        <v>0</v>
      </c>
      <c r="U9" s="31">
        <v>1</v>
      </c>
      <c r="V9" s="31">
        <v>0</v>
      </c>
      <c r="W9" s="31">
        <v>0</v>
      </c>
      <c r="X9" s="31">
        <v>1</v>
      </c>
      <c r="Y9" s="31">
        <v>0</v>
      </c>
      <c r="Z9" s="31">
        <v>1</v>
      </c>
      <c r="AA9" s="31">
        <v>0</v>
      </c>
      <c r="AB9" s="31">
        <v>1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f t="shared" si="0"/>
        <v>13</v>
      </c>
      <c r="AN9" s="31">
        <v>1</v>
      </c>
    </row>
    <row r="10" spans="1:40" x14ac:dyDescent="0.2">
      <c r="A10" s="112" t="s">
        <v>304</v>
      </c>
      <c r="B10" s="31">
        <v>1</v>
      </c>
      <c r="C10" s="31">
        <v>1</v>
      </c>
      <c r="D10" s="31">
        <v>1</v>
      </c>
      <c r="E10" s="31">
        <v>90</v>
      </c>
      <c r="F10" s="31">
        <v>2</v>
      </c>
      <c r="G10" s="31">
        <v>2</v>
      </c>
      <c r="H10" s="31">
        <v>0</v>
      </c>
      <c r="I10" s="31">
        <v>0</v>
      </c>
      <c r="J10" s="31">
        <v>1</v>
      </c>
      <c r="K10" s="31">
        <v>0</v>
      </c>
      <c r="L10" s="31">
        <v>1</v>
      </c>
      <c r="M10" s="31">
        <v>0</v>
      </c>
      <c r="N10" s="31">
        <v>1</v>
      </c>
      <c r="O10" s="31">
        <v>0</v>
      </c>
      <c r="P10" s="31">
        <v>1</v>
      </c>
      <c r="Q10" s="31">
        <v>1</v>
      </c>
      <c r="R10" s="31">
        <v>2</v>
      </c>
      <c r="S10" s="31">
        <v>1</v>
      </c>
      <c r="T10" s="31">
        <v>2</v>
      </c>
      <c r="U10" s="31">
        <v>2</v>
      </c>
      <c r="V10" s="31">
        <v>2</v>
      </c>
      <c r="W10" s="31">
        <v>3</v>
      </c>
      <c r="X10" s="31">
        <v>2</v>
      </c>
      <c r="Y10" s="31">
        <v>0</v>
      </c>
      <c r="Z10" s="31">
        <v>2</v>
      </c>
      <c r="AA10" s="31">
        <v>2</v>
      </c>
      <c r="AB10" s="31">
        <v>2</v>
      </c>
      <c r="AC10" s="31">
        <v>1</v>
      </c>
      <c r="AD10" s="31">
        <v>1</v>
      </c>
      <c r="AE10" s="31">
        <v>0</v>
      </c>
      <c r="AF10" s="31">
        <v>0</v>
      </c>
      <c r="AG10" s="31">
        <v>0</v>
      </c>
      <c r="AH10" s="31">
        <v>1</v>
      </c>
      <c r="AI10" s="31">
        <v>0</v>
      </c>
      <c r="AJ10" s="31">
        <v>0</v>
      </c>
      <c r="AK10" s="31">
        <v>0</v>
      </c>
      <c r="AL10" s="31">
        <v>1</v>
      </c>
      <c r="AM10" s="31">
        <f t="shared" si="0"/>
        <v>33</v>
      </c>
      <c r="AN10" s="31">
        <v>3</v>
      </c>
    </row>
    <row r="11" spans="1:40" x14ac:dyDescent="0.2">
      <c r="A11" s="112" t="s">
        <v>305</v>
      </c>
      <c r="B11" s="31">
        <v>1</v>
      </c>
      <c r="C11" s="31">
        <v>1</v>
      </c>
      <c r="D11" s="31">
        <v>1</v>
      </c>
      <c r="E11" s="31">
        <v>60</v>
      </c>
      <c r="F11" s="31">
        <v>2</v>
      </c>
      <c r="G11" s="31">
        <v>2</v>
      </c>
      <c r="H11" s="31">
        <v>0</v>
      </c>
      <c r="I11" s="31">
        <v>2</v>
      </c>
      <c r="J11" s="31">
        <v>1</v>
      </c>
      <c r="K11" s="31">
        <v>1</v>
      </c>
      <c r="L11" s="31">
        <v>1</v>
      </c>
      <c r="M11" s="31">
        <v>2</v>
      </c>
      <c r="N11" s="31">
        <v>3</v>
      </c>
      <c r="O11" s="31">
        <v>3</v>
      </c>
      <c r="P11" s="31">
        <v>3</v>
      </c>
      <c r="Q11" s="31">
        <v>2</v>
      </c>
      <c r="R11" s="31">
        <v>3</v>
      </c>
      <c r="S11" s="31">
        <v>4</v>
      </c>
      <c r="T11" s="31">
        <v>4</v>
      </c>
      <c r="U11" s="31">
        <v>4</v>
      </c>
      <c r="V11" s="31">
        <v>4</v>
      </c>
      <c r="W11" s="31">
        <v>4</v>
      </c>
      <c r="X11" s="31">
        <v>4</v>
      </c>
      <c r="Y11" s="31">
        <v>1</v>
      </c>
      <c r="Z11" s="31">
        <v>4</v>
      </c>
      <c r="AA11" s="31">
        <v>4</v>
      </c>
      <c r="AB11" s="31">
        <v>4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f t="shared" si="0"/>
        <v>62</v>
      </c>
      <c r="AN11" s="31">
        <v>4</v>
      </c>
    </row>
    <row r="12" spans="1:40" x14ac:dyDescent="0.2">
      <c r="A12" s="112" t="s">
        <v>306</v>
      </c>
      <c r="B12" s="31">
        <v>1</v>
      </c>
      <c r="C12" s="31">
        <v>1</v>
      </c>
      <c r="D12" s="31">
        <v>1</v>
      </c>
      <c r="E12" s="31">
        <v>150</v>
      </c>
      <c r="F12" s="31">
        <v>2</v>
      </c>
      <c r="G12" s="31">
        <v>1</v>
      </c>
      <c r="H12" s="31">
        <v>0</v>
      </c>
      <c r="I12" s="31">
        <v>2</v>
      </c>
      <c r="J12" s="31">
        <v>1</v>
      </c>
      <c r="K12" s="31">
        <v>1</v>
      </c>
      <c r="L12" s="31">
        <v>1</v>
      </c>
      <c r="M12" s="31">
        <v>0</v>
      </c>
      <c r="N12" s="31">
        <v>1</v>
      </c>
      <c r="O12" s="31">
        <v>1</v>
      </c>
      <c r="P12" s="31">
        <v>1</v>
      </c>
      <c r="Q12" s="31">
        <v>1</v>
      </c>
      <c r="R12" s="31">
        <v>2</v>
      </c>
      <c r="S12" s="31">
        <v>0</v>
      </c>
      <c r="T12" s="31">
        <v>1</v>
      </c>
      <c r="U12" s="31">
        <v>0</v>
      </c>
      <c r="V12" s="31">
        <v>2</v>
      </c>
      <c r="W12" s="31">
        <v>1</v>
      </c>
      <c r="X12" s="31">
        <v>3</v>
      </c>
      <c r="Y12" s="31">
        <v>0</v>
      </c>
      <c r="Z12" s="31">
        <v>2</v>
      </c>
      <c r="AA12" s="31">
        <v>2</v>
      </c>
      <c r="AB12" s="31">
        <v>2</v>
      </c>
      <c r="AC12" s="31">
        <v>1</v>
      </c>
      <c r="AD12" s="31">
        <v>1</v>
      </c>
      <c r="AE12" s="31">
        <v>1</v>
      </c>
      <c r="AF12" s="31">
        <v>1</v>
      </c>
      <c r="AG12" s="31">
        <v>1</v>
      </c>
      <c r="AH12" s="31">
        <v>2</v>
      </c>
      <c r="AI12" s="31">
        <v>1</v>
      </c>
      <c r="AJ12" s="31">
        <v>1</v>
      </c>
      <c r="AK12" s="31">
        <v>0</v>
      </c>
      <c r="AL12" s="31">
        <v>1</v>
      </c>
      <c r="AM12" s="31">
        <f t="shared" si="0"/>
        <v>37</v>
      </c>
      <c r="AN12" s="31">
        <v>3</v>
      </c>
    </row>
    <row r="13" spans="1:40" x14ac:dyDescent="0.2">
      <c r="A13" s="112" t="s">
        <v>307</v>
      </c>
      <c r="B13" s="31">
        <v>1</v>
      </c>
      <c r="C13" s="31">
        <v>0</v>
      </c>
      <c r="D13" s="31">
        <v>1</v>
      </c>
      <c r="E13" s="31">
        <v>120</v>
      </c>
      <c r="F13" s="31">
        <v>2</v>
      </c>
      <c r="G13" s="31">
        <v>2</v>
      </c>
      <c r="H13" s="31">
        <v>0</v>
      </c>
      <c r="I13" s="31">
        <v>1</v>
      </c>
      <c r="J13" s="31">
        <v>2</v>
      </c>
      <c r="K13" s="31">
        <v>0</v>
      </c>
      <c r="L13" s="31">
        <v>0</v>
      </c>
      <c r="M13" s="31">
        <v>0</v>
      </c>
      <c r="N13" s="31">
        <v>2</v>
      </c>
      <c r="O13" s="31">
        <v>1</v>
      </c>
      <c r="P13" s="31">
        <v>2</v>
      </c>
      <c r="Q13" s="31">
        <v>2</v>
      </c>
      <c r="R13" s="31">
        <v>3</v>
      </c>
      <c r="S13" s="31">
        <v>2</v>
      </c>
      <c r="T13" s="31">
        <v>3</v>
      </c>
      <c r="U13" s="31">
        <v>1</v>
      </c>
      <c r="V13" s="31">
        <v>1</v>
      </c>
      <c r="W13" s="31">
        <v>1</v>
      </c>
      <c r="X13" s="31">
        <v>1</v>
      </c>
      <c r="Y13" s="31">
        <v>0</v>
      </c>
      <c r="Z13" s="31">
        <v>1</v>
      </c>
      <c r="AA13" s="31">
        <v>1</v>
      </c>
      <c r="AB13" s="31">
        <v>3</v>
      </c>
      <c r="AC13" s="31">
        <v>2</v>
      </c>
      <c r="AD13" s="31">
        <v>1</v>
      </c>
      <c r="AE13" s="31">
        <v>1</v>
      </c>
      <c r="AF13" s="31">
        <v>1</v>
      </c>
      <c r="AG13" s="31">
        <v>1</v>
      </c>
      <c r="AH13" s="31">
        <v>1</v>
      </c>
      <c r="AI13" s="31">
        <v>1</v>
      </c>
      <c r="AJ13" s="31">
        <v>1</v>
      </c>
      <c r="AK13" s="31">
        <v>1</v>
      </c>
      <c r="AL13" s="31">
        <v>1</v>
      </c>
      <c r="AM13" s="31">
        <f t="shared" si="0"/>
        <v>42</v>
      </c>
      <c r="AN13" s="31">
        <v>3</v>
      </c>
    </row>
    <row r="14" spans="1:40" x14ac:dyDescent="0.2">
      <c r="A14" s="112" t="s">
        <v>308</v>
      </c>
      <c r="B14" s="31">
        <v>0</v>
      </c>
      <c r="C14" s="31"/>
      <c r="D14" s="31">
        <v>0</v>
      </c>
      <c r="E14" s="31"/>
      <c r="F14" s="31">
        <v>2</v>
      </c>
      <c r="G14" s="31">
        <v>2</v>
      </c>
      <c r="H14" s="31">
        <v>0</v>
      </c>
      <c r="I14" s="31">
        <v>2</v>
      </c>
      <c r="J14" s="31">
        <v>1</v>
      </c>
      <c r="K14" s="31">
        <v>0</v>
      </c>
      <c r="L14" s="31">
        <v>0</v>
      </c>
      <c r="M14" s="31">
        <v>2</v>
      </c>
      <c r="N14" s="31">
        <v>1</v>
      </c>
      <c r="O14" s="31">
        <v>2</v>
      </c>
      <c r="P14" s="31">
        <v>1</v>
      </c>
      <c r="Q14" s="31">
        <v>3</v>
      </c>
      <c r="R14" s="31">
        <v>2</v>
      </c>
      <c r="S14" s="31">
        <v>1</v>
      </c>
      <c r="T14" s="31">
        <v>0</v>
      </c>
      <c r="U14" s="31">
        <v>1</v>
      </c>
      <c r="V14" s="31">
        <v>0</v>
      </c>
      <c r="W14" s="31">
        <v>2</v>
      </c>
      <c r="X14" s="31">
        <v>2</v>
      </c>
      <c r="Y14" s="31">
        <v>0</v>
      </c>
      <c r="Z14" s="31">
        <v>2</v>
      </c>
      <c r="AA14" s="31">
        <v>1</v>
      </c>
      <c r="AB14" s="31">
        <v>2</v>
      </c>
      <c r="AC14" s="31">
        <v>2</v>
      </c>
      <c r="AD14" s="31">
        <v>0</v>
      </c>
      <c r="AE14" s="31">
        <v>0</v>
      </c>
      <c r="AF14" s="31">
        <v>2</v>
      </c>
      <c r="AG14" s="31">
        <v>1</v>
      </c>
      <c r="AH14" s="31">
        <v>0</v>
      </c>
      <c r="AI14" s="31">
        <v>0</v>
      </c>
      <c r="AJ14" s="31">
        <v>0</v>
      </c>
      <c r="AK14" s="31">
        <v>0</v>
      </c>
      <c r="AL14" s="31">
        <v>1</v>
      </c>
      <c r="AM14" s="31">
        <f t="shared" si="0"/>
        <v>35</v>
      </c>
      <c r="AN14" s="31">
        <v>1</v>
      </c>
    </row>
    <row r="15" spans="1:40" x14ac:dyDescent="0.2">
      <c r="A15" s="112" t="s">
        <v>309</v>
      </c>
      <c r="B15" s="31">
        <v>1</v>
      </c>
      <c r="C15" s="31">
        <v>1</v>
      </c>
      <c r="D15" s="31">
        <v>1</v>
      </c>
      <c r="E15" s="31">
        <v>60</v>
      </c>
      <c r="F15" s="31">
        <v>2</v>
      </c>
      <c r="G15" s="31">
        <v>2</v>
      </c>
      <c r="H15" s="31">
        <v>1</v>
      </c>
      <c r="I15" s="31">
        <v>1</v>
      </c>
      <c r="J15" s="31">
        <v>2</v>
      </c>
      <c r="K15" s="31">
        <v>1</v>
      </c>
      <c r="L15" s="31">
        <v>2</v>
      </c>
      <c r="M15" s="31">
        <v>2</v>
      </c>
      <c r="N15" s="31">
        <v>3</v>
      </c>
      <c r="O15" s="31">
        <v>2</v>
      </c>
      <c r="P15" s="31">
        <v>3</v>
      </c>
      <c r="Q15" s="31">
        <v>2</v>
      </c>
      <c r="R15" s="31">
        <v>3</v>
      </c>
      <c r="S15" s="31">
        <v>3</v>
      </c>
      <c r="T15" s="31">
        <v>3</v>
      </c>
      <c r="U15" s="31">
        <v>3</v>
      </c>
      <c r="V15" s="31">
        <v>3</v>
      </c>
      <c r="W15" s="31">
        <v>3</v>
      </c>
      <c r="X15" s="31">
        <v>3</v>
      </c>
      <c r="Y15" s="31">
        <v>1</v>
      </c>
      <c r="Z15" s="31">
        <v>3</v>
      </c>
      <c r="AA15" s="31">
        <v>2</v>
      </c>
      <c r="AB15" s="31">
        <v>3</v>
      </c>
      <c r="AC15" s="31">
        <v>1</v>
      </c>
      <c r="AD15" s="31">
        <v>1</v>
      </c>
      <c r="AE15" s="31">
        <v>0</v>
      </c>
      <c r="AF15" s="31">
        <v>0</v>
      </c>
      <c r="AG15" s="31">
        <v>1</v>
      </c>
      <c r="AH15" s="31">
        <v>1</v>
      </c>
      <c r="AI15" s="31">
        <v>0</v>
      </c>
      <c r="AJ15" s="31">
        <v>0</v>
      </c>
      <c r="AK15" s="31">
        <v>0</v>
      </c>
      <c r="AL15" s="31">
        <v>1</v>
      </c>
      <c r="AM15" s="31">
        <f t="shared" si="0"/>
        <v>58</v>
      </c>
      <c r="AN15" s="31">
        <v>4</v>
      </c>
    </row>
    <row r="16" spans="1:40" x14ac:dyDescent="0.2">
      <c r="A16" s="112" t="s">
        <v>310</v>
      </c>
      <c r="B16" s="31">
        <v>1</v>
      </c>
      <c r="C16" s="31">
        <v>1</v>
      </c>
      <c r="D16" s="31">
        <v>1</v>
      </c>
      <c r="E16" s="31">
        <v>60</v>
      </c>
      <c r="F16" s="31">
        <v>2</v>
      </c>
      <c r="G16" s="31">
        <v>2</v>
      </c>
      <c r="H16" s="31">
        <v>1</v>
      </c>
      <c r="I16" s="31">
        <v>1</v>
      </c>
      <c r="J16" s="31">
        <v>1</v>
      </c>
      <c r="K16" s="31">
        <v>1</v>
      </c>
      <c r="L16" s="31">
        <v>2</v>
      </c>
      <c r="M16" s="31">
        <v>0</v>
      </c>
      <c r="N16" s="31">
        <v>0</v>
      </c>
      <c r="O16" s="31">
        <v>0</v>
      </c>
      <c r="P16" s="31">
        <v>1</v>
      </c>
      <c r="Q16" s="31">
        <v>2</v>
      </c>
      <c r="R16" s="31">
        <v>1</v>
      </c>
      <c r="S16" s="31">
        <v>4</v>
      </c>
      <c r="T16" s="31">
        <v>3</v>
      </c>
      <c r="U16" s="31">
        <v>4</v>
      </c>
      <c r="V16" s="31">
        <v>3</v>
      </c>
      <c r="W16" s="31">
        <v>2</v>
      </c>
      <c r="X16" s="31">
        <v>3</v>
      </c>
      <c r="Y16" s="31">
        <v>0</v>
      </c>
      <c r="Z16" s="31">
        <v>3</v>
      </c>
      <c r="AA16" s="31">
        <v>2</v>
      </c>
      <c r="AB16" s="31">
        <v>3</v>
      </c>
      <c r="AC16" s="31">
        <v>0</v>
      </c>
      <c r="AD16" s="31">
        <v>0</v>
      </c>
      <c r="AE16" s="31">
        <v>0</v>
      </c>
      <c r="AF16" s="31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1">
        <v>0</v>
      </c>
      <c r="AM16" s="31">
        <f t="shared" si="0"/>
        <v>41</v>
      </c>
      <c r="AN16" s="31">
        <v>4</v>
      </c>
    </row>
    <row r="17" spans="1:40" x14ac:dyDescent="0.2">
      <c r="A17" s="112" t="s">
        <v>311</v>
      </c>
      <c r="B17" s="31">
        <v>1</v>
      </c>
      <c r="C17" s="31">
        <v>1</v>
      </c>
      <c r="D17" s="31">
        <v>1</v>
      </c>
      <c r="E17" s="31">
        <v>420</v>
      </c>
      <c r="F17" s="31">
        <v>2</v>
      </c>
      <c r="G17" s="31">
        <v>2</v>
      </c>
      <c r="H17" s="31">
        <v>0</v>
      </c>
      <c r="I17" s="31">
        <v>1</v>
      </c>
      <c r="J17" s="31">
        <v>2</v>
      </c>
      <c r="K17" s="31">
        <v>0</v>
      </c>
      <c r="L17" s="31">
        <v>0</v>
      </c>
      <c r="M17" s="31">
        <v>1</v>
      </c>
      <c r="N17" s="31">
        <v>1</v>
      </c>
      <c r="O17" s="31">
        <v>1</v>
      </c>
      <c r="P17" s="31">
        <v>1</v>
      </c>
      <c r="Q17" s="31">
        <v>1</v>
      </c>
      <c r="R17" s="31">
        <v>2</v>
      </c>
      <c r="S17" s="31">
        <v>2</v>
      </c>
      <c r="T17" s="31">
        <v>3</v>
      </c>
      <c r="U17" s="31">
        <v>2</v>
      </c>
      <c r="V17" s="31">
        <v>3</v>
      </c>
      <c r="W17" s="31">
        <v>1</v>
      </c>
      <c r="X17" s="31">
        <v>2</v>
      </c>
      <c r="Y17" s="31">
        <v>1</v>
      </c>
      <c r="Z17" s="31">
        <v>2</v>
      </c>
      <c r="AA17" s="31">
        <v>2</v>
      </c>
      <c r="AB17" s="31">
        <v>2</v>
      </c>
      <c r="AC17" s="31">
        <v>0</v>
      </c>
      <c r="AD17" s="31">
        <v>0</v>
      </c>
      <c r="AE17" s="31">
        <v>0</v>
      </c>
      <c r="AF17" s="31">
        <v>0</v>
      </c>
      <c r="AG17" s="31">
        <v>0</v>
      </c>
      <c r="AH17" s="31">
        <v>0</v>
      </c>
      <c r="AI17" s="31">
        <v>0</v>
      </c>
      <c r="AJ17" s="31">
        <v>0</v>
      </c>
      <c r="AK17" s="31">
        <v>0</v>
      </c>
      <c r="AL17" s="31">
        <v>0</v>
      </c>
      <c r="AM17" s="31">
        <f t="shared" si="0"/>
        <v>34</v>
      </c>
      <c r="AN17" s="31">
        <v>3</v>
      </c>
    </row>
    <row r="18" spans="1:40" x14ac:dyDescent="0.2">
      <c r="A18" s="112" t="s">
        <v>312</v>
      </c>
      <c r="B18" s="31">
        <v>1</v>
      </c>
      <c r="C18" s="31">
        <v>1</v>
      </c>
      <c r="D18" s="31">
        <v>1</v>
      </c>
      <c r="E18" s="31">
        <v>180</v>
      </c>
      <c r="F18" s="31">
        <v>0</v>
      </c>
      <c r="G18" s="31">
        <v>0</v>
      </c>
      <c r="H18" s="31">
        <v>1</v>
      </c>
      <c r="I18" s="31">
        <v>0</v>
      </c>
      <c r="J18" s="31">
        <v>0</v>
      </c>
      <c r="K18" s="31">
        <v>0</v>
      </c>
      <c r="L18" s="31">
        <v>0</v>
      </c>
      <c r="M18" s="31">
        <v>1</v>
      </c>
      <c r="N18" s="31">
        <v>1</v>
      </c>
      <c r="O18" s="31">
        <v>1</v>
      </c>
      <c r="P18" s="31">
        <v>2</v>
      </c>
      <c r="Q18" s="31">
        <v>2</v>
      </c>
      <c r="R18" s="31">
        <v>1</v>
      </c>
      <c r="S18" s="31">
        <v>1</v>
      </c>
      <c r="T18" s="31">
        <v>1</v>
      </c>
      <c r="U18" s="31">
        <v>1</v>
      </c>
      <c r="V18" s="31">
        <v>1</v>
      </c>
      <c r="W18" s="31">
        <v>1</v>
      </c>
      <c r="X18" s="31">
        <v>1</v>
      </c>
      <c r="Y18" s="31">
        <v>0</v>
      </c>
      <c r="Z18" s="31">
        <v>1</v>
      </c>
      <c r="AA18" s="31">
        <v>2</v>
      </c>
      <c r="AB18" s="31">
        <v>1</v>
      </c>
      <c r="AC18" s="31">
        <v>1</v>
      </c>
      <c r="AD18" s="31">
        <v>0</v>
      </c>
      <c r="AE18" s="31">
        <v>0</v>
      </c>
      <c r="AF18" s="31">
        <v>1</v>
      </c>
      <c r="AG18" s="31">
        <v>0</v>
      </c>
      <c r="AH18" s="31">
        <v>0</v>
      </c>
      <c r="AI18" s="31">
        <v>0</v>
      </c>
      <c r="AJ18" s="31">
        <v>0</v>
      </c>
      <c r="AK18" s="31">
        <v>0</v>
      </c>
      <c r="AL18" s="31">
        <v>1</v>
      </c>
      <c r="AM18" s="31">
        <f t="shared" si="0"/>
        <v>22</v>
      </c>
      <c r="AN18" s="31">
        <v>2</v>
      </c>
    </row>
    <row r="19" spans="1:40" x14ac:dyDescent="0.2">
      <c r="A19" s="112" t="s">
        <v>313</v>
      </c>
      <c r="B19" s="31">
        <v>1</v>
      </c>
      <c r="C19" s="31">
        <v>1</v>
      </c>
      <c r="D19" s="31">
        <v>1</v>
      </c>
      <c r="E19" s="31">
        <v>180</v>
      </c>
      <c r="F19" s="31">
        <v>2</v>
      </c>
      <c r="G19" s="31">
        <v>2</v>
      </c>
      <c r="H19" s="31">
        <v>0</v>
      </c>
      <c r="I19" s="31">
        <v>0</v>
      </c>
      <c r="J19" s="31">
        <v>0</v>
      </c>
      <c r="K19" s="31">
        <v>1</v>
      </c>
      <c r="L19" s="31">
        <v>2</v>
      </c>
      <c r="M19" s="31">
        <v>1</v>
      </c>
      <c r="N19" s="31">
        <v>2</v>
      </c>
      <c r="O19" s="31">
        <v>2</v>
      </c>
      <c r="P19" s="31">
        <v>2</v>
      </c>
      <c r="Q19" s="31">
        <v>1</v>
      </c>
      <c r="R19" s="31">
        <v>3</v>
      </c>
      <c r="S19" s="31">
        <v>2</v>
      </c>
      <c r="T19" s="31">
        <v>3</v>
      </c>
      <c r="U19" s="31">
        <v>2</v>
      </c>
      <c r="V19" s="31">
        <v>3</v>
      </c>
      <c r="W19" s="31">
        <v>2</v>
      </c>
      <c r="X19" s="31">
        <v>3</v>
      </c>
      <c r="Y19" s="31">
        <v>2</v>
      </c>
      <c r="Z19" s="31">
        <v>3</v>
      </c>
      <c r="AA19" s="31">
        <v>3</v>
      </c>
      <c r="AB19" s="31">
        <v>3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f>SUM(F19:AL19)</f>
        <v>44</v>
      </c>
      <c r="AN19" s="31">
        <v>4</v>
      </c>
    </row>
    <row r="20" spans="1:40" x14ac:dyDescent="0.2">
      <c r="A20" s="112" t="s">
        <v>314</v>
      </c>
      <c r="B20" s="31">
        <v>1</v>
      </c>
      <c r="C20" s="31">
        <v>1</v>
      </c>
      <c r="D20" s="31">
        <v>1</v>
      </c>
      <c r="E20" s="31">
        <v>180</v>
      </c>
      <c r="F20" s="31">
        <v>1</v>
      </c>
      <c r="G20" s="31">
        <v>1</v>
      </c>
      <c r="H20" s="31">
        <v>2</v>
      </c>
      <c r="I20" s="31">
        <v>1</v>
      </c>
      <c r="J20" s="31">
        <v>2</v>
      </c>
      <c r="K20" s="31">
        <v>1</v>
      </c>
      <c r="L20" s="31">
        <v>2</v>
      </c>
      <c r="M20" s="31">
        <v>0</v>
      </c>
      <c r="N20" s="31">
        <v>0</v>
      </c>
      <c r="O20" s="31">
        <v>0</v>
      </c>
      <c r="P20" s="31">
        <v>0</v>
      </c>
      <c r="Q20" s="31">
        <v>0</v>
      </c>
      <c r="R20" s="31">
        <v>1</v>
      </c>
      <c r="S20" s="31">
        <v>0</v>
      </c>
      <c r="T20" s="31">
        <v>1</v>
      </c>
      <c r="U20" s="31">
        <v>0</v>
      </c>
      <c r="V20" s="31">
        <v>1</v>
      </c>
      <c r="W20" s="31">
        <v>0</v>
      </c>
      <c r="X20" s="31">
        <v>1</v>
      </c>
      <c r="Y20" s="31">
        <v>0</v>
      </c>
      <c r="Z20" s="31">
        <v>1</v>
      </c>
      <c r="AA20" s="31">
        <v>1</v>
      </c>
      <c r="AB20" s="31">
        <v>2</v>
      </c>
      <c r="AC20" s="31">
        <v>2</v>
      </c>
      <c r="AD20" s="31">
        <v>2</v>
      </c>
      <c r="AE20" s="31">
        <v>0</v>
      </c>
      <c r="AF20" s="31">
        <v>0</v>
      </c>
      <c r="AG20" s="31">
        <v>0</v>
      </c>
      <c r="AH20" s="31">
        <v>1</v>
      </c>
      <c r="AI20" s="31">
        <v>0</v>
      </c>
      <c r="AJ20" s="31">
        <v>0</v>
      </c>
      <c r="AK20" s="31">
        <v>0</v>
      </c>
      <c r="AL20" s="31">
        <v>2</v>
      </c>
      <c r="AM20" s="31">
        <f>SUM(F20:AL20)</f>
        <v>25</v>
      </c>
      <c r="AN20" s="31">
        <v>2</v>
      </c>
    </row>
    <row r="21" spans="1:40" x14ac:dyDescent="0.2">
      <c r="A21" s="112" t="s">
        <v>315</v>
      </c>
      <c r="B21" s="31">
        <v>1</v>
      </c>
      <c r="C21" s="31">
        <v>1</v>
      </c>
      <c r="D21" s="31">
        <v>1</v>
      </c>
      <c r="E21" s="31">
        <v>90</v>
      </c>
      <c r="F21" s="31">
        <v>3</v>
      </c>
      <c r="G21" s="31">
        <v>2</v>
      </c>
      <c r="H21" s="31">
        <v>0</v>
      </c>
      <c r="I21" s="31">
        <v>2</v>
      </c>
      <c r="J21" s="31">
        <v>1</v>
      </c>
      <c r="K21" s="31">
        <v>2</v>
      </c>
      <c r="L21" s="31">
        <v>1</v>
      </c>
      <c r="M21" s="31">
        <v>0</v>
      </c>
      <c r="N21" s="31">
        <v>0</v>
      </c>
      <c r="O21" s="31">
        <v>1</v>
      </c>
      <c r="P21" s="31">
        <v>2</v>
      </c>
      <c r="Q21" s="31">
        <v>2</v>
      </c>
      <c r="R21" s="31">
        <v>3</v>
      </c>
      <c r="S21" s="31">
        <v>1</v>
      </c>
      <c r="T21" s="31">
        <v>2</v>
      </c>
      <c r="U21" s="31">
        <v>0</v>
      </c>
      <c r="V21" s="31">
        <v>1</v>
      </c>
      <c r="W21" s="31">
        <v>0</v>
      </c>
      <c r="X21" s="31">
        <v>1</v>
      </c>
      <c r="Y21" s="31">
        <v>0</v>
      </c>
      <c r="Z21" s="31">
        <v>0</v>
      </c>
      <c r="AA21" s="31">
        <v>1</v>
      </c>
      <c r="AB21" s="31">
        <v>2</v>
      </c>
      <c r="AC21" s="31">
        <v>1</v>
      </c>
      <c r="AD21" s="31">
        <v>1</v>
      </c>
      <c r="AE21" s="31">
        <v>0</v>
      </c>
      <c r="AF21" s="31">
        <v>0</v>
      </c>
      <c r="AG21" s="31">
        <v>0</v>
      </c>
      <c r="AH21" s="31">
        <v>1</v>
      </c>
      <c r="AI21" s="31">
        <v>0</v>
      </c>
      <c r="AJ21" s="31">
        <v>0</v>
      </c>
      <c r="AK21" s="31">
        <v>0</v>
      </c>
      <c r="AL21" s="31">
        <v>1</v>
      </c>
      <c r="AM21" s="31">
        <f t="shared" ref="AM21:AM27" si="1">SUM(F21:AL21)</f>
        <v>31</v>
      </c>
      <c r="AN21" s="31">
        <v>2</v>
      </c>
    </row>
    <row r="22" spans="1:40" x14ac:dyDescent="0.2">
      <c r="A22" s="112" t="s">
        <v>316</v>
      </c>
      <c r="B22" s="31">
        <v>1</v>
      </c>
      <c r="C22" s="31">
        <v>1</v>
      </c>
      <c r="D22" s="31">
        <v>1</v>
      </c>
      <c r="E22" s="31">
        <v>120</v>
      </c>
      <c r="F22" s="31">
        <v>2</v>
      </c>
      <c r="G22" s="31">
        <v>3</v>
      </c>
      <c r="H22" s="31">
        <v>2</v>
      </c>
      <c r="I22" s="31">
        <v>2</v>
      </c>
      <c r="J22" s="31">
        <v>3</v>
      </c>
      <c r="K22" s="31">
        <v>2</v>
      </c>
      <c r="L22" s="31">
        <v>2</v>
      </c>
      <c r="M22" s="31">
        <v>2</v>
      </c>
      <c r="N22" s="31">
        <v>3</v>
      </c>
      <c r="O22" s="31">
        <v>1</v>
      </c>
      <c r="P22" s="31">
        <v>2</v>
      </c>
      <c r="Q22" s="31">
        <v>3</v>
      </c>
      <c r="R22" s="31">
        <v>3</v>
      </c>
      <c r="S22" s="31">
        <v>4</v>
      </c>
      <c r="T22" s="31">
        <v>4</v>
      </c>
      <c r="U22" s="31">
        <v>4</v>
      </c>
      <c r="V22" s="31">
        <v>4</v>
      </c>
      <c r="W22" s="31">
        <v>2</v>
      </c>
      <c r="X22" s="31">
        <v>3</v>
      </c>
      <c r="Y22" s="31">
        <v>0</v>
      </c>
      <c r="Z22" s="31">
        <v>4</v>
      </c>
      <c r="AA22" s="31">
        <v>4</v>
      </c>
      <c r="AB22" s="31">
        <v>3</v>
      </c>
      <c r="AC22" s="31">
        <v>2</v>
      </c>
      <c r="AD22" s="31">
        <v>2</v>
      </c>
      <c r="AE22" s="31">
        <v>1</v>
      </c>
      <c r="AF22" s="31">
        <v>2</v>
      </c>
      <c r="AG22" s="31">
        <v>1</v>
      </c>
      <c r="AH22" s="31">
        <v>2</v>
      </c>
      <c r="AI22" s="31">
        <v>0</v>
      </c>
      <c r="AJ22" s="31">
        <v>0</v>
      </c>
      <c r="AK22" s="31">
        <v>0</v>
      </c>
      <c r="AL22" s="31">
        <v>1</v>
      </c>
      <c r="AM22" s="31">
        <f t="shared" si="1"/>
        <v>73</v>
      </c>
      <c r="AN22" s="31">
        <v>4</v>
      </c>
    </row>
    <row r="23" spans="1:40" x14ac:dyDescent="0.2">
      <c r="A23" s="112" t="s">
        <v>317</v>
      </c>
      <c r="B23" s="31">
        <v>1</v>
      </c>
      <c r="C23" s="31">
        <v>1</v>
      </c>
      <c r="D23" s="31">
        <v>1</v>
      </c>
      <c r="E23" s="31">
        <v>150</v>
      </c>
      <c r="F23" s="31">
        <v>0</v>
      </c>
      <c r="G23" s="31">
        <v>0</v>
      </c>
      <c r="H23" s="31">
        <v>0</v>
      </c>
      <c r="I23" s="31">
        <v>0</v>
      </c>
      <c r="J23" s="31">
        <v>1</v>
      </c>
      <c r="K23" s="31">
        <v>2</v>
      </c>
      <c r="L23" s="31">
        <v>2</v>
      </c>
      <c r="M23" s="31">
        <v>0</v>
      </c>
      <c r="N23" s="31">
        <v>1</v>
      </c>
      <c r="O23" s="31">
        <v>0</v>
      </c>
      <c r="P23" s="31">
        <v>1</v>
      </c>
      <c r="Q23" s="31">
        <v>0</v>
      </c>
      <c r="R23" s="31">
        <v>0</v>
      </c>
      <c r="S23" s="31">
        <v>1</v>
      </c>
      <c r="T23" s="31">
        <v>1</v>
      </c>
      <c r="U23" s="31">
        <v>0</v>
      </c>
      <c r="V23" s="31">
        <v>0</v>
      </c>
      <c r="W23" s="31">
        <v>0</v>
      </c>
      <c r="X23" s="31">
        <v>0</v>
      </c>
      <c r="Y23" s="31">
        <v>0</v>
      </c>
      <c r="Z23" s="31">
        <v>0</v>
      </c>
      <c r="AA23" s="31">
        <v>0</v>
      </c>
      <c r="AB23" s="31">
        <v>1</v>
      </c>
      <c r="AC23" s="31">
        <v>1</v>
      </c>
      <c r="AD23" s="31">
        <v>1</v>
      </c>
      <c r="AE23" s="31">
        <v>0</v>
      </c>
      <c r="AF23" s="31">
        <v>0</v>
      </c>
      <c r="AG23" s="31">
        <v>0</v>
      </c>
      <c r="AH23" s="31">
        <v>1</v>
      </c>
      <c r="AI23" s="31">
        <v>0</v>
      </c>
      <c r="AJ23" s="31">
        <v>1</v>
      </c>
      <c r="AK23" s="31">
        <v>1</v>
      </c>
      <c r="AL23" s="31">
        <v>2</v>
      </c>
      <c r="AM23" s="31">
        <f t="shared" si="1"/>
        <v>17</v>
      </c>
      <c r="AN23" s="31">
        <v>1</v>
      </c>
    </row>
    <row r="24" spans="1:40" x14ac:dyDescent="0.2">
      <c r="A24" s="112" t="s">
        <v>318</v>
      </c>
      <c r="B24" s="31">
        <v>1</v>
      </c>
      <c r="C24" s="31">
        <v>1</v>
      </c>
      <c r="D24" s="31">
        <v>1</v>
      </c>
      <c r="E24" s="31">
        <v>30</v>
      </c>
      <c r="F24" s="31">
        <v>1</v>
      </c>
      <c r="G24" s="31">
        <v>1</v>
      </c>
      <c r="H24" s="31">
        <v>1</v>
      </c>
      <c r="I24" s="31">
        <v>2</v>
      </c>
      <c r="J24" s="31">
        <v>1</v>
      </c>
      <c r="K24" s="31">
        <v>3</v>
      </c>
      <c r="L24" s="31">
        <v>1</v>
      </c>
      <c r="M24" s="31">
        <v>0</v>
      </c>
      <c r="N24" s="31">
        <v>0</v>
      </c>
      <c r="O24" s="31">
        <v>0</v>
      </c>
      <c r="P24" s="31">
        <v>0</v>
      </c>
      <c r="Q24" s="31">
        <v>0</v>
      </c>
      <c r="R24" s="31">
        <v>0</v>
      </c>
      <c r="S24" s="31">
        <v>1</v>
      </c>
      <c r="T24" s="31">
        <v>1</v>
      </c>
      <c r="U24" s="31">
        <v>2</v>
      </c>
      <c r="V24" s="31">
        <v>1</v>
      </c>
      <c r="W24" s="31">
        <v>0</v>
      </c>
      <c r="X24" s="31">
        <v>1</v>
      </c>
      <c r="Y24" s="31">
        <v>0</v>
      </c>
      <c r="Z24" s="31">
        <v>1</v>
      </c>
      <c r="AA24" s="31">
        <v>1</v>
      </c>
      <c r="AB24" s="31">
        <v>1</v>
      </c>
      <c r="AC24" s="31">
        <v>2</v>
      </c>
      <c r="AD24" s="31">
        <v>2</v>
      </c>
      <c r="AE24" s="31">
        <v>2</v>
      </c>
      <c r="AF24" s="31">
        <v>0</v>
      </c>
      <c r="AG24" s="31">
        <v>2</v>
      </c>
      <c r="AH24" s="31">
        <v>1</v>
      </c>
      <c r="AI24" s="31">
        <v>0</v>
      </c>
      <c r="AJ24" s="31">
        <v>0</v>
      </c>
      <c r="AK24" s="31">
        <v>1</v>
      </c>
      <c r="AL24" s="31">
        <v>4</v>
      </c>
      <c r="AM24" s="31">
        <f t="shared" si="1"/>
        <v>33</v>
      </c>
      <c r="AN24" s="31">
        <v>1</v>
      </c>
    </row>
    <row r="25" spans="1:40" x14ac:dyDescent="0.2">
      <c r="A25" s="112" t="s">
        <v>319</v>
      </c>
      <c r="B25" s="31">
        <v>1</v>
      </c>
      <c r="C25" s="31">
        <v>1</v>
      </c>
      <c r="D25" s="31">
        <v>1</v>
      </c>
      <c r="E25" s="31">
        <v>240</v>
      </c>
      <c r="F25" s="31">
        <v>0</v>
      </c>
      <c r="G25" s="31">
        <v>1</v>
      </c>
      <c r="H25" s="31">
        <v>0</v>
      </c>
      <c r="I25" s="31">
        <v>0</v>
      </c>
      <c r="J25" s="31">
        <v>2</v>
      </c>
      <c r="K25" s="31">
        <v>1</v>
      </c>
      <c r="L25" s="31">
        <v>1</v>
      </c>
      <c r="M25" s="31">
        <v>0</v>
      </c>
      <c r="N25" s="31">
        <v>2</v>
      </c>
      <c r="O25" s="31">
        <v>0</v>
      </c>
      <c r="P25" s="31">
        <v>1</v>
      </c>
      <c r="Q25" s="31">
        <v>0</v>
      </c>
      <c r="R25" s="31">
        <v>1</v>
      </c>
      <c r="S25" s="31">
        <v>1</v>
      </c>
      <c r="T25" s="31">
        <v>3</v>
      </c>
      <c r="U25" s="31">
        <v>0</v>
      </c>
      <c r="V25" s="31">
        <v>1</v>
      </c>
      <c r="W25" s="31">
        <v>0</v>
      </c>
      <c r="X25" s="31">
        <v>0</v>
      </c>
      <c r="Y25" s="31">
        <v>0</v>
      </c>
      <c r="Z25" s="31">
        <v>0</v>
      </c>
      <c r="AA25" s="31">
        <v>0</v>
      </c>
      <c r="AB25" s="31">
        <v>0</v>
      </c>
      <c r="AC25" s="31">
        <v>2</v>
      </c>
      <c r="AD25" s="31">
        <v>2</v>
      </c>
      <c r="AE25" s="31">
        <v>0</v>
      </c>
      <c r="AF25" s="31">
        <v>0</v>
      </c>
      <c r="AG25" s="31">
        <v>0</v>
      </c>
      <c r="AH25" s="31">
        <v>2</v>
      </c>
      <c r="AI25" s="31">
        <v>0</v>
      </c>
      <c r="AJ25" s="31">
        <v>0</v>
      </c>
      <c r="AK25" s="31">
        <v>0</v>
      </c>
      <c r="AL25" s="31">
        <v>4</v>
      </c>
      <c r="AM25" s="31">
        <f t="shared" si="1"/>
        <v>24</v>
      </c>
      <c r="AN25" s="31">
        <v>1</v>
      </c>
    </row>
    <row r="26" spans="1:40" x14ac:dyDescent="0.2">
      <c r="A26" s="112" t="s">
        <v>489</v>
      </c>
      <c r="B26" s="31">
        <v>1</v>
      </c>
      <c r="C26" s="31">
        <v>1</v>
      </c>
      <c r="D26" s="31">
        <v>1</v>
      </c>
      <c r="E26" s="31">
        <v>90</v>
      </c>
      <c r="F26" s="31">
        <v>2</v>
      </c>
      <c r="G26" s="31">
        <v>2</v>
      </c>
      <c r="H26" s="31">
        <v>0</v>
      </c>
      <c r="I26" s="31">
        <v>0</v>
      </c>
      <c r="J26" s="31">
        <v>0</v>
      </c>
      <c r="K26" s="31">
        <v>1</v>
      </c>
      <c r="L26" s="31">
        <v>1</v>
      </c>
      <c r="M26" s="31">
        <v>1</v>
      </c>
      <c r="N26" s="31">
        <v>1</v>
      </c>
      <c r="O26" s="31">
        <v>1</v>
      </c>
      <c r="P26" s="31">
        <v>1</v>
      </c>
      <c r="Q26" s="31">
        <v>1</v>
      </c>
      <c r="R26" s="31">
        <v>1</v>
      </c>
      <c r="S26" s="31">
        <v>1</v>
      </c>
      <c r="T26" s="31">
        <v>1</v>
      </c>
      <c r="U26" s="31">
        <v>1</v>
      </c>
      <c r="V26" s="31">
        <v>1</v>
      </c>
      <c r="W26" s="31">
        <v>2</v>
      </c>
      <c r="X26" s="31">
        <v>2</v>
      </c>
      <c r="Y26" s="31">
        <v>0</v>
      </c>
      <c r="Z26" s="31">
        <v>1</v>
      </c>
      <c r="AA26" s="31">
        <v>4</v>
      </c>
      <c r="AB26" s="31">
        <v>2</v>
      </c>
      <c r="AC26" s="31">
        <v>0</v>
      </c>
      <c r="AD26" s="31">
        <v>0</v>
      </c>
      <c r="AE26" s="31">
        <v>0</v>
      </c>
      <c r="AF26" s="31">
        <v>0</v>
      </c>
      <c r="AG26" s="31">
        <v>0</v>
      </c>
      <c r="AH26" s="31">
        <v>0</v>
      </c>
      <c r="AI26" s="31">
        <v>0</v>
      </c>
      <c r="AJ26" s="31">
        <v>0</v>
      </c>
      <c r="AK26" s="31">
        <v>0</v>
      </c>
      <c r="AL26" s="31">
        <v>0</v>
      </c>
      <c r="AM26" s="31">
        <f t="shared" si="1"/>
        <v>27</v>
      </c>
      <c r="AN26" s="31">
        <v>3</v>
      </c>
    </row>
    <row r="27" spans="1:40" x14ac:dyDescent="0.2">
      <c r="A27" s="112" t="s">
        <v>320</v>
      </c>
      <c r="B27" s="31">
        <v>1</v>
      </c>
      <c r="C27" s="31">
        <v>1</v>
      </c>
      <c r="D27" s="31">
        <v>1</v>
      </c>
      <c r="E27" s="26">
        <v>60</v>
      </c>
      <c r="F27" s="26">
        <v>2</v>
      </c>
      <c r="G27" s="26">
        <v>2</v>
      </c>
      <c r="H27" s="26">
        <v>0</v>
      </c>
      <c r="I27" s="26">
        <v>1</v>
      </c>
      <c r="J27" s="26">
        <v>1</v>
      </c>
      <c r="K27" s="26">
        <v>0</v>
      </c>
      <c r="L27" s="26">
        <v>0</v>
      </c>
      <c r="M27" s="26">
        <v>0</v>
      </c>
      <c r="N27" s="26">
        <v>1</v>
      </c>
      <c r="O27" s="26">
        <v>0</v>
      </c>
      <c r="P27" s="26">
        <v>1</v>
      </c>
      <c r="Q27" s="26">
        <v>2</v>
      </c>
      <c r="R27" s="26">
        <v>2</v>
      </c>
      <c r="S27" s="26">
        <v>1</v>
      </c>
      <c r="T27" s="26">
        <v>1</v>
      </c>
      <c r="U27" s="26">
        <v>0</v>
      </c>
      <c r="V27" s="26">
        <v>0</v>
      </c>
      <c r="W27" s="26">
        <v>1</v>
      </c>
      <c r="X27" s="26">
        <v>3</v>
      </c>
      <c r="Y27" s="26">
        <v>0</v>
      </c>
      <c r="Z27" s="26">
        <v>2</v>
      </c>
      <c r="AA27" s="26">
        <v>1</v>
      </c>
      <c r="AB27" s="26">
        <v>2</v>
      </c>
      <c r="AC27" s="26">
        <v>0</v>
      </c>
      <c r="AD27" s="26">
        <v>0</v>
      </c>
      <c r="AE27" s="26">
        <v>0</v>
      </c>
      <c r="AF27" s="26">
        <v>0</v>
      </c>
      <c r="AG27" s="26">
        <v>0</v>
      </c>
      <c r="AH27" s="26">
        <v>0</v>
      </c>
      <c r="AI27" s="26">
        <v>0</v>
      </c>
      <c r="AJ27" s="26">
        <v>0</v>
      </c>
      <c r="AK27" s="26">
        <v>0</v>
      </c>
      <c r="AL27" s="26">
        <v>0</v>
      </c>
      <c r="AM27" s="31">
        <f t="shared" si="1"/>
        <v>23</v>
      </c>
      <c r="AN27" s="26">
        <v>2</v>
      </c>
    </row>
    <row r="28" spans="1:40" x14ac:dyDescent="0.2">
      <c r="A28" s="112" t="s">
        <v>321</v>
      </c>
      <c r="B28" s="31">
        <v>1</v>
      </c>
      <c r="C28" s="31">
        <v>1</v>
      </c>
      <c r="D28" s="31">
        <v>1</v>
      </c>
      <c r="E28" s="31">
        <v>60</v>
      </c>
      <c r="F28" s="31">
        <v>3</v>
      </c>
      <c r="G28" s="31">
        <v>2</v>
      </c>
      <c r="H28" s="31">
        <v>0</v>
      </c>
      <c r="I28" s="31">
        <v>2</v>
      </c>
      <c r="J28" s="31">
        <v>1</v>
      </c>
      <c r="K28" s="31">
        <v>1</v>
      </c>
      <c r="L28" s="31">
        <v>1</v>
      </c>
      <c r="M28" s="31">
        <v>2</v>
      </c>
      <c r="N28" s="31">
        <v>2</v>
      </c>
      <c r="O28" s="31">
        <v>2</v>
      </c>
      <c r="P28" s="31">
        <v>2</v>
      </c>
      <c r="Q28" s="31">
        <v>2</v>
      </c>
      <c r="R28" s="31">
        <v>2</v>
      </c>
      <c r="S28" s="31">
        <v>2</v>
      </c>
      <c r="T28" s="31">
        <v>2</v>
      </c>
      <c r="U28" s="31">
        <v>2</v>
      </c>
      <c r="V28" s="31">
        <v>2</v>
      </c>
      <c r="W28" s="31">
        <v>2</v>
      </c>
      <c r="X28" s="31">
        <v>2</v>
      </c>
      <c r="Y28" s="31">
        <v>0</v>
      </c>
      <c r="Z28" s="31">
        <v>1</v>
      </c>
      <c r="AA28" s="31">
        <v>2</v>
      </c>
      <c r="AB28" s="31">
        <v>3</v>
      </c>
      <c r="AC28" s="31">
        <v>1</v>
      </c>
      <c r="AD28" s="31">
        <v>1</v>
      </c>
      <c r="AE28" s="31">
        <v>0</v>
      </c>
      <c r="AF28" s="31">
        <v>1</v>
      </c>
      <c r="AG28" s="31">
        <v>0</v>
      </c>
      <c r="AH28" s="31">
        <v>1</v>
      </c>
      <c r="AI28" s="31">
        <v>0</v>
      </c>
      <c r="AJ28" s="31">
        <v>0</v>
      </c>
      <c r="AK28" s="31">
        <v>0</v>
      </c>
      <c r="AL28" s="31">
        <v>1</v>
      </c>
      <c r="AM28" s="31">
        <f t="shared" ref="AM28:AM46" si="2">SUM(F28:AL28)</f>
        <v>45</v>
      </c>
      <c r="AN28" s="179">
        <v>2</v>
      </c>
    </row>
    <row r="29" spans="1:40" x14ac:dyDescent="0.2">
      <c r="A29" s="112" t="s">
        <v>322</v>
      </c>
      <c r="B29" s="31">
        <v>1</v>
      </c>
      <c r="C29" s="31">
        <v>1</v>
      </c>
      <c r="D29" s="31">
        <v>0</v>
      </c>
      <c r="E29" s="31"/>
      <c r="F29" s="31">
        <v>2</v>
      </c>
      <c r="G29" s="31">
        <v>2</v>
      </c>
      <c r="H29" s="31">
        <v>0</v>
      </c>
      <c r="I29" s="31">
        <v>2</v>
      </c>
      <c r="J29" s="31">
        <v>1</v>
      </c>
      <c r="K29" s="31">
        <v>0</v>
      </c>
      <c r="L29" s="31">
        <v>0</v>
      </c>
      <c r="M29" s="31">
        <v>2</v>
      </c>
      <c r="N29" s="31">
        <v>1</v>
      </c>
      <c r="O29" s="31">
        <v>2</v>
      </c>
      <c r="P29" s="31">
        <v>1</v>
      </c>
      <c r="Q29" s="31">
        <v>2</v>
      </c>
      <c r="R29" s="31">
        <v>2</v>
      </c>
      <c r="S29" s="31">
        <v>2</v>
      </c>
      <c r="T29" s="31">
        <v>2</v>
      </c>
      <c r="U29" s="31">
        <v>1</v>
      </c>
      <c r="V29" s="31">
        <v>2</v>
      </c>
      <c r="W29" s="31">
        <v>0</v>
      </c>
      <c r="X29" s="31">
        <v>1</v>
      </c>
      <c r="Y29" s="31">
        <v>0</v>
      </c>
      <c r="Z29" s="31">
        <v>2</v>
      </c>
      <c r="AA29" s="31">
        <v>1</v>
      </c>
      <c r="AB29" s="31">
        <v>2</v>
      </c>
      <c r="AC29" s="31">
        <v>2</v>
      </c>
      <c r="AD29" s="31">
        <v>2</v>
      </c>
      <c r="AE29" s="31">
        <v>2</v>
      </c>
      <c r="AF29" s="31">
        <v>0</v>
      </c>
      <c r="AG29" s="31">
        <v>2</v>
      </c>
      <c r="AH29" s="31">
        <v>0</v>
      </c>
      <c r="AI29" s="31">
        <v>0</v>
      </c>
      <c r="AJ29" s="31">
        <v>0</v>
      </c>
      <c r="AK29" s="31">
        <v>0</v>
      </c>
      <c r="AL29" s="31">
        <v>3</v>
      </c>
      <c r="AM29" s="31">
        <f t="shared" si="2"/>
        <v>41</v>
      </c>
      <c r="AN29" s="31">
        <v>1</v>
      </c>
    </row>
    <row r="30" spans="1:40" x14ac:dyDescent="0.2">
      <c r="A30" s="112" t="s">
        <v>323</v>
      </c>
      <c r="B30" s="31">
        <v>1</v>
      </c>
      <c r="C30" s="31">
        <v>1</v>
      </c>
      <c r="D30" s="26">
        <v>0</v>
      </c>
      <c r="E30" s="26"/>
      <c r="F30" s="26">
        <v>2</v>
      </c>
      <c r="G30" s="26">
        <v>3</v>
      </c>
      <c r="H30" s="26">
        <v>0</v>
      </c>
      <c r="I30" s="26">
        <v>2</v>
      </c>
      <c r="J30" s="26">
        <v>1</v>
      </c>
      <c r="K30" s="26">
        <v>1</v>
      </c>
      <c r="L30" s="26">
        <v>1</v>
      </c>
      <c r="M30" s="26">
        <v>2</v>
      </c>
      <c r="N30" s="26">
        <v>3</v>
      </c>
      <c r="O30" s="26">
        <v>2</v>
      </c>
      <c r="P30" s="26">
        <v>3</v>
      </c>
      <c r="Q30" s="26">
        <v>2</v>
      </c>
      <c r="R30" s="26">
        <v>3</v>
      </c>
      <c r="S30" s="26">
        <v>1</v>
      </c>
      <c r="T30" s="26">
        <v>2</v>
      </c>
      <c r="U30" s="26">
        <v>1</v>
      </c>
      <c r="V30" s="26">
        <v>2</v>
      </c>
      <c r="W30" s="26">
        <v>3</v>
      </c>
      <c r="X30" s="26">
        <v>3</v>
      </c>
      <c r="Y30" s="26">
        <v>0</v>
      </c>
      <c r="Z30" s="26">
        <v>3</v>
      </c>
      <c r="AA30" s="26">
        <v>3</v>
      </c>
      <c r="AB30" s="26">
        <v>3</v>
      </c>
      <c r="AC30" s="26">
        <v>0</v>
      </c>
      <c r="AD30" s="26">
        <v>0</v>
      </c>
      <c r="AE30" s="26">
        <v>0</v>
      </c>
      <c r="AF30" s="26">
        <v>0</v>
      </c>
      <c r="AG30" s="26">
        <v>0</v>
      </c>
      <c r="AH30" s="26">
        <v>0</v>
      </c>
      <c r="AI30" s="26">
        <v>0</v>
      </c>
      <c r="AJ30" s="26">
        <v>0</v>
      </c>
      <c r="AK30" s="26">
        <v>0</v>
      </c>
      <c r="AL30" s="26">
        <v>0</v>
      </c>
      <c r="AM30" s="26">
        <f t="shared" si="2"/>
        <v>46</v>
      </c>
      <c r="AN30" s="26">
        <v>4</v>
      </c>
    </row>
    <row r="31" spans="1:40" x14ac:dyDescent="0.2">
      <c r="A31" s="112" t="s">
        <v>324</v>
      </c>
      <c r="B31" s="31">
        <v>1</v>
      </c>
      <c r="C31" s="31">
        <v>1</v>
      </c>
      <c r="D31" s="26">
        <v>0</v>
      </c>
      <c r="E31" s="26"/>
      <c r="F31" s="26">
        <v>1</v>
      </c>
      <c r="G31" s="26">
        <v>1</v>
      </c>
      <c r="H31" s="26">
        <v>0</v>
      </c>
      <c r="I31" s="26">
        <v>1</v>
      </c>
      <c r="J31" s="26">
        <v>0</v>
      </c>
      <c r="K31" s="26">
        <v>0</v>
      </c>
      <c r="L31" s="26">
        <v>0</v>
      </c>
      <c r="M31" s="26">
        <v>2</v>
      </c>
      <c r="N31" s="26">
        <v>1</v>
      </c>
      <c r="O31" s="26">
        <v>2</v>
      </c>
      <c r="P31" s="26">
        <v>2</v>
      </c>
      <c r="Q31" s="26">
        <v>1</v>
      </c>
      <c r="R31" s="26">
        <v>1</v>
      </c>
      <c r="S31" s="26">
        <v>2</v>
      </c>
      <c r="T31" s="26">
        <v>2</v>
      </c>
      <c r="U31" s="26">
        <v>1</v>
      </c>
      <c r="V31" s="26">
        <v>2</v>
      </c>
      <c r="W31" s="26">
        <v>1</v>
      </c>
      <c r="X31" s="26">
        <v>1</v>
      </c>
      <c r="Y31" s="26">
        <v>0</v>
      </c>
      <c r="Z31" s="26">
        <v>2</v>
      </c>
      <c r="AA31" s="26">
        <v>1</v>
      </c>
      <c r="AB31" s="26">
        <v>2</v>
      </c>
      <c r="AC31" s="26">
        <v>2</v>
      </c>
      <c r="AD31" s="26">
        <v>2</v>
      </c>
      <c r="AE31" s="26">
        <v>2</v>
      </c>
      <c r="AF31" s="26">
        <v>0</v>
      </c>
      <c r="AG31" s="26">
        <v>2</v>
      </c>
      <c r="AH31" s="26">
        <v>0</v>
      </c>
      <c r="AI31" s="26">
        <v>0</v>
      </c>
      <c r="AJ31" s="26">
        <v>0</v>
      </c>
      <c r="AK31" s="26">
        <v>0</v>
      </c>
      <c r="AL31" s="26">
        <v>3</v>
      </c>
      <c r="AM31" s="26">
        <f t="shared" si="2"/>
        <v>37</v>
      </c>
      <c r="AN31" s="26">
        <v>1</v>
      </c>
    </row>
    <row r="32" spans="1:40" x14ac:dyDescent="0.2">
      <c r="A32" s="112" t="s">
        <v>325</v>
      </c>
      <c r="B32" s="31">
        <v>1</v>
      </c>
      <c r="C32" s="31">
        <v>1</v>
      </c>
      <c r="D32" s="31">
        <v>1</v>
      </c>
      <c r="E32" s="26">
        <v>60</v>
      </c>
      <c r="F32" s="26">
        <v>3</v>
      </c>
      <c r="G32" s="26">
        <v>3</v>
      </c>
      <c r="H32" s="26">
        <v>1</v>
      </c>
      <c r="I32" s="26">
        <v>0</v>
      </c>
      <c r="J32" s="26">
        <v>3</v>
      </c>
      <c r="K32" s="26">
        <v>2</v>
      </c>
      <c r="L32" s="26">
        <v>3</v>
      </c>
      <c r="M32" s="26">
        <v>1</v>
      </c>
      <c r="N32" s="26">
        <v>2</v>
      </c>
      <c r="O32" s="26">
        <v>2</v>
      </c>
      <c r="P32" s="26">
        <v>3</v>
      </c>
      <c r="Q32" s="26">
        <v>2</v>
      </c>
      <c r="R32" s="26">
        <v>3</v>
      </c>
      <c r="S32" s="26">
        <v>3</v>
      </c>
      <c r="T32" s="26">
        <v>3</v>
      </c>
      <c r="U32" s="26">
        <v>3</v>
      </c>
      <c r="V32" s="26">
        <v>3</v>
      </c>
      <c r="W32" s="26">
        <v>3</v>
      </c>
      <c r="X32" s="26">
        <v>3</v>
      </c>
      <c r="Y32" s="26">
        <v>1</v>
      </c>
      <c r="Z32" s="26">
        <v>3</v>
      </c>
      <c r="AA32" s="26">
        <v>3</v>
      </c>
      <c r="AB32" s="26">
        <v>2</v>
      </c>
      <c r="AC32" s="26">
        <v>0</v>
      </c>
      <c r="AD32" s="26">
        <v>0</v>
      </c>
      <c r="AE32" s="26">
        <v>0</v>
      </c>
      <c r="AF32" s="26">
        <v>0</v>
      </c>
      <c r="AG32" s="26">
        <v>0</v>
      </c>
      <c r="AH32" s="26">
        <v>0</v>
      </c>
      <c r="AI32" s="26">
        <v>0</v>
      </c>
      <c r="AJ32" s="26">
        <v>0</v>
      </c>
      <c r="AK32" s="26">
        <v>0</v>
      </c>
      <c r="AL32" s="26">
        <v>0</v>
      </c>
      <c r="AM32" s="26">
        <f t="shared" si="2"/>
        <v>55</v>
      </c>
      <c r="AN32" s="26">
        <v>4</v>
      </c>
    </row>
    <row r="33" spans="1:40" x14ac:dyDescent="0.2">
      <c r="A33" s="113" t="s">
        <v>326</v>
      </c>
      <c r="B33" s="31">
        <v>1</v>
      </c>
      <c r="C33" s="185">
        <v>0</v>
      </c>
      <c r="D33" s="31">
        <v>1</v>
      </c>
      <c r="E33" s="185">
        <v>10</v>
      </c>
      <c r="F33" s="185">
        <v>1</v>
      </c>
      <c r="G33" s="185">
        <v>2</v>
      </c>
      <c r="H33" s="185">
        <v>3</v>
      </c>
      <c r="I33" s="185">
        <v>2</v>
      </c>
      <c r="J33" s="185">
        <v>2</v>
      </c>
      <c r="K33" s="185">
        <v>0</v>
      </c>
      <c r="L33" s="185">
        <v>1</v>
      </c>
      <c r="M33" s="185">
        <v>3</v>
      </c>
      <c r="N33" s="185">
        <v>2</v>
      </c>
      <c r="O33" s="185">
        <v>3</v>
      </c>
      <c r="P33" s="185">
        <v>3</v>
      </c>
      <c r="Q33" s="185">
        <v>2</v>
      </c>
      <c r="R33" s="185">
        <v>3</v>
      </c>
      <c r="S33" s="185">
        <v>4</v>
      </c>
      <c r="T33" s="185">
        <v>4</v>
      </c>
      <c r="U33" s="185">
        <v>4</v>
      </c>
      <c r="V33" s="185">
        <v>3</v>
      </c>
      <c r="W33" s="185">
        <v>3</v>
      </c>
      <c r="X33" s="185">
        <v>4</v>
      </c>
      <c r="Y33" s="185">
        <v>1</v>
      </c>
      <c r="Z33" s="185">
        <v>4</v>
      </c>
      <c r="AA33" s="185">
        <v>2</v>
      </c>
      <c r="AB33" s="185">
        <v>3</v>
      </c>
      <c r="AC33" s="185">
        <v>1</v>
      </c>
      <c r="AD33" s="185">
        <v>0</v>
      </c>
      <c r="AE33" s="185">
        <v>1</v>
      </c>
      <c r="AF33" s="185">
        <v>2</v>
      </c>
      <c r="AG33" s="185">
        <v>0</v>
      </c>
      <c r="AH33" s="185">
        <v>0</v>
      </c>
      <c r="AI33" s="185">
        <v>0</v>
      </c>
      <c r="AJ33" s="185">
        <v>0</v>
      </c>
      <c r="AK33" s="185">
        <v>0</v>
      </c>
      <c r="AL33" s="185">
        <v>0</v>
      </c>
      <c r="AM33" s="26">
        <f t="shared" si="2"/>
        <v>63</v>
      </c>
      <c r="AN33" s="185">
        <v>0</v>
      </c>
    </row>
    <row r="34" spans="1:40" x14ac:dyDescent="0.2">
      <c r="A34" s="112" t="s">
        <v>327</v>
      </c>
      <c r="B34" s="31">
        <v>1</v>
      </c>
      <c r="C34" s="31">
        <v>1</v>
      </c>
      <c r="D34" s="26"/>
      <c r="E34" s="26"/>
      <c r="F34" s="26">
        <v>1</v>
      </c>
      <c r="G34" s="26">
        <v>1</v>
      </c>
      <c r="H34" s="26">
        <v>0</v>
      </c>
      <c r="I34" s="26">
        <v>1</v>
      </c>
      <c r="J34" s="26">
        <v>0</v>
      </c>
      <c r="K34" s="26">
        <v>0</v>
      </c>
      <c r="L34" s="26">
        <v>0</v>
      </c>
      <c r="M34" s="26">
        <v>1</v>
      </c>
      <c r="N34" s="26">
        <v>0</v>
      </c>
      <c r="O34" s="26">
        <v>0</v>
      </c>
      <c r="P34" s="26">
        <v>0</v>
      </c>
      <c r="Q34" s="26">
        <v>2</v>
      </c>
      <c r="R34" s="26">
        <v>0</v>
      </c>
      <c r="S34" s="26">
        <v>1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  <c r="Z34" s="26">
        <v>0</v>
      </c>
      <c r="AA34" s="26">
        <v>0</v>
      </c>
      <c r="AB34" s="26">
        <v>2</v>
      </c>
      <c r="AC34" s="26">
        <v>3</v>
      </c>
      <c r="AD34" s="26">
        <v>3</v>
      </c>
      <c r="AE34" s="26">
        <v>3</v>
      </c>
      <c r="AF34" s="26">
        <v>0</v>
      </c>
      <c r="AG34" s="26">
        <v>3</v>
      </c>
      <c r="AH34" s="26">
        <v>0</v>
      </c>
      <c r="AI34" s="26">
        <v>0</v>
      </c>
      <c r="AJ34" s="26">
        <v>0</v>
      </c>
      <c r="AK34" s="26">
        <v>0</v>
      </c>
      <c r="AL34" s="26">
        <v>3</v>
      </c>
      <c r="AM34" s="26">
        <f t="shared" si="2"/>
        <v>24</v>
      </c>
      <c r="AN34" s="26">
        <v>1</v>
      </c>
    </row>
    <row r="35" spans="1:40" ht="16" x14ac:dyDescent="0.2">
      <c r="A35" s="112" t="s">
        <v>328</v>
      </c>
      <c r="B35" s="31">
        <v>1</v>
      </c>
      <c r="C35" s="31">
        <v>1</v>
      </c>
      <c r="D35" s="31">
        <v>1</v>
      </c>
      <c r="E35" s="189">
        <v>180</v>
      </c>
      <c r="F35" s="189">
        <v>2</v>
      </c>
      <c r="G35" s="189">
        <v>1</v>
      </c>
      <c r="H35" s="189">
        <v>1</v>
      </c>
      <c r="I35" s="189">
        <v>1</v>
      </c>
      <c r="J35" s="189">
        <v>3</v>
      </c>
      <c r="K35" s="189">
        <v>2</v>
      </c>
      <c r="L35" s="189">
        <v>3</v>
      </c>
      <c r="M35" s="189">
        <v>0</v>
      </c>
      <c r="N35" s="189">
        <v>0</v>
      </c>
      <c r="O35" s="189">
        <v>1</v>
      </c>
      <c r="P35" s="189">
        <v>1</v>
      </c>
      <c r="Q35" s="189">
        <v>1</v>
      </c>
      <c r="R35" s="189">
        <v>1</v>
      </c>
      <c r="S35" s="189">
        <v>0</v>
      </c>
      <c r="T35" s="189">
        <v>0</v>
      </c>
      <c r="U35" s="189">
        <v>1</v>
      </c>
      <c r="V35" s="189">
        <v>1</v>
      </c>
      <c r="W35" s="189">
        <v>2</v>
      </c>
      <c r="X35" s="189">
        <v>3</v>
      </c>
      <c r="Y35" s="189">
        <v>3</v>
      </c>
      <c r="Z35" s="189">
        <v>2</v>
      </c>
      <c r="AA35" s="189">
        <v>1</v>
      </c>
      <c r="AB35" s="189">
        <v>1</v>
      </c>
      <c r="AC35" s="189">
        <v>1</v>
      </c>
      <c r="AD35" s="189">
        <v>1</v>
      </c>
      <c r="AE35" s="189">
        <v>1</v>
      </c>
      <c r="AF35" s="189">
        <v>1</v>
      </c>
      <c r="AG35" s="189">
        <v>1</v>
      </c>
      <c r="AH35" s="189">
        <v>1</v>
      </c>
      <c r="AI35" s="189">
        <v>1</v>
      </c>
      <c r="AJ35" s="189">
        <v>1</v>
      </c>
      <c r="AK35" s="189">
        <v>0</v>
      </c>
      <c r="AL35" s="189">
        <v>1</v>
      </c>
      <c r="AM35" s="26">
        <f t="shared" si="2"/>
        <v>40</v>
      </c>
      <c r="AN35" s="189">
        <v>3</v>
      </c>
    </row>
    <row r="36" spans="1:40" x14ac:dyDescent="0.2">
      <c r="A36" s="112" t="s">
        <v>329</v>
      </c>
      <c r="B36" s="31">
        <v>1</v>
      </c>
      <c r="C36" s="31">
        <v>1</v>
      </c>
      <c r="D36" s="31">
        <v>1</v>
      </c>
      <c r="E36" s="26">
        <v>20</v>
      </c>
      <c r="F36" s="26">
        <v>3</v>
      </c>
      <c r="G36" s="26">
        <v>3</v>
      </c>
      <c r="H36" s="26">
        <v>0</v>
      </c>
      <c r="I36" s="26">
        <v>2</v>
      </c>
      <c r="J36" s="26">
        <v>1</v>
      </c>
      <c r="K36" s="26">
        <v>0</v>
      </c>
      <c r="L36" s="26">
        <v>0</v>
      </c>
      <c r="M36" s="26">
        <v>1</v>
      </c>
      <c r="N36" s="26">
        <v>2</v>
      </c>
      <c r="O36" s="26">
        <v>1</v>
      </c>
      <c r="P36" s="26">
        <v>2</v>
      </c>
      <c r="Q36" s="26">
        <v>3</v>
      </c>
      <c r="R36" s="26">
        <v>3</v>
      </c>
      <c r="S36" s="26">
        <v>3</v>
      </c>
      <c r="T36" s="26">
        <v>3</v>
      </c>
      <c r="U36" s="26">
        <v>3</v>
      </c>
      <c r="V36" s="26">
        <v>3</v>
      </c>
      <c r="W36" s="26">
        <v>4</v>
      </c>
      <c r="X36" s="26">
        <v>3</v>
      </c>
      <c r="Y36" s="26">
        <v>0</v>
      </c>
      <c r="Z36" s="26">
        <v>4</v>
      </c>
      <c r="AA36" s="26">
        <v>2</v>
      </c>
      <c r="AB36" s="26">
        <v>2</v>
      </c>
      <c r="AC36" s="26">
        <v>0</v>
      </c>
      <c r="AD36" s="26">
        <v>0</v>
      </c>
      <c r="AE36" s="26">
        <v>0</v>
      </c>
      <c r="AF36" s="26">
        <v>0</v>
      </c>
      <c r="AG36" s="26">
        <v>0</v>
      </c>
      <c r="AH36" s="26">
        <v>0</v>
      </c>
      <c r="AI36" s="26">
        <v>0</v>
      </c>
      <c r="AJ36" s="26">
        <v>0</v>
      </c>
      <c r="AK36" s="26">
        <v>0</v>
      </c>
      <c r="AL36" s="26">
        <v>0</v>
      </c>
      <c r="AM36" s="26">
        <f t="shared" si="2"/>
        <v>48</v>
      </c>
      <c r="AN36" s="26">
        <v>4</v>
      </c>
    </row>
    <row r="37" spans="1:40" x14ac:dyDescent="0.2">
      <c r="A37" s="112" t="s">
        <v>330</v>
      </c>
      <c r="B37" s="31">
        <v>1</v>
      </c>
      <c r="C37" s="31">
        <v>1</v>
      </c>
      <c r="D37" s="31">
        <v>1</v>
      </c>
      <c r="E37" s="10">
        <v>90</v>
      </c>
      <c r="F37" s="10">
        <v>1</v>
      </c>
      <c r="G37" s="10">
        <v>1</v>
      </c>
      <c r="H37" s="10">
        <v>0</v>
      </c>
      <c r="I37" s="10">
        <v>0</v>
      </c>
      <c r="J37" s="10">
        <v>1</v>
      </c>
      <c r="K37" s="10">
        <v>0</v>
      </c>
      <c r="L37" s="10">
        <v>1</v>
      </c>
      <c r="M37" s="10">
        <v>1</v>
      </c>
      <c r="N37" s="10">
        <v>2</v>
      </c>
      <c r="O37" s="10">
        <v>1</v>
      </c>
      <c r="P37" s="10">
        <v>2</v>
      </c>
      <c r="Q37" s="10">
        <v>1</v>
      </c>
      <c r="R37" s="10">
        <v>2</v>
      </c>
      <c r="S37" s="10">
        <v>2</v>
      </c>
      <c r="T37" s="10">
        <v>1</v>
      </c>
      <c r="U37" s="10">
        <v>1</v>
      </c>
      <c r="V37" s="10">
        <v>2</v>
      </c>
      <c r="W37" s="10">
        <v>0</v>
      </c>
      <c r="X37" s="10">
        <v>0</v>
      </c>
      <c r="Y37" s="10">
        <v>0</v>
      </c>
      <c r="Z37" s="10">
        <v>0</v>
      </c>
      <c r="AA37" s="10">
        <v>1</v>
      </c>
      <c r="AB37" s="10">
        <v>1</v>
      </c>
      <c r="AC37" s="10">
        <v>0</v>
      </c>
      <c r="AD37" s="10">
        <v>1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1</v>
      </c>
      <c r="AK37" s="10">
        <v>0</v>
      </c>
      <c r="AL37" s="10">
        <v>0</v>
      </c>
      <c r="AM37" s="26">
        <f t="shared" si="2"/>
        <v>23</v>
      </c>
      <c r="AN37" s="10">
        <v>1</v>
      </c>
    </row>
    <row r="38" spans="1:40" x14ac:dyDescent="0.2">
      <c r="A38" s="112" t="s">
        <v>331</v>
      </c>
      <c r="B38" s="31">
        <v>1</v>
      </c>
      <c r="C38" s="31">
        <v>1</v>
      </c>
      <c r="D38" s="31">
        <v>1</v>
      </c>
      <c r="E38" s="26">
        <v>150</v>
      </c>
      <c r="F38" s="26">
        <v>1</v>
      </c>
      <c r="G38" s="26">
        <v>1</v>
      </c>
      <c r="H38" s="26">
        <v>0</v>
      </c>
      <c r="I38" s="26">
        <v>0</v>
      </c>
      <c r="J38" s="26">
        <v>2</v>
      </c>
      <c r="K38" s="26">
        <v>0</v>
      </c>
      <c r="L38" s="26">
        <v>2</v>
      </c>
      <c r="M38" s="26">
        <v>1</v>
      </c>
      <c r="N38" s="26">
        <v>2</v>
      </c>
      <c r="O38" s="26">
        <v>1</v>
      </c>
      <c r="P38" s="26">
        <v>1</v>
      </c>
      <c r="Q38" s="26">
        <v>1</v>
      </c>
      <c r="R38" s="26">
        <v>1</v>
      </c>
      <c r="S38" s="26">
        <v>1</v>
      </c>
      <c r="T38" s="26">
        <v>3</v>
      </c>
      <c r="U38" s="26">
        <v>1</v>
      </c>
      <c r="V38" s="26">
        <v>1</v>
      </c>
      <c r="W38" s="26">
        <v>2</v>
      </c>
      <c r="X38" s="26">
        <v>3</v>
      </c>
      <c r="Y38" s="26">
        <v>0</v>
      </c>
      <c r="Z38" s="26">
        <v>2</v>
      </c>
      <c r="AA38" s="26">
        <v>2</v>
      </c>
      <c r="AB38" s="26">
        <v>2</v>
      </c>
      <c r="AC38" s="26">
        <v>0</v>
      </c>
      <c r="AD38" s="26">
        <v>0</v>
      </c>
      <c r="AE38" s="26">
        <v>0</v>
      </c>
      <c r="AF38" s="26">
        <v>0</v>
      </c>
      <c r="AG38" s="26">
        <v>0</v>
      </c>
      <c r="AH38" s="26">
        <v>0</v>
      </c>
      <c r="AI38" s="26">
        <v>0</v>
      </c>
      <c r="AJ38" s="26">
        <v>0</v>
      </c>
      <c r="AK38" s="26">
        <v>0</v>
      </c>
      <c r="AL38" s="26">
        <v>0</v>
      </c>
      <c r="AM38" s="26">
        <f t="shared" si="2"/>
        <v>30</v>
      </c>
      <c r="AN38" s="26">
        <v>3</v>
      </c>
    </row>
    <row r="39" spans="1:40" x14ac:dyDescent="0.2">
      <c r="A39" s="112" t="s">
        <v>332</v>
      </c>
      <c r="B39" s="31">
        <v>1</v>
      </c>
      <c r="C39" s="31">
        <v>1</v>
      </c>
      <c r="D39" s="31">
        <v>1</v>
      </c>
      <c r="E39" s="26">
        <v>360</v>
      </c>
      <c r="F39" s="26">
        <v>1</v>
      </c>
      <c r="G39" s="26">
        <v>1</v>
      </c>
      <c r="H39" s="26">
        <v>0</v>
      </c>
      <c r="I39" s="26">
        <v>0</v>
      </c>
      <c r="J39" s="26">
        <v>0</v>
      </c>
      <c r="K39" s="26">
        <v>1</v>
      </c>
      <c r="L39" s="26">
        <v>1</v>
      </c>
      <c r="M39" s="26">
        <v>3</v>
      </c>
      <c r="N39" s="26">
        <v>4</v>
      </c>
      <c r="O39" s="26">
        <v>3</v>
      </c>
      <c r="P39" s="26">
        <v>3</v>
      </c>
      <c r="Q39" s="26">
        <v>3</v>
      </c>
      <c r="R39" s="26">
        <v>3</v>
      </c>
      <c r="S39" s="26">
        <v>3</v>
      </c>
      <c r="T39" s="26">
        <v>4</v>
      </c>
      <c r="U39" s="26">
        <v>3</v>
      </c>
      <c r="V39" s="26">
        <v>4</v>
      </c>
      <c r="W39" s="26">
        <v>3</v>
      </c>
      <c r="X39" s="26">
        <v>4</v>
      </c>
      <c r="Y39" s="26">
        <v>0</v>
      </c>
      <c r="Z39" s="26">
        <v>3</v>
      </c>
      <c r="AA39" s="26">
        <v>2</v>
      </c>
      <c r="AB39" s="26">
        <v>3</v>
      </c>
      <c r="AC39" s="26">
        <v>3</v>
      </c>
      <c r="AD39" s="26">
        <v>3</v>
      </c>
      <c r="AE39" s="26">
        <v>3</v>
      </c>
      <c r="AF39" s="26">
        <v>3</v>
      </c>
      <c r="AG39" s="26">
        <v>3</v>
      </c>
      <c r="AH39" s="26">
        <v>1</v>
      </c>
      <c r="AI39" s="26">
        <v>1</v>
      </c>
      <c r="AJ39" s="26">
        <v>0</v>
      </c>
      <c r="AK39" s="26">
        <v>0</v>
      </c>
      <c r="AL39" s="26">
        <v>4</v>
      </c>
      <c r="AM39" s="26">
        <f t="shared" si="2"/>
        <v>73</v>
      </c>
      <c r="AN39" s="26">
        <v>4</v>
      </c>
    </row>
    <row r="40" spans="1:40" x14ac:dyDescent="0.2">
      <c r="A40" s="112" t="s">
        <v>333</v>
      </c>
      <c r="B40" s="26"/>
      <c r="C40" s="26"/>
      <c r="D40" s="26"/>
      <c r="E40" s="26"/>
      <c r="F40" s="26">
        <v>2</v>
      </c>
      <c r="G40" s="26">
        <v>1</v>
      </c>
      <c r="H40" s="26">
        <v>1</v>
      </c>
      <c r="I40" s="26">
        <v>1</v>
      </c>
      <c r="J40" s="26">
        <v>1</v>
      </c>
      <c r="K40" s="26">
        <v>1</v>
      </c>
      <c r="L40" s="26">
        <v>1</v>
      </c>
      <c r="M40" s="26">
        <v>1</v>
      </c>
      <c r="N40" s="26">
        <v>1</v>
      </c>
      <c r="O40" s="26">
        <v>1</v>
      </c>
      <c r="P40" s="26">
        <v>1</v>
      </c>
      <c r="Q40" s="26">
        <v>1</v>
      </c>
      <c r="R40" s="26">
        <v>1</v>
      </c>
      <c r="S40" s="26">
        <v>1</v>
      </c>
      <c r="T40" s="26">
        <v>1</v>
      </c>
      <c r="U40" s="26">
        <v>1</v>
      </c>
      <c r="V40" s="26">
        <v>1</v>
      </c>
      <c r="W40" s="26">
        <v>3</v>
      </c>
      <c r="X40" s="26">
        <v>3</v>
      </c>
      <c r="Y40" s="26">
        <v>0</v>
      </c>
      <c r="Z40" s="26">
        <v>2</v>
      </c>
      <c r="AA40" s="26">
        <v>2</v>
      </c>
      <c r="AB40" s="26">
        <v>1</v>
      </c>
      <c r="AC40" s="26">
        <v>1</v>
      </c>
      <c r="AD40" s="26">
        <v>1</v>
      </c>
      <c r="AE40" s="26">
        <v>1</v>
      </c>
      <c r="AF40" s="26">
        <v>1</v>
      </c>
      <c r="AG40" s="26">
        <v>1</v>
      </c>
      <c r="AH40" s="26">
        <v>0</v>
      </c>
      <c r="AI40" s="26">
        <v>0</v>
      </c>
      <c r="AJ40" s="26">
        <v>0</v>
      </c>
      <c r="AK40" s="26">
        <v>0</v>
      </c>
      <c r="AL40" s="26">
        <v>1</v>
      </c>
      <c r="AM40" s="26">
        <f t="shared" si="2"/>
        <v>35</v>
      </c>
      <c r="AN40" s="26">
        <v>4</v>
      </c>
    </row>
    <row r="41" spans="1:40" x14ac:dyDescent="0.2">
      <c r="A41" s="112" t="s">
        <v>334</v>
      </c>
      <c r="B41" s="31">
        <v>1</v>
      </c>
      <c r="C41" s="31">
        <v>1</v>
      </c>
      <c r="D41" s="31">
        <v>1</v>
      </c>
      <c r="E41" s="26">
        <v>60</v>
      </c>
      <c r="F41" s="26">
        <v>2</v>
      </c>
      <c r="G41" s="26">
        <v>2</v>
      </c>
      <c r="H41" s="26">
        <v>0</v>
      </c>
      <c r="I41" s="26">
        <v>2</v>
      </c>
      <c r="J41" s="26">
        <v>1</v>
      </c>
      <c r="K41" s="26">
        <v>2</v>
      </c>
      <c r="L41" s="26">
        <v>1</v>
      </c>
      <c r="M41" s="26">
        <v>3</v>
      </c>
      <c r="N41" s="26">
        <v>2</v>
      </c>
      <c r="O41" s="26">
        <v>3</v>
      </c>
      <c r="P41" s="26">
        <v>2</v>
      </c>
      <c r="Q41" s="26">
        <v>3</v>
      </c>
      <c r="R41" s="26">
        <v>2</v>
      </c>
      <c r="S41" s="26">
        <v>3</v>
      </c>
      <c r="T41" s="26">
        <v>2</v>
      </c>
      <c r="U41" s="26">
        <v>3</v>
      </c>
      <c r="V41" s="26">
        <v>2</v>
      </c>
      <c r="W41" s="26">
        <v>3</v>
      </c>
      <c r="X41" s="26">
        <v>3</v>
      </c>
      <c r="Y41" s="26">
        <v>1</v>
      </c>
      <c r="Z41" s="26">
        <v>3</v>
      </c>
      <c r="AA41" s="26">
        <v>3</v>
      </c>
      <c r="AB41" s="26">
        <v>2</v>
      </c>
      <c r="AC41" s="26">
        <v>1</v>
      </c>
      <c r="AD41" s="26">
        <v>2</v>
      </c>
      <c r="AE41" s="26">
        <v>2</v>
      </c>
      <c r="AF41" s="26">
        <v>0</v>
      </c>
      <c r="AG41" s="26">
        <v>2</v>
      </c>
      <c r="AH41" s="26">
        <v>0</v>
      </c>
      <c r="AI41" s="26">
        <v>0</v>
      </c>
      <c r="AJ41" s="26">
        <v>0</v>
      </c>
      <c r="AK41" s="26">
        <v>0</v>
      </c>
      <c r="AL41" s="26">
        <v>2</v>
      </c>
      <c r="AM41" s="26">
        <f t="shared" si="2"/>
        <v>59</v>
      </c>
      <c r="AN41" s="26">
        <v>3</v>
      </c>
    </row>
    <row r="42" spans="1:40" x14ac:dyDescent="0.2">
      <c r="A42" s="117" t="s">
        <v>335</v>
      </c>
      <c r="B42" s="31">
        <v>1</v>
      </c>
      <c r="C42" s="31">
        <v>1</v>
      </c>
      <c r="D42" s="31">
        <v>1</v>
      </c>
      <c r="E42" s="26">
        <v>150</v>
      </c>
      <c r="F42" s="26">
        <v>0</v>
      </c>
      <c r="G42" s="26">
        <v>0</v>
      </c>
      <c r="H42" s="26">
        <v>1</v>
      </c>
      <c r="I42" s="26">
        <v>2</v>
      </c>
      <c r="J42" s="26">
        <v>0</v>
      </c>
      <c r="K42" s="26">
        <v>2</v>
      </c>
      <c r="L42" s="26">
        <v>0</v>
      </c>
      <c r="M42" s="26">
        <v>2</v>
      </c>
      <c r="N42" s="26">
        <v>0</v>
      </c>
      <c r="O42" s="26">
        <v>2</v>
      </c>
      <c r="P42" s="26">
        <v>0</v>
      </c>
      <c r="Q42" s="26">
        <v>2</v>
      </c>
      <c r="R42" s="26">
        <v>0</v>
      </c>
      <c r="S42" s="26">
        <v>2</v>
      </c>
      <c r="T42" s="26">
        <v>0</v>
      </c>
      <c r="U42" s="26">
        <v>1</v>
      </c>
      <c r="V42" s="26">
        <v>0</v>
      </c>
      <c r="W42" s="26">
        <v>0</v>
      </c>
      <c r="X42" s="26">
        <v>1</v>
      </c>
      <c r="Y42" s="26">
        <v>0</v>
      </c>
      <c r="Z42" s="26">
        <v>0</v>
      </c>
      <c r="AA42" s="26">
        <v>0</v>
      </c>
      <c r="AB42" s="26">
        <v>1</v>
      </c>
      <c r="AC42" s="26">
        <v>2</v>
      </c>
      <c r="AD42" s="26">
        <v>0</v>
      </c>
      <c r="AE42" s="26">
        <v>1</v>
      </c>
      <c r="AF42" s="26">
        <v>0</v>
      </c>
      <c r="AG42" s="26">
        <v>2</v>
      </c>
      <c r="AH42" s="26">
        <v>0</v>
      </c>
      <c r="AI42" s="26">
        <v>0</v>
      </c>
      <c r="AJ42" s="26">
        <v>0</v>
      </c>
      <c r="AK42" s="26">
        <v>0</v>
      </c>
      <c r="AL42" s="26">
        <v>4</v>
      </c>
      <c r="AM42" s="26">
        <f t="shared" si="2"/>
        <v>25</v>
      </c>
      <c r="AN42" s="26">
        <v>1</v>
      </c>
    </row>
    <row r="43" spans="1:40" x14ac:dyDescent="0.2">
      <c r="A43" s="117" t="s">
        <v>336</v>
      </c>
      <c r="B43" s="31">
        <v>1</v>
      </c>
      <c r="C43" s="31">
        <v>1</v>
      </c>
      <c r="D43" s="26">
        <v>0</v>
      </c>
      <c r="E43" s="26"/>
      <c r="F43" s="26">
        <v>1</v>
      </c>
      <c r="G43" s="26">
        <v>0</v>
      </c>
      <c r="H43" s="26">
        <v>0</v>
      </c>
      <c r="I43" s="26">
        <v>0</v>
      </c>
      <c r="J43" s="26">
        <v>0</v>
      </c>
      <c r="K43" s="26">
        <v>0</v>
      </c>
      <c r="L43" s="26">
        <v>0</v>
      </c>
      <c r="M43" s="26">
        <v>1</v>
      </c>
      <c r="N43" s="26">
        <v>0</v>
      </c>
      <c r="O43" s="26">
        <v>0</v>
      </c>
      <c r="P43" s="26">
        <v>0</v>
      </c>
      <c r="Q43" s="26">
        <v>0</v>
      </c>
      <c r="R43" s="26">
        <v>0</v>
      </c>
      <c r="S43" s="26">
        <v>2</v>
      </c>
      <c r="T43" s="26">
        <v>1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v>0</v>
      </c>
      <c r="AA43" s="26">
        <v>0</v>
      </c>
      <c r="AB43" s="26">
        <v>1</v>
      </c>
      <c r="AC43" s="26">
        <v>2</v>
      </c>
      <c r="AD43" s="26">
        <v>2</v>
      </c>
      <c r="AE43" s="26">
        <v>0</v>
      </c>
      <c r="AF43" s="26">
        <v>0</v>
      </c>
      <c r="AG43" s="26">
        <v>1</v>
      </c>
      <c r="AH43" s="26">
        <v>0</v>
      </c>
      <c r="AI43" s="26">
        <v>0</v>
      </c>
      <c r="AJ43" s="26">
        <v>0</v>
      </c>
      <c r="AK43" s="26">
        <v>0</v>
      </c>
      <c r="AL43" s="26">
        <v>4</v>
      </c>
      <c r="AM43" s="26">
        <f t="shared" si="2"/>
        <v>15</v>
      </c>
      <c r="AN43" s="26">
        <v>1</v>
      </c>
    </row>
    <row r="44" spans="1:40" x14ac:dyDescent="0.2">
      <c r="A44" s="117" t="s">
        <v>337</v>
      </c>
      <c r="B44" s="31">
        <v>1</v>
      </c>
      <c r="C44" s="31">
        <v>1</v>
      </c>
      <c r="D44" s="31">
        <v>1</v>
      </c>
      <c r="E44" s="26">
        <v>150</v>
      </c>
      <c r="F44" s="26">
        <v>2</v>
      </c>
      <c r="G44" s="26">
        <v>1</v>
      </c>
      <c r="H44" s="26">
        <v>1</v>
      </c>
      <c r="I44" s="26">
        <v>1</v>
      </c>
      <c r="J44" s="26">
        <v>0</v>
      </c>
      <c r="K44" s="26">
        <v>0</v>
      </c>
      <c r="L44" s="26">
        <v>0</v>
      </c>
      <c r="M44" s="26">
        <v>0</v>
      </c>
      <c r="N44" s="26">
        <v>1</v>
      </c>
      <c r="O44" s="26">
        <v>0</v>
      </c>
      <c r="P44" s="26">
        <v>1</v>
      </c>
      <c r="Q44" s="26">
        <v>0</v>
      </c>
      <c r="R44" s="26">
        <v>2</v>
      </c>
      <c r="S44" s="26">
        <v>0</v>
      </c>
      <c r="T44" s="26">
        <v>1</v>
      </c>
      <c r="U44" s="26">
        <v>0</v>
      </c>
      <c r="V44" s="26">
        <v>2</v>
      </c>
      <c r="W44" s="26">
        <v>0</v>
      </c>
      <c r="X44" s="26">
        <v>1</v>
      </c>
      <c r="Y44" s="26">
        <v>0</v>
      </c>
      <c r="Z44" s="26">
        <v>1</v>
      </c>
      <c r="AA44" s="26">
        <v>2</v>
      </c>
      <c r="AB44" s="26">
        <v>2</v>
      </c>
      <c r="AC44" s="26">
        <v>0</v>
      </c>
      <c r="AD44" s="26">
        <v>0</v>
      </c>
      <c r="AE44" s="26">
        <v>0</v>
      </c>
      <c r="AF44" s="26">
        <v>1</v>
      </c>
      <c r="AG44" s="26">
        <v>0</v>
      </c>
      <c r="AH44" s="26">
        <v>0</v>
      </c>
      <c r="AI44" s="26">
        <v>0</v>
      </c>
      <c r="AJ44" s="26">
        <v>0</v>
      </c>
      <c r="AK44" s="26">
        <v>0</v>
      </c>
      <c r="AL44" s="26">
        <v>0</v>
      </c>
      <c r="AM44" s="26">
        <f>SUM(F44:AL44)</f>
        <v>19</v>
      </c>
      <c r="AN44" s="26">
        <v>1</v>
      </c>
    </row>
    <row r="45" spans="1:40" x14ac:dyDescent="0.2">
      <c r="A45" s="119" t="s">
        <v>338</v>
      </c>
      <c r="B45" s="31">
        <v>1</v>
      </c>
      <c r="C45" s="31">
        <v>1</v>
      </c>
      <c r="D45" s="31">
        <v>1</v>
      </c>
      <c r="E45" s="27">
        <v>180</v>
      </c>
      <c r="F45" s="27">
        <v>1</v>
      </c>
      <c r="G45" s="27">
        <v>1</v>
      </c>
      <c r="H45" s="27">
        <v>1</v>
      </c>
      <c r="I45" s="27">
        <v>2</v>
      </c>
      <c r="J45" s="27">
        <v>2</v>
      </c>
      <c r="K45" s="27">
        <v>2</v>
      </c>
      <c r="L45" s="27">
        <v>2</v>
      </c>
      <c r="M45" s="27">
        <v>2</v>
      </c>
      <c r="N45" s="27">
        <v>2</v>
      </c>
      <c r="O45" s="27">
        <v>2</v>
      </c>
      <c r="P45" s="27">
        <v>2</v>
      </c>
      <c r="Q45" s="27">
        <v>2</v>
      </c>
      <c r="R45" s="27">
        <v>2</v>
      </c>
      <c r="S45" s="27">
        <v>2</v>
      </c>
      <c r="T45" s="27">
        <v>2</v>
      </c>
      <c r="U45" s="27">
        <v>2</v>
      </c>
      <c r="V45" s="27">
        <v>2</v>
      </c>
      <c r="W45" s="27">
        <v>2</v>
      </c>
      <c r="X45" s="27">
        <v>2</v>
      </c>
      <c r="Y45" s="27">
        <v>2</v>
      </c>
      <c r="Z45" s="27">
        <v>2</v>
      </c>
      <c r="AA45" s="27">
        <v>2</v>
      </c>
      <c r="AB45" s="27">
        <v>2</v>
      </c>
      <c r="AC45" s="27">
        <v>0</v>
      </c>
      <c r="AD45" s="27">
        <v>0</v>
      </c>
      <c r="AE45" s="27">
        <v>0</v>
      </c>
      <c r="AF45" s="27">
        <v>0</v>
      </c>
      <c r="AG45" s="27">
        <v>0</v>
      </c>
      <c r="AH45" s="27">
        <v>0</v>
      </c>
      <c r="AI45" s="27">
        <v>0</v>
      </c>
      <c r="AJ45" s="27">
        <v>0</v>
      </c>
      <c r="AK45" s="27">
        <v>0</v>
      </c>
      <c r="AL45" s="27">
        <v>0</v>
      </c>
      <c r="AM45" s="26">
        <f t="shared" si="2"/>
        <v>43</v>
      </c>
      <c r="AN45" s="27">
        <v>3</v>
      </c>
    </row>
    <row r="46" spans="1:40" x14ac:dyDescent="0.2">
      <c r="A46" s="112" t="s">
        <v>339</v>
      </c>
      <c r="B46" s="31">
        <v>1</v>
      </c>
      <c r="C46" s="31">
        <v>1</v>
      </c>
      <c r="D46" s="31">
        <v>1</v>
      </c>
      <c r="E46" s="26">
        <v>60</v>
      </c>
      <c r="F46" s="26">
        <v>2</v>
      </c>
      <c r="G46" s="26">
        <v>2</v>
      </c>
      <c r="H46" s="26">
        <v>0</v>
      </c>
      <c r="I46" s="26">
        <v>1</v>
      </c>
      <c r="J46" s="26">
        <v>1</v>
      </c>
      <c r="K46" s="26">
        <v>0</v>
      </c>
      <c r="L46" s="26">
        <v>0</v>
      </c>
      <c r="M46" s="26">
        <v>0</v>
      </c>
      <c r="N46" s="26">
        <v>1</v>
      </c>
      <c r="O46" s="26">
        <v>0</v>
      </c>
      <c r="P46" s="26">
        <v>1</v>
      </c>
      <c r="Q46" s="26">
        <v>2</v>
      </c>
      <c r="R46" s="26">
        <v>2</v>
      </c>
      <c r="S46" s="26">
        <v>1</v>
      </c>
      <c r="T46" s="26">
        <v>1</v>
      </c>
      <c r="U46" s="26">
        <v>0</v>
      </c>
      <c r="V46" s="26">
        <v>0</v>
      </c>
      <c r="W46" s="26">
        <v>1</v>
      </c>
      <c r="X46" s="26">
        <v>3</v>
      </c>
      <c r="Y46" s="26">
        <v>0</v>
      </c>
      <c r="Z46" s="26">
        <v>2</v>
      </c>
      <c r="AA46" s="26">
        <v>1</v>
      </c>
      <c r="AB46" s="26">
        <v>2</v>
      </c>
      <c r="AC46" s="26">
        <v>0</v>
      </c>
      <c r="AD46" s="26">
        <v>0</v>
      </c>
      <c r="AE46" s="26">
        <v>0</v>
      </c>
      <c r="AF46" s="26">
        <v>0</v>
      </c>
      <c r="AG46" s="26">
        <v>0</v>
      </c>
      <c r="AH46" s="26">
        <v>0</v>
      </c>
      <c r="AI46" s="26">
        <v>0</v>
      </c>
      <c r="AJ46" s="26">
        <v>0</v>
      </c>
      <c r="AK46" s="26">
        <v>0</v>
      </c>
      <c r="AL46" s="26">
        <v>0</v>
      </c>
      <c r="AM46" s="26">
        <f t="shared" si="2"/>
        <v>23</v>
      </c>
      <c r="AN46" s="26">
        <v>2</v>
      </c>
    </row>
    <row r="47" spans="1:40" x14ac:dyDescent="0.2">
      <c r="A47" s="117" t="s">
        <v>340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</row>
    <row r="48" spans="1:40" x14ac:dyDescent="0.2">
      <c r="A48" s="117" t="s">
        <v>341</v>
      </c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</row>
    <row r="49" spans="1:40" x14ac:dyDescent="0.2">
      <c r="A49" s="117" t="s">
        <v>342</v>
      </c>
      <c r="B49" s="31">
        <v>1</v>
      </c>
      <c r="C49" s="31">
        <v>1</v>
      </c>
      <c r="D49" s="31">
        <v>1</v>
      </c>
      <c r="E49" s="26">
        <v>90</v>
      </c>
      <c r="F49" s="26">
        <v>0</v>
      </c>
      <c r="G49" s="26">
        <v>1</v>
      </c>
      <c r="H49" s="26">
        <v>0</v>
      </c>
      <c r="I49" s="26">
        <v>0</v>
      </c>
      <c r="J49" s="26">
        <v>1</v>
      </c>
      <c r="K49" s="26">
        <v>0</v>
      </c>
      <c r="L49" s="26">
        <v>0</v>
      </c>
      <c r="M49" s="26">
        <v>0</v>
      </c>
      <c r="N49" s="26">
        <v>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1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v>0</v>
      </c>
      <c r="AA49" s="26">
        <v>0</v>
      </c>
      <c r="AB49" s="26">
        <v>0</v>
      </c>
      <c r="AC49" s="26">
        <v>0</v>
      </c>
      <c r="AD49" s="26">
        <v>0</v>
      </c>
      <c r="AE49" s="26">
        <v>0</v>
      </c>
      <c r="AF49" s="26">
        <v>0</v>
      </c>
      <c r="AG49" s="26">
        <v>0</v>
      </c>
      <c r="AH49" s="26">
        <v>0</v>
      </c>
      <c r="AI49" s="26">
        <v>0</v>
      </c>
      <c r="AJ49" s="26">
        <v>0</v>
      </c>
      <c r="AK49" s="26">
        <v>0</v>
      </c>
      <c r="AL49" s="26">
        <v>0</v>
      </c>
      <c r="AM49" s="194">
        <f t="shared" ref="AM49" si="3">SUM(F49:AL49)</f>
        <v>3</v>
      </c>
      <c r="AN49" s="26">
        <v>1</v>
      </c>
    </row>
    <row r="50" spans="1:40" x14ac:dyDescent="0.2">
      <c r="A50" s="117" t="s">
        <v>343</v>
      </c>
      <c r="B50" s="31">
        <v>1</v>
      </c>
      <c r="C50" s="31">
        <v>1</v>
      </c>
      <c r="D50" s="31">
        <v>1</v>
      </c>
      <c r="E50" s="31">
        <v>240</v>
      </c>
      <c r="F50" s="31">
        <v>0</v>
      </c>
      <c r="G50" s="31">
        <v>1</v>
      </c>
      <c r="H50" s="31">
        <v>0</v>
      </c>
      <c r="I50" s="31">
        <v>0</v>
      </c>
      <c r="J50" s="31">
        <v>2</v>
      </c>
      <c r="K50" s="31">
        <v>1</v>
      </c>
      <c r="L50" s="31">
        <v>1</v>
      </c>
      <c r="M50" s="31">
        <v>0</v>
      </c>
      <c r="N50" s="31">
        <v>2</v>
      </c>
      <c r="O50" s="31">
        <v>0</v>
      </c>
      <c r="P50" s="31">
        <v>1</v>
      </c>
      <c r="Q50" s="31">
        <v>0</v>
      </c>
      <c r="R50" s="31">
        <v>1</v>
      </c>
      <c r="S50" s="31">
        <v>1</v>
      </c>
      <c r="T50" s="31">
        <v>3</v>
      </c>
      <c r="U50" s="31">
        <v>0</v>
      </c>
      <c r="V50" s="31">
        <v>1</v>
      </c>
      <c r="W50" s="31">
        <v>0</v>
      </c>
      <c r="X50" s="31">
        <v>0</v>
      </c>
      <c r="Y50" s="31">
        <v>0</v>
      </c>
      <c r="Z50" s="31">
        <v>0</v>
      </c>
      <c r="AA50" s="31">
        <v>0</v>
      </c>
      <c r="AB50" s="31">
        <v>0</v>
      </c>
      <c r="AC50" s="31">
        <v>2</v>
      </c>
      <c r="AD50" s="31">
        <v>2</v>
      </c>
      <c r="AE50" s="31">
        <v>0</v>
      </c>
      <c r="AF50" s="31">
        <v>0</v>
      </c>
      <c r="AG50" s="31">
        <v>0</v>
      </c>
      <c r="AH50" s="31">
        <v>2</v>
      </c>
      <c r="AI50" s="31">
        <v>0</v>
      </c>
      <c r="AJ50" s="31">
        <v>0</v>
      </c>
      <c r="AK50" s="31">
        <v>0</v>
      </c>
      <c r="AL50" s="31">
        <v>4</v>
      </c>
      <c r="AM50" s="31">
        <f>SUM(F50:AL50)</f>
        <v>24</v>
      </c>
      <c r="AN50" s="31">
        <v>1</v>
      </c>
    </row>
    <row r="51" spans="1:40" x14ac:dyDescent="0.2">
      <c r="A51" s="117" t="s">
        <v>344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</row>
    <row r="52" spans="1:40" x14ac:dyDescent="0.2">
      <c r="A52" s="119" t="s">
        <v>345</v>
      </c>
      <c r="B52" s="31">
        <v>1</v>
      </c>
      <c r="C52" s="31">
        <v>1</v>
      </c>
      <c r="D52" s="31">
        <v>1</v>
      </c>
      <c r="E52" s="10">
        <v>20</v>
      </c>
      <c r="F52" s="10">
        <v>3</v>
      </c>
      <c r="G52" s="10">
        <v>2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1</v>
      </c>
      <c r="N52" s="10">
        <v>1</v>
      </c>
      <c r="O52" s="10">
        <v>2</v>
      </c>
      <c r="P52" s="10">
        <v>2</v>
      </c>
      <c r="Q52" s="10">
        <v>2</v>
      </c>
      <c r="R52" s="10">
        <v>2</v>
      </c>
      <c r="S52" s="10">
        <v>3</v>
      </c>
      <c r="T52" s="10">
        <v>3</v>
      </c>
      <c r="U52" s="10">
        <v>2</v>
      </c>
      <c r="V52" s="10">
        <v>2</v>
      </c>
      <c r="W52" s="10">
        <v>2</v>
      </c>
      <c r="X52" s="10">
        <v>3</v>
      </c>
      <c r="Y52" s="10">
        <v>0</v>
      </c>
      <c r="Z52" s="10">
        <v>3</v>
      </c>
      <c r="AA52" s="10">
        <v>3</v>
      </c>
      <c r="AB52" s="10">
        <v>3</v>
      </c>
      <c r="AC52" s="10">
        <v>0</v>
      </c>
      <c r="AD52" s="10">
        <v>0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0</v>
      </c>
      <c r="AM52" s="26">
        <f t="shared" ref="AM52:AM54" si="4">SUM(F52:AL52)</f>
        <v>39</v>
      </c>
      <c r="AN52" s="10">
        <v>3</v>
      </c>
    </row>
    <row r="53" spans="1:40" x14ac:dyDescent="0.2">
      <c r="A53" s="119" t="s">
        <v>346</v>
      </c>
      <c r="B53" s="31">
        <v>1</v>
      </c>
      <c r="C53" s="31">
        <v>1</v>
      </c>
      <c r="D53" s="31">
        <v>1</v>
      </c>
      <c r="E53" s="10">
        <v>240</v>
      </c>
      <c r="F53" s="10">
        <v>1</v>
      </c>
      <c r="G53" s="10">
        <v>3</v>
      </c>
      <c r="H53" s="10">
        <v>0</v>
      </c>
      <c r="I53" s="10">
        <v>0</v>
      </c>
      <c r="J53" s="10">
        <v>1</v>
      </c>
      <c r="K53" s="10">
        <v>0</v>
      </c>
      <c r="L53" s="10">
        <v>1</v>
      </c>
      <c r="M53" s="10">
        <v>0</v>
      </c>
      <c r="N53" s="10">
        <v>1</v>
      </c>
      <c r="O53" s="10">
        <v>0</v>
      </c>
      <c r="P53" s="10">
        <v>1</v>
      </c>
      <c r="Q53" s="10">
        <v>0</v>
      </c>
      <c r="R53" s="10">
        <v>1</v>
      </c>
      <c r="S53" s="10">
        <v>3</v>
      </c>
      <c r="T53" s="10">
        <v>3</v>
      </c>
      <c r="U53" s="10">
        <v>3</v>
      </c>
      <c r="V53" s="10">
        <v>3</v>
      </c>
      <c r="W53" s="10">
        <v>3</v>
      </c>
      <c r="X53" s="10">
        <v>3</v>
      </c>
      <c r="Y53" s="10">
        <v>0</v>
      </c>
      <c r="Z53" s="10">
        <v>3</v>
      </c>
      <c r="AA53" s="10">
        <v>3</v>
      </c>
      <c r="AB53" s="10">
        <v>3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26">
        <f t="shared" si="4"/>
        <v>36</v>
      </c>
      <c r="AN53" s="10">
        <v>4</v>
      </c>
    </row>
    <row r="54" spans="1:40" x14ac:dyDescent="0.2">
      <c r="A54" s="112" t="s">
        <v>347</v>
      </c>
      <c r="B54" s="31">
        <v>1</v>
      </c>
      <c r="C54" s="31">
        <v>1</v>
      </c>
      <c r="D54" s="31">
        <v>1</v>
      </c>
      <c r="E54" s="26"/>
      <c r="F54" s="26">
        <v>2</v>
      </c>
      <c r="G54" s="26">
        <v>0</v>
      </c>
      <c r="H54" s="26">
        <v>1</v>
      </c>
      <c r="I54" s="26">
        <v>2</v>
      </c>
      <c r="J54" s="26">
        <v>1</v>
      </c>
      <c r="K54" s="26">
        <v>1</v>
      </c>
      <c r="L54" s="26">
        <v>1</v>
      </c>
      <c r="M54" s="26">
        <v>1</v>
      </c>
      <c r="N54" s="26">
        <v>1</v>
      </c>
      <c r="O54" s="26">
        <v>1</v>
      </c>
      <c r="P54" s="26">
        <v>1</v>
      </c>
      <c r="Q54" s="26">
        <v>1</v>
      </c>
      <c r="R54" s="26">
        <v>1</v>
      </c>
      <c r="S54" s="26">
        <v>1</v>
      </c>
      <c r="T54" s="26">
        <v>2</v>
      </c>
      <c r="U54" s="26">
        <v>2</v>
      </c>
      <c r="V54" s="26">
        <v>1</v>
      </c>
      <c r="W54" s="26">
        <v>1</v>
      </c>
      <c r="X54" s="26">
        <v>0</v>
      </c>
      <c r="Y54" s="26">
        <v>0</v>
      </c>
      <c r="Z54" s="26">
        <v>0</v>
      </c>
      <c r="AA54" s="26">
        <v>0</v>
      </c>
      <c r="AB54" s="26">
        <v>0</v>
      </c>
      <c r="AC54" s="26">
        <v>0</v>
      </c>
      <c r="AD54" s="26">
        <v>0</v>
      </c>
      <c r="AE54" s="26">
        <v>0</v>
      </c>
      <c r="AF54" s="26">
        <v>0</v>
      </c>
      <c r="AG54" s="26">
        <v>0</v>
      </c>
      <c r="AH54" s="26">
        <v>0</v>
      </c>
      <c r="AI54" s="26">
        <v>0</v>
      </c>
      <c r="AJ54" s="26">
        <v>0</v>
      </c>
      <c r="AK54" s="26">
        <v>0</v>
      </c>
      <c r="AL54" s="26">
        <v>0</v>
      </c>
      <c r="AM54" s="26">
        <f t="shared" si="4"/>
        <v>21</v>
      </c>
      <c r="AN54" s="26">
        <v>2</v>
      </c>
    </row>
    <row r="55" spans="1:40" x14ac:dyDescent="0.2">
      <c r="A55" s="112" t="s">
        <v>348</v>
      </c>
      <c r="B55" s="31">
        <v>1</v>
      </c>
      <c r="C55" s="31">
        <v>1</v>
      </c>
      <c r="D55" s="26"/>
      <c r="E55" s="26"/>
      <c r="F55" s="26">
        <v>0</v>
      </c>
      <c r="G55" s="26">
        <v>1</v>
      </c>
      <c r="H55" s="26">
        <v>1</v>
      </c>
      <c r="I55" s="26">
        <v>0</v>
      </c>
      <c r="J55" s="26">
        <v>1</v>
      </c>
      <c r="K55" s="26">
        <v>0</v>
      </c>
      <c r="L55" s="26">
        <v>1</v>
      </c>
      <c r="M55" s="26">
        <v>1</v>
      </c>
      <c r="N55" s="26">
        <v>0</v>
      </c>
      <c r="O55" s="26">
        <v>1</v>
      </c>
      <c r="P55" s="26">
        <v>0</v>
      </c>
      <c r="Q55" s="26">
        <v>0</v>
      </c>
      <c r="R55" s="26">
        <v>1</v>
      </c>
      <c r="S55" s="26">
        <v>1</v>
      </c>
      <c r="T55" s="26">
        <v>1</v>
      </c>
      <c r="U55" s="26">
        <v>2</v>
      </c>
      <c r="V55" s="26">
        <v>2</v>
      </c>
      <c r="W55" s="26">
        <v>3</v>
      </c>
      <c r="X55" s="26">
        <v>1</v>
      </c>
      <c r="Y55" s="26">
        <v>2</v>
      </c>
      <c r="Z55" s="26">
        <v>1</v>
      </c>
      <c r="AA55" s="26">
        <v>1</v>
      </c>
      <c r="AB55" s="26">
        <v>1</v>
      </c>
      <c r="AC55" s="26">
        <v>0</v>
      </c>
      <c r="AD55" s="26">
        <v>0</v>
      </c>
      <c r="AE55" s="26">
        <v>0</v>
      </c>
      <c r="AF55" s="26">
        <v>0</v>
      </c>
      <c r="AG55" s="26">
        <v>0</v>
      </c>
      <c r="AH55" s="26">
        <v>0</v>
      </c>
      <c r="AI55" s="26">
        <v>0</v>
      </c>
      <c r="AJ55" s="26">
        <v>0</v>
      </c>
      <c r="AK55" s="26">
        <v>0</v>
      </c>
      <c r="AL55" s="26">
        <v>0</v>
      </c>
      <c r="AM55" s="26"/>
      <c r="AN55" s="26"/>
    </row>
    <row r="56" spans="1:40" x14ac:dyDescent="0.2">
      <c r="A56" s="112" t="s">
        <v>349</v>
      </c>
      <c r="B56" s="26"/>
      <c r="C56" s="26"/>
      <c r="D56" s="26"/>
      <c r="E56" s="26"/>
      <c r="F56" s="26">
        <v>1</v>
      </c>
      <c r="G56" s="26">
        <v>1</v>
      </c>
      <c r="H56" s="26">
        <v>1</v>
      </c>
      <c r="I56" s="26">
        <v>1</v>
      </c>
      <c r="J56" s="26">
        <v>0</v>
      </c>
      <c r="K56" s="26">
        <v>0</v>
      </c>
      <c r="L56" s="26">
        <v>1</v>
      </c>
      <c r="M56" s="26">
        <v>1</v>
      </c>
      <c r="N56" s="26">
        <v>1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1</v>
      </c>
      <c r="U56" s="26">
        <v>0</v>
      </c>
      <c r="V56" s="26">
        <v>1</v>
      </c>
      <c r="W56" s="26">
        <v>1</v>
      </c>
      <c r="X56" s="26">
        <v>2</v>
      </c>
      <c r="Y56" s="26">
        <v>1</v>
      </c>
      <c r="Z56" s="26">
        <v>1</v>
      </c>
      <c r="AA56" s="26">
        <v>1</v>
      </c>
      <c r="AB56" s="26">
        <v>1</v>
      </c>
      <c r="AC56" s="26">
        <v>0</v>
      </c>
      <c r="AD56" s="26">
        <v>0</v>
      </c>
      <c r="AE56" s="26">
        <v>0</v>
      </c>
      <c r="AF56" s="26">
        <v>0</v>
      </c>
      <c r="AG56" s="26">
        <v>0</v>
      </c>
      <c r="AH56" s="26">
        <v>0</v>
      </c>
      <c r="AI56" s="26">
        <v>0</v>
      </c>
      <c r="AJ56" s="26">
        <v>0</v>
      </c>
      <c r="AK56" s="26">
        <v>0</v>
      </c>
      <c r="AL56" s="26">
        <v>0</v>
      </c>
      <c r="AM56" s="26"/>
      <c r="AN56" s="26"/>
    </row>
    <row r="57" spans="1:40" x14ac:dyDescent="0.2">
      <c r="A57" s="112" t="s">
        <v>350</v>
      </c>
      <c r="B57" s="26"/>
      <c r="C57" s="26"/>
      <c r="D57" s="26"/>
      <c r="E57" s="26"/>
      <c r="F57" s="26">
        <v>2</v>
      </c>
      <c r="G57" s="26">
        <v>1</v>
      </c>
      <c r="H57" s="26">
        <v>2</v>
      </c>
      <c r="I57" s="26">
        <v>1</v>
      </c>
      <c r="J57" s="26">
        <v>2</v>
      </c>
      <c r="K57" s="26">
        <v>0</v>
      </c>
      <c r="L57" s="26">
        <v>1</v>
      </c>
      <c r="M57" s="26">
        <v>0</v>
      </c>
      <c r="N57" s="26">
        <v>1</v>
      </c>
      <c r="O57" s="26">
        <v>0</v>
      </c>
      <c r="P57" s="26">
        <v>2</v>
      </c>
      <c r="Q57" s="26">
        <v>0</v>
      </c>
      <c r="R57" s="26">
        <v>2</v>
      </c>
      <c r="S57" s="26">
        <v>2</v>
      </c>
      <c r="T57" s="26">
        <v>2</v>
      </c>
      <c r="U57" s="26">
        <v>2</v>
      </c>
      <c r="V57" s="26">
        <v>2</v>
      </c>
      <c r="W57" s="26">
        <v>2</v>
      </c>
      <c r="X57" s="26">
        <v>2</v>
      </c>
      <c r="Y57" s="26">
        <v>1</v>
      </c>
      <c r="Z57" s="26">
        <v>2</v>
      </c>
      <c r="AA57" s="26">
        <v>1</v>
      </c>
      <c r="AB57" s="26">
        <v>2</v>
      </c>
      <c r="AC57" s="26">
        <v>0</v>
      </c>
      <c r="AD57" s="26">
        <v>0</v>
      </c>
      <c r="AE57" s="26">
        <v>0</v>
      </c>
      <c r="AF57" s="26">
        <v>0</v>
      </c>
      <c r="AG57" s="26">
        <v>0</v>
      </c>
      <c r="AH57" s="26">
        <v>0</v>
      </c>
      <c r="AI57" s="26">
        <v>0</v>
      </c>
      <c r="AJ57" s="26">
        <v>0</v>
      </c>
      <c r="AK57" s="26">
        <v>0</v>
      </c>
      <c r="AL57" s="26">
        <v>0</v>
      </c>
      <c r="AM57" s="26"/>
      <c r="AN57" s="26"/>
    </row>
    <row r="58" spans="1:40" x14ac:dyDescent="0.2">
      <c r="A58" s="112" t="s">
        <v>351</v>
      </c>
      <c r="B58" s="26"/>
      <c r="C58" s="26"/>
      <c r="D58" s="26"/>
      <c r="E58" s="26"/>
      <c r="F58" s="26">
        <v>0</v>
      </c>
      <c r="G58" s="26">
        <v>1</v>
      </c>
      <c r="H58" s="26">
        <v>0</v>
      </c>
      <c r="I58" s="26">
        <v>0</v>
      </c>
      <c r="J58" s="26">
        <v>0</v>
      </c>
      <c r="K58" s="26">
        <v>0</v>
      </c>
      <c r="L58" s="26">
        <v>0</v>
      </c>
      <c r="M58" s="26">
        <v>1</v>
      </c>
      <c r="N58" s="26">
        <v>1</v>
      </c>
      <c r="O58" s="26">
        <v>1</v>
      </c>
      <c r="P58" s="26">
        <v>1</v>
      </c>
      <c r="Q58" s="26">
        <v>1</v>
      </c>
      <c r="R58" s="26">
        <v>2</v>
      </c>
      <c r="S58" s="26">
        <v>1</v>
      </c>
      <c r="T58" s="26">
        <v>2</v>
      </c>
      <c r="U58" s="26">
        <v>1</v>
      </c>
      <c r="V58" s="26">
        <v>2</v>
      </c>
      <c r="W58" s="26">
        <v>0</v>
      </c>
      <c r="X58" s="26">
        <v>0</v>
      </c>
      <c r="Y58" s="26">
        <v>0</v>
      </c>
      <c r="Z58" s="26">
        <v>1</v>
      </c>
      <c r="AA58" s="26">
        <v>1</v>
      </c>
      <c r="AB58" s="26">
        <v>0</v>
      </c>
      <c r="AC58" s="26">
        <v>0</v>
      </c>
      <c r="AD58" s="26">
        <v>0</v>
      </c>
      <c r="AE58" s="26">
        <v>0</v>
      </c>
      <c r="AF58" s="26">
        <v>0</v>
      </c>
      <c r="AG58" s="26">
        <v>0</v>
      </c>
      <c r="AH58" s="26">
        <v>0</v>
      </c>
      <c r="AI58" s="26">
        <v>0</v>
      </c>
      <c r="AJ58" s="26">
        <v>0</v>
      </c>
      <c r="AK58" s="26">
        <v>0</v>
      </c>
      <c r="AL58" s="26">
        <v>0</v>
      </c>
      <c r="AM58" s="26">
        <f t="shared" ref="AM58:AM59" si="5">SUM(F58:AL58)</f>
        <v>16</v>
      </c>
      <c r="AN58" s="26">
        <v>2</v>
      </c>
    </row>
    <row r="59" spans="1:40" x14ac:dyDescent="0.2">
      <c r="A59" s="112" t="s">
        <v>352</v>
      </c>
      <c r="B59" s="31">
        <v>1</v>
      </c>
      <c r="C59" s="31">
        <v>1</v>
      </c>
      <c r="D59" s="31">
        <v>1</v>
      </c>
      <c r="E59" s="26">
        <v>320</v>
      </c>
      <c r="F59" s="26">
        <v>1</v>
      </c>
      <c r="G59" s="26">
        <v>1</v>
      </c>
      <c r="H59" s="26">
        <v>1</v>
      </c>
      <c r="I59" s="26">
        <v>1</v>
      </c>
      <c r="J59" s="26">
        <v>0</v>
      </c>
      <c r="K59" s="26">
        <v>1</v>
      </c>
      <c r="L59" s="26">
        <v>0</v>
      </c>
      <c r="M59" s="26">
        <v>0</v>
      </c>
      <c r="N59" s="26">
        <v>0</v>
      </c>
      <c r="O59" s="26">
        <v>0</v>
      </c>
      <c r="P59" s="26">
        <v>0</v>
      </c>
      <c r="Q59" s="26">
        <v>0</v>
      </c>
      <c r="R59" s="26">
        <v>0</v>
      </c>
      <c r="S59" s="26">
        <v>1</v>
      </c>
      <c r="T59" s="26">
        <v>0</v>
      </c>
      <c r="U59" s="26">
        <v>0</v>
      </c>
      <c r="V59" s="26">
        <v>0</v>
      </c>
      <c r="W59" s="26">
        <v>0</v>
      </c>
      <c r="X59" s="26">
        <v>0</v>
      </c>
      <c r="Y59" s="26">
        <v>0</v>
      </c>
      <c r="Z59" s="26">
        <v>1</v>
      </c>
      <c r="AA59" s="26">
        <v>1</v>
      </c>
      <c r="AB59" s="26">
        <v>0</v>
      </c>
      <c r="AC59" s="26">
        <v>0</v>
      </c>
      <c r="AD59" s="26">
        <v>0</v>
      </c>
      <c r="AE59" s="26">
        <v>0</v>
      </c>
      <c r="AF59" s="26">
        <v>1</v>
      </c>
      <c r="AG59" s="26">
        <v>1</v>
      </c>
      <c r="AH59" s="26">
        <v>0</v>
      </c>
      <c r="AI59" s="26">
        <v>0</v>
      </c>
      <c r="AJ59" s="26">
        <v>0</v>
      </c>
      <c r="AK59" s="26">
        <v>0</v>
      </c>
      <c r="AL59" s="26">
        <v>2</v>
      </c>
      <c r="AM59" s="26">
        <f t="shared" si="5"/>
        <v>12</v>
      </c>
      <c r="AN59" s="26">
        <v>2</v>
      </c>
    </row>
    <row r="60" spans="1:40" x14ac:dyDescent="0.2">
      <c r="A60" s="112" t="s">
        <v>353</v>
      </c>
      <c r="B60" s="31">
        <v>1</v>
      </c>
      <c r="C60" s="31">
        <v>1</v>
      </c>
      <c r="D60" s="31">
        <v>1</v>
      </c>
      <c r="E60" s="26"/>
      <c r="F60" s="26">
        <v>0</v>
      </c>
      <c r="G60" s="26">
        <v>0</v>
      </c>
      <c r="H60" s="26">
        <v>0</v>
      </c>
      <c r="I60" s="26">
        <v>0</v>
      </c>
      <c r="J60" s="26">
        <v>1</v>
      </c>
      <c r="K60" s="26">
        <v>0</v>
      </c>
      <c r="L60" s="26">
        <v>0</v>
      </c>
      <c r="M60" s="26">
        <v>0</v>
      </c>
      <c r="N60" s="26">
        <v>0</v>
      </c>
      <c r="O60" s="26">
        <v>1</v>
      </c>
      <c r="P60" s="26">
        <v>2</v>
      </c>
      <c r="Q60" s="26">
        <v>2</v>
      </c>
      <c r="R60" s="26">
        <v>2</v>
      </c>
      <c r="S60" s="26">
        <v>3</v>
      </c>
      <c r="T60" s="26">
        <v>0</v>
      </c>
      <c r="U60" s="26">
        <v>1</v>
      </c>
      <c r="V60" s="26">
        <v>0</v>
      </c>
      <c r="W60" s="26">
        <v>0</v>
      </c>
      <c r="X60" s="26">
        <v>2</v>
      </c>
      <c r="Y60" s="26">
        <v>2</v>
      </c>
      <c r="Z60" s="26">
        <v>0</v>
      </c>
      <c r="AA60" s="26">
        <v>2</v>
      </c>
      <c r="AB60" s="26">
        <v>3</v>
      </c>
      <c r="AC60" s="26">
        <v>0</v>
      </c>
      <c r="AD60" s="26">
        <v>0</v>
      </c>
      <c r="AE60" s="26">
        <v>1</v>
      </c>
      <c r="AF60" s="26">
        <v>0</v>
      </c>
      <c r="AG60" s="26">
        <v>0</v>
      </c>
      <c r="AH60" s="26">
        <v>0</v>
      </c>
      <c r="AI60" s="26">
        <v>0</v>
      </c>
      <c r="AJ60" s="26">
        <v>0</v>
      </c>
      <c r="AK60" s="26">
        <v>0</v>
      </c>
      <c r="AL60" s="26">
        <v>0</v>
      </c>
      <c r="AM60" s="26"/>
      <c r="AN60" s="26"/>
    </row>
    <row r="61" spans="1:40" x14ac:dyDescent="0.2">
      <c r="A61" s="112" t="s">
        <v>354</v>
      </c>
      <c r="B61" s="26"/>
      <c r="C61" s="26"/>
      <c r="D61" s="26"/>
      <c r="E61" s="26"/>
      <c r="F61" s="26">
        <v>0</v>
      </c>
      <c r="G61" s="26">
        <v>1</v>
      </c>
      <c r="H61" s="26">
        <v>1</v>
      </c>
      <c r="I61" s="26">
        <v>1</v>
      </c>
      <c r="J61" s="26">
        <v>1</v>
      </c>
      <c r="K61" s="26">
        <v>0</v>
      </c>
      <c r="L61" s="26">
        <v>1</v>
      </c>
      <c r="M61" s="26">
        <v>0</v>
      </c>
      <c r="N61" s="26">
        <v>1</v>
      </c>
      <c r="O61" s="26">
        <v>0</v>
      </c>
      <c r="P61" s="26">
        <v>0</v>
      </c>
      <c r="Q61" s="26">
        <v>1</v>
      </c>
      <c r="R61" s="26">
        <v>0</v>
      </c>
      <c r="S61" s="26">
        <v>1</v>
      </c>
      <c r="T61" s="26">
        <v>0</v>
      </c>
      <c r="U61" s="26">
        <v>0</v>
      </c>
      <c r="V61" s="26">
        <v>0</v>
      </c>
      <c r="W61" s="26">
        <v>1</v>
      </c>
      <c r="X61" s="26">
        <v>0</v>
      </c>
      <c r="Y61" s="26">
        <v>1</v>
      </c>
      <c r="Z61" s="26">
        <v>3</v>
      </c>
      <c r="AA61" s="26">
        <v>0</v>
      </c>
      <c r="AB61" s="26">
        <v>2</v>
      </c>
      <c r="AC61" s="26">
        <v>1</v>
      </c>
      <c r="AD61" s="26">
        <v>0</v>
      </c>
      <c r="AE61" s="26">
        <v>0</v>
      </c>
      <c r="AF61" s="26">
        <v>0</v>
      </c>
      <c r="AG61" s="26">
        <v>0</v>
      </c>
      <c r="AH61" s="26">
        <v>0</v>
      </c>
      <c r="AI61" s="26">
        <v>0</v>
      </c>
      <c r="AJ61" s="26">
        <v>0</v>
      </c>
      <c r="AK61" s="26">
        <v>0</v>
      </c>
      <c r="AL61" s="26">
        <v>0</v>
      </c>
      <c r="AM61" s="26"/>
      <c r="AN61" s="26"/>
    </row>
    <row r="62" spans="1:40" x14ac:dyDescent="0.2">
      <c r="A62" s="112" t="s">
        <v>355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</row>
    <row r="63" spans="1:40" x14ac:dyDescent="0.2">
      <c r="A63" s="112" t="s">
        <v>356</v>
      </c>
      <c r="B63" s="26"/>
      <c r="C63" s="26"/>
      <c r="D63" s="26"/>
      <c r="E63" s="26"/>
      <c r="F63" s="26">
        <v>1</v>
      </c>
      <c r="G63" s="26">
        <v>1</v>
      </c>
      <c r="H63" s="26">
        <v>1</v>
      </c>
      <c r="I63" s="26">
        <v>0</v>
      </c>
      <c r="J63" s="26">
        <v>0</v>
      </c>
      <c r="K63" s="26">
        <v>1</v>
      </c>
      <c r="L63" s="26">
        <v>0</v>
      </c>
      <c r="M63" s="26">
        <v>1</v>
      </c>
      <c r="N63" s="26">
        <v>1</v>
      </c>
      <c r="O63" s="26">
        <v>1</v>
      </c>
      <c r="P63" s="26">
        <v>1</v>
      </c>
      <c r="Q63" s="26">
        <v>1</v>
      </c>
      <c r="R63" s="26">
        <v>1</v>
      </c>
      <c r="S63" s="26">
        <v>1</v>
      </c>
      <c r="T63" s="26">
        <v>0</v>
      </c>
      <c r="U63" s="26">
        <v>1</v>
      </c>
      <c r="V63" s="26">
        <v>0</v>
      </c>
      <c r="W63" s="26">
        <v>1</v>
      </c>
      <c r="X63" s="26">
        <v>0</v>
      </c>
      <c r="Y63" s="26">
        <v>0</v>
      </c>
      <c r="Z63" s="26">
        <v>0</v>
      </c>
      <c r="AA63" s="26">
        <v>1</v>
      </c>
      <c r="AB63" s="26">
        <v>1</v>
      </c>
      <c r="AC63" s="26">
        <v>0</v>
      </c>
      <c r="AD63" s="26">
        <v>0</v>
      </c>
      <c r="AE63" s="26">
        <v>0</v>
      </c>
      <c r="AF63" s="26">
        <v>0</v>
      </c>
      <c r="AG63" s="26">
        <v>0</v>
      </c>
      <c r="AH63" s="26">
        <v>0</v>
      </c>
      <c r="AI63" s="26">
        <v>0</v>
      </c>
      <c r="AJ63" s="26">
        <v>0</v>
      </c>
      <c r="AK63" s="26">
        <v>0</v>
      </c>
      <c r="AL63" s="26">
        <v>0</v>
      </c>
      <c r="AM63" s="26">
        <f t="shared" ref="AM63" si="6">SUM(F63:AL63)</f>
        <v>15</v>
      </c>
      <c r="AN63" s="26">
        <v>2</v>
      </c>
    </row>
    <row r="64" spans="1:40" x14ac:dyDescent="0.2">
      <c r="A64" s="112" t="s">
        <v>357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</row>
    <row r="65" spans="1:40" x14ac:dyDescent="0.2">
      <c r="A65" s="112" t="s">
        <v>358</v>
      </c>
      <c r="B65" s="31">
        <v>1</v>
      </c>
      <c r="C65" s="31">
        <v>1</v>
      </c>
      <c r="D65" s="31">
        <v>1</v>
      </c>
      <c r="E65" s="26">
        <v>5</v>
      </c>
      <c r="F65" s="26">
        <v>0</v>
      </c>
      <c r="G65" s="26">
        <v>0</v>
      </c>
      <c r="H65" s="26">
        <v>1</v>
      </c>
      <c r="I65" s="26">
        <v>1</v>
      </c>
      <c r="J65" s="26">
        <v>0</v>
      </c>
      <c r="K65" s="26">
        <v>0</v>
      </c>
      <c r="L65" s="26">
        <v>0</v>
      </c>
      <c r="M65" s="26">
        <v>1</v>
      </c>
      <c r="N65" s="26">
        <v>0</v>
      </c>
      <c r="O65" s="26">
        <v>0</v>
      </c>
      <c r="P65" s="26">
        <v>0</v>
      </c>
      <c r="Q65" s="26">
        <v>1</v>
      </c>
      <c r="R65" s="26">
        <v>1</v>
      </c>
      <c r="S65" s="26">
        <v>0</v>
      </c>
      <c r="T65" s="26">
        <v>1</v>
      </c>
      <c r="U65" s="26">
        <v>0</v>
      </c>
      <c r="V65" s="26">
        <v>1</v>
      </c>
      <c r="W65" s="26">
        <v>0</v>
      </c>
      <c r="X65" s="26">
        <v>0</v>
      </c>
      <c r="Y65" s="26">
        <v>0</v>
      </c>
      <c r="Z65" s="26">
        <v>0</v>
      </c>
      <c r="AA65" s="26">
        <v>1</v>
      </c>
      <c r="AB65" s="26">
        <v>0</v>
      </c>
      <c r="AC65" s="26">
        <v>1</v>
      </c>
      <c r="AD65" s="26">
        <v>0</v>
      </c>
      <c r="AE65" s="26">
        <v>0</v>
      </c>
      <c r="AF65" s="26">
        <v>0</v>
      </c>
      <c r="AG65" s="26">
        <v>0</v>
      </c>
      <c r="AH65" s="26">
        <v>0</v>
      </c>
      <c r="AI65" s="26">
        <v>0</v>
      </c>
      <c r="AJ65" s="26">
        <v>0</v>
      </c>
      <c r="AK65" s="26">
        <v>0</v>
      </c>
      <c r="AL65" s="26">
        <v>0</v>
      </c>
      <c r="AM65" s="26">
        <f t="shared" ref="AM65" si="7">SUM(F65:AL65)</f>
        <v>9</v>
      </c>
      <c r="AN65" s="26">
        <v>2</v>
      </c>
    </row>
    <row r="66" spans="1:40" x14ac:dyDescent="0.2">
      <c r="A66" s="112" t="s">
        <v>359</v>
      </c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</row>
    <row r="67" spans="1:40" x14ac:dyDescent="0.2">
      <c r="A67" s="112" t="s">
        <v>360</v>
      </c>
      <c r="B67" s="31">
        <v>1</v>
      </c>
      <c r="C67" s="31">
        <v>1</v>
      </c>
      <c r="D67" s="31">
        <v>1</v>
      </c>
      <c r="E67" s="26">
        <v>60</v>
      </c>
      <c r="F67" s="26">
        <v>0</v>
      </c>
      <c r="G67" s="26">
        <v>0</v>
      </c>
      <c r="H67" s="26">
        <v>0</v>
      </c>
      <c r="I67" s="26">
        <v>1</v>
      </c>
      <c r="J67" s="26">
        <v>0</v>
      </c>
      <c r="K67" s="26">
        <v>1</v>
      </c>
      <c r="L67" s="26">
        <v>0</v>
      </c>
      <c r="M67" s="26">
        <v>0</v>
      </c>
      <c r="N67" s="26">
        <v>0</v>
      </c>
      <c r="O67" s="26">
        <v>0</v>
      </c>
      <c r="P67" s="26">
        <v>0</v>
      </c>
      <c r="Q67" s="26">
        <v>1</v>
      </c>
      <c r="R67" s="26">
        <v>0</v>
      </c>
      <c r="S67" s="26">
        <v>1</v>
      </c>
      <c r="T67" s="26">
        <v>0</v>
      </c>
      <c r="U67" s="26">
        <v>0</v>
      </c>
      <c r="V67" s="26">
        <v>0</v>
      </c>
      <c r="W67" s="26">
        <v>0</v>
      </c>
      <c r="X67" s="26">
        <v>1</v>
      </c>
      <c r="Y67" s="26">
        <v>0</v>
      </c>
      <c r="Z67" s="26">
        <v>0</v>
      </c>
      <c r="AA67" s="26">
        <v>0</v>
      </c>
      <c r="AB67" s="26">
        <v>0</v>
      </c>
      <c r="AC67" s="26">
        <v>1</v>
      </c>
      <c r="AD67" s="26">
        <v>0</v>
      </c>
      <c r="AE67" s="26">
        <v>0</v>
      </c>
      <c r="AF67" s="26">
        <v>0</v>
      </c>
      <c r="AG67" s="26">
        <v>1</v>
      </c>
      <c r="AH67" s="26">
        <v>0</v>
      </c>
      <c r="AI67" s="26">
        <v>1</v>
      </c>
      <c r="AJ67" s="26">
        <v>0</v>
      </c>
      <c r="AK67" s="26">
        <v>0</v>
      </c>
      <c r="AL67" s="26">
        <v>1</v>
      </c>
      <c r="AM67" s="26">
        <f t="shared" ref="AM67" si="8">SUM(F67:AL67)</f>
        <v>9</v>
      </c>
      <c r="AN67" s="26">
        <v>1</v>
      </c>
    </row>
    <row r="68" spans="1:40" x14ac:dyDescent="0.2">
      <c r="A68" s="112" t="s">
        <v>361</v>
      </c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</row>
    <row r="69" spans="1:40" x14ac:dyDescent="0.2">
      <c r="A69" s="112" t="s">
        <v>362</v>
      </c>
      <c r="B69" s="26"/>
      <c r="C69" s="26"/>
      <c r="D69" s="26"/>
      <c r="E69" s="26"/>
      <c r="F69" s="26">
        <v>0</v>
      </c>
      <c r="G69" s="26">
        <v>1</v>
      </c>
      <c r="H69" s="26">
        <v>1</v>
      </c>
      <c r="I69" s="26">
        <v>0</v>
      </c>
      <c r="J69" s="26">
        <v>1</v>
      </c>
      <c r="K69" s="26">
        <v>0</v>
      </c>
      <c r="L69" s="26">
        <v>1</v>
      </c>
      <c r="M69" s="26">
        <v>0</v>
      </c>
      <c r="N69" s="26">
        <v>2</v>
      </c>
      <c r="O69" s="26">
        <v>0</v>
      </c>
      <c r="P69" s="26">
        <v>2</v>
      </c>
      <c r="Q69" s="26">
        <v>0</v>
      </c>
      <c r="R69" s="26">
        <v>2</v>
      </c>
      <c r="S69" s="26">
        <v>1</v>
      </c>
      <c r="T69" s="26">
        <v>1</v>
      </c>
      <c r="U69" s="26">
        <v>1</v>
      </c>
      <c r="V69" s="26">
        <v>1</v>
      </c>
      <c r="W69" s="26">
        <v>0</v>
      </c>
      <c r="X69" s="26">
        <v>1</v>
      </c>
      <c r="Y69" s="26">
        <v>0</v>
      </c>
      <c r="Z69" s="26">
        <v>0</v>
      </c>
      <c r="AA69" s="26">
        <v>1</v>
      </c>
      <c r="AB69" s="26">
        <v>0</v>
      </c>
      <c r="AC69" s="26">
        <v>0</v>
      </c>
      <c r="AD69" s="26">
        <v>0</v>
      </c>
      <c r="AE69" s="26">
        <v>0</v>
      </c>
      <c r="AF69" s="26">
        <v>0</v>
      </c>
      <c r="AG69" s="26">
        <v>0</v>
      </c>
      <c r="AH69" s="26">
        <v>1</v>
      </c>
      <c r="AI69" s="26">
        <v>0</v>
      </c>
      <c r="AJ69" s="26">
        <v>0</v>
      </c>
      <c r="AK69" s="26">
        <v>0</v>
      </c>
      <c r="AL69" s="26">
        <v>0</v>
      </c>
      <c r="AM69" s="26">
        <f t="shared" ref="AM69:AM81" si="9">SUM(F69:AL69)</f>
        <v>17</v>
      </c>
      <c r="AN69" s="26">
        <v>2</v>
      </c>
    </row>
    <row r="70" spans="1:40" x14ac:dyDescent="0.2">
      <c r="A70" s="112" t="s">
        <v>364</v>
      </c>
      <c r="B70" s="31">
        <v>1</v>
      </c>
      <c r="C70" s="31">
        <v>1</v>
      </c>
      <c r="D70" s="31">
        <v>1</v>
      </c>
      <c r="E70" s="26">
        <v>30</v>
      </c>
      <c r="F70" s="26">
        <v>2</v>
      </c>
      <c r="G70" s="26">
        <v>3</v>
      </c>
      <c r="H70" s="26">
        <v>2</v>
      </c>
      <c r="I70" s="26">
        <v>1</v>
      </c>
      <c r="J70" s="26">
        <v>1</v>
      </c>
      <c r="K70" s="26">
        <v>1</v>
      </c>
      <c r="L70" s="26">
        <v>2</v>
      </c>
      <c r="M70" s="26">
        <v>1</v>
      </c>
      <c r="N70" s="26">
        <v>1</v>
      </c>
      <c r="O70" s="26">
        <v>1</v>
      </c>
      <c r="P70" s="26">
        <v>1</v>
      </c>
      <c r="Q70" s="26">
        <v>0</v>
      </c>
      <c r="R70" s="26">
        <v>1</v>
      </c>
      <c r="S70" s="26">
        <v>1</v>
      </c>
      <c r="T70" s="26">
        <v>2</v>
      </c>
      <c r="U70" s="26">
        <v>0</v>
      </c>
      <c r="V70" s="26">
        <v>1</v>
      </c>
      <c r="W70" s="26">
        <v>0</v>
      </c>
      <c r="X70" s="26">
        <v>2</v>
      </c>
      <c r="Y70" s="26">
        <v>0</v>
      </c>
      <c r="Z70" s="26">
        <v>3</v>
      </c>
      <c r="AA70" s="26">
        <v>2</v>
      </c>
      <c r="AB70" s="26">
        <v>1</v>
      </c>
      <c r="AC70" s="26">
        <v>0</v>
      </c>
      <c r="AD70" s="26">
        <v>0</v>
      </c>
      <c r="AE70" s="26">
        <v>0</v>
      </c>
      <c r="AF70" s="26">
        <v>0</v>
      </c>
      <c r="AG70" s="26">
        <v>0</v>
      </c>
      <c r="AH70" s="26">
        <v>0</v>
      </c>
      <c r="AI70" s="26">
        <v>0</v>
      </c>
      <c r="AJ70" s="26">
        <v>0</v>
      </c>
      <c r="AK70" s="26">
        <v>0</v>
      </c>
      <c r="AL70" s="26">
        <v>0</v>
      </c>
      <c r="AM70" s="26">
        <f t="shared" si="9"/>
        <v>29</v>
      </c>
      <c r="AN70" s="26">
        <v>4</v>
      </c>
    </row>
    <row r="71" spans="1:40" x14ac:dyDescent="0.2">
      <c r="A71" s="112" t="s">
        <v>365</v>
      </c>
      <c r="B71" s="31">
        <v>1</v>
      </c>
      <c r="C71" s="31">
        <v>1</v>
      </c>
      <c r="D71" s="31">
        <v>1</v>
      </c>
      <c r="E71" s="26">
        <v>60</v>
      </c>
      <c r="F71" s="26">
        <v>1</v>
      </c>
      <c r="G71" s="26">
        <v>0</v>
      </c>
      <c r="H71" s="26">
        <v>1</v>
      </c>
      <c r="I71" s="26">
        <v>2</v>
      </c>
      <c r="J71" s="26">
        <v>1</v>
      </c>
      <c r="K71" s="26">
        <v>2</v>
      </c>
      <c r="L71" s="26">
        <v>1</v>
      </c>
      <c r="M71" s="26">
        <v>2</v>
      </c>
      <c r="N71" s="26">
        <v>1</v>
      </c>
      <c r="O71" s="26">
        <v>2</v>
      </c>
      <c r="P71" s="26">
        <v>1</v>
      </c>
      <c r="Q71" s="26">
        <v>2</v>
      </c>
      <c r="R71" s="26">
        <v>1</v>
      </c>
      <c r="S71" s="26">
        <v>2</v>
      </c>
      <c r="T71" s="26">
        <v>1</v>
      </c>
      <c r="U71" s="26">
        <v>2</v>
      </c>
      <c r="V71" s="26">
        <v>2</v>
      </c>
      <c r="W71" s="26">
        <v>2</v>
      </c>
      <c r="X71" s="26">
        <v>2</v>
      </c>
      <c r="Y71" s="26">
        <v>0</v>
      </c>
      <c r="Z71" s="26">
        <v>0</v>
      </c>
      <c r="AA71" s="26">
        <v>1</v>
      </c>
      <c r="AB71" s="26">
        <v>1</v>
      </c>
      <c r="AC71" s="26">
        <v>0</v>
      </c>
      <c r="AD71" s="26">
        <v>0</v>
      </c>
      <c r="AE71" s="26">
        <v>0</v>
      </c>
      <c r="AF71" s="26">
        <v>0</v>
      </c>
      <c r="AG71" s="26">
        <v>0</v>
      </c>
      <c r="AH71" s="26">
        <v>0</v>
      </c>
      <c r="AI71" s="26">
        <v>0</v>
      </c>
      <c r="AJ71" s="26">
        <v>0</v>
      </c>
      <c r="AK71" s="26">
        <v>0</v>
      </c>
      <c r="AL71" s="26">
        <v>0</v>
      </c>
      <c r="AM71" s="26">
        <f t="shared" si="9"/>
        <v>30</v>
      </c>
      <c r="AN71" s="26">
        <v>3</v>
      </c>
    </row>
    <row r="72" spans="1:40" x14ac:dyDescent="0.2">
      <c r="A72" s="112" t="s">
        <v>366</v>
      </c>
      <c r="B72" s="31">
        <v>1</v>
      </c>
      <c r="C72" s="31">
        <v>1</v>
      </c>
      <c r="D72" s="31">
        <v>1</v>
      </c>
      <c r="E72" s="26"/>
      <c r="F72" s="26">
        <v>0</v>
      </c>
      <c r="G72" s="26">
        <v>1</v>
      </c>
      <c r="H72" s="26">
        <v>0</v>
      </c>
      <c r="I72" s="26">
        <v>1</v>
      </c>
      <c r="J72" s="26">
        <v>0</v>
      </c>
      <c r="K72" s="26">
        <v>1</v>
      </c>
      <c r="L72" s="26">
        <v>0</v>
      </c>
      <c r="M72" s="26">
        <v>2</v>
      </c>
      <c r="N72" s="26">
        <v>0</v>
      </c>
      <c r="O72" s="26">
        <v>1</v>
      </c>
      <c r="P72" s="26">
        <v>0</v>
      </c>
      <c r="Q72" s="26">
        <v>1</v>
      </c>
      <c r="R72" s="26">
        <v>0</v>
      </c>
      <c r="S72" s="26">
        <v>1</v>
      </c>
      <c r="T72" s="26">
        <v>0</v>
      </c>
      <c r="U72" s="26">
        <v>0</v>
      </c>
      <c r="V72" s="26">
        <v>0</v>
      </c>
      <c r="W72" s="26">
        <v>0</v>
      </c>
      <c r="X72" s="26">
        <v>1</v>
      </c>
      <c r="Y72" s="26">
        <v>0</v>
      </c>
      <c r="Z72" s="26">
        <v>0</v>
      </c>
      <c r="AA72" s="26">
        <v>0</v>
      </c>
      <c r="AB72" s="26">
        <v>0</v>
      </c>
      <c r="AC72" s="26">
        <v>0</v>
      </c>
      <c r="AD72" s="26">
        <v>0</v>
      </c>
      <c r="AE72" s="26">
        <v>0</v>
      </c>
      <c r="AF72" s="26">
        <v>0</v>
      </c>
      <c r="AG72" s="26">
        <v>0</v>
      </c>
      <c r="AH72" s="26">
        <v>0</v>
      </c>
      <c r="AI72" s="26">
        <v>0</v>
      </c>
      <c r="AJ72" s="26">
        <v>0</v>
      </c>
      <c r="AK72" s="26">
        <v>0</v>
      </c>
      <c r="AL72" s="26">
        <v>0</v>
      </c>
      <c r="AM72" s="26">
        <f t="shared" si="9"/>
        <v>9</v>
      </c>
      <c r="AN72" s="26">
        <v>2</v>
      </c>
    </row>
    <row r="73" spans="1:40" x14ac:dyDescent="0.2">
      <c r="A73" s="112" t="s">
        <v>368</v>
      </c>
      <c r="B73" s="31">
        <v>1</v>
      </c>
      <c r="C73" s="31">
        <v>1</v>
      </c>
      <c r="D73" s="31">
        <v>1</v>
      </c>
      <c r="E73" s="26">
        <v>60</v>
      </c>
      <c r="F73" s="26">
        <v>0</v>
      </c>
      <c r="G73" s="26">
        <v>0</v>
      </c>
      <c r="H73" s="26">
        <v>1</v>
      </c>
      <c r="I73" s="26">
        <v>2</v>
      </c>
      <c r="J73" s="26">
        <v>0</v>
      </c>
      <c r="K73" s="26">
        <v>2</v>
      </c>
      <c r="L73" s="26">
        <v>0</v>
      </c>
      <c r="M73" s="26">
        <v>2</v>
      </c>
      <c r="N73" s="26">
        <v>0</v>
      </c>
      <c r="O73" s="26">
        <v>2</v>
      </c>
      <c r="P73" s="26">
        <v>1</v>
      </c>
      <c r="Q73" s="26">
        <v>2</v>
      </c>
      <c r="R73" s="26">
        <v>4</v>
      </c>
      <c r="S73" s="26">
        <v>2</v>
      </c>
      <c r="T73" s="26">
        <v>0</v>
      </c>
      <c r="U73" s="26">
        <v>2</v>
      </c>
      <c r="V73" s="26">
        <v>1</v>
      </c>
      <c r="W73" s="26">
        <v>0</v>
      </c>
      <c r="X73" s="26">
        <v>0</v>
      </c>
      <c r="Y73" s="26">
        <v>0</v>
      </c>
      <c r="Z73" s="26">
        <v>0</v>
      </c>
      <c r="AA73" s="26">
        <v>0</v>
      </c>
      <c r="AB73" s="26">
        <v>1</v>
      </c>
      <c r="AC73" s="26">
        <v>0</v>
      </c>
      <c r="AD73" s="26">
        <v>0</v>
      </c>
      <c r="AE73" s="26">
        <v>0</v>
      </c>
      <c r="AF73" s="26">
        <v>2</v>
      </c>
      <c r="AG73" s="26">
        <v>0</v>
      </c>
      <c r="AH73" s="26">
        <v>0</v>
      </c>
      <c r="AI73" s="26">
        <v>0</v>
      </c>
      <c r="AJ73" s="26">
        <v>0</v>
      </c>
      <c r="AK73" s="26">
        <v>1</v>
      </c>
      <c r="AL73" s="26">
        <v>1</v>
      </c>
      <c r="AM73" s="26">
        <f t="shared" si="9"/>
        <v>26</v>
      </c>
      <c r="AN73" s="26">
        <v>2</v>
      </c>
    </row>
    <row r="74" spans="1:40" x14ac:dyDescent="0.2">
      <c r="A74" s="112" t="s">
        <v>369</v>
      </c>
      <c r="B74" s="31">
        <v>1</v>
      </c>
      <c r="C74" s="31">
        <v>1</v>
      </c>
      <c r="D74" s="31">
        <v>1</v>
      </c>
      <c r="E74" s="26"/>
      <c r="F74" s="26">
        <v>1</v>
      </c>
      <c r="G74" s="26">
        <v>1</v>
      </c>
      <c r="H74" s="26">
        <v>2</v>
      </c>
      <c r="I74" s="26">
        <v>2</v>
      </c>
      <c r="J74" s="26">
        <v>1</v>
      </c>
      <c r="K74" s="26">
        <v>1</v>
      </c>
      <c r="L74" s="26">
        <v>0</v>
      </c>
      <c r="M74" s="26">
        <v>0</v>
      </c>
      <c r="N74" s="26">
        <v>0</v>
      </c>
      <c r="O74" s="26">
        <v>0</v>
      </c>
      <c r="P74" s="26">
        <v>0</v>
      </c>
      <c r="Q74" s="26">
        <v>2</v>
      </c>
      <c r="R74" s="26">
        <v>1</v>
      </c>
      <c r="S74" s="26">
        <v>3</v>
      </c>
      <c r="T74" s="26">
        <v>2</v>
      </c>
      <c r="U74" s="26">
        <v>0</v>
      </c>
      <c r="V74" s="26">
        <v>0</v>
      </c>
      <c r="W74" s="26">
        <v>0</v>
      </c>
      <c r="X74" s="26">
        <v>0</v>
      </c>
      <c r="Y74" s="26">
        <v>0</v>
      </c>
      <c r="Z74" s="26">
        <v>0</v>
      </c>
      <c r="AA74" s="26">
        <v>0</v>
      </c>
      <c r="AB74" s="26">
        <v>1</v>
      </c>
      <c r="AC74" s="26">
        <v>1</v>
      </c>
      <c r="AD74" s="26">
        <v>1</v>
      </c>
      <c r="AE74" s="26">
        <v>0</v>
      </c>
      <c r="AF74" s="26">
        <v>0</v>
      </c>
      <c r="AG74" s="26">
        <v>0</v>
      </c>
      <c r="AH74" s="26">
        <v>0</v>
      </c>
      <c r="AI74" s="26">
        <v>0</v>
      </c>
      <c r="AJ74" s="26">
        <v>0</v>
      </c>
      <c r="AK74" s="26">
        <v>0</v>
      </c>
      <c r="AL74" s="26">
        <v>0</v>
      </c>
      <c r="AM74" s="26">
        <f t="shared" si="9"/>
        <v>19</v>
      </c>
      <c r="AN74" s="26">
        <v>2</v>
      </c>
    </row>
    <row r="75" spans="1:40" x14ac:dyDescent="0.2">
      <c r="A75" s="112" t="s">
        <v>370</v>
      </c>
      <c r="B75" s="26"/>
      <c r="C75" s="26"/>
      <c r="D75" s="26"/>
      <c r="E75" s="26"/>
      <c r="F75" s="26">
        <v>1</v>
      </c>
      <c r="G75" s="26">
        <v>2</v>
      </c>
      <c r="H75" s="26">
        <v>1</v>
      </c>
      <c r="I75" s="26">
        <v>2</v>
      </c>
      <c r="J75" s="26">
        <v>1</v>
      </c>
      <c r="K75" s="26">
        <v>1</v>
      </c>
      <c r="L75" s="26">
        <v>1</v>
      </c>
      <c r="M75" s="26">
        <v>1</v>
      </c>
      <c r="N75" s="26">
        <v>1</v>
      </c>
      <c r="O75" s="26">
        <v>2</v>
      </c>
      <c r="P75" s="26">
        <v>1</v>
      </c>
      <c r="Q75" s="26">
        <v>2</v>
      </c>
      <c r="R75" s="26">
        <v>1</v>
      </c>
      <c r="S75" s="26">
        <v>3</v>
      </c>
      <c r="T75" s="26">
        <v>3</v>
      </c>
      <c r="U75" s="26">
        <v>1</v>
      </c>
      <c r="V75" s="26">
        <v>1</v>
      </c>
      <c r="W75" s="26">
        <v>1</v>
      </c>
      <c r="X75" s="26">
        <v>3</v>
      </c>
      <c r="Y75" s="26">
        <v>2</v>
      </c>
      <c r="Z75" s="26">
        <v>3</v>
      </c>
      <c r="AA75" s="26">
        <v>3</v>
      </c>
      <c r="AB75" s="26">
        <v>1</v>
      </c>
      <c r="AC75" s="26">
        <v>1</v>
      </c>
      <c r="AD75" s="26">
        <v>1</v>
      </c>
      <c r="AE75" s="26">
        <v>1</v>
      </c>
      <c r="AF75" s="26">
        <v>0</v>
      </c>
      <c r="AG75" s="26">
        <v>0</v>
      </c>
      <c r="AH75" s="26">
        <v>0</v>
      </c>
      <c r="AI75" s="26">
        <v>0</v>
      </c>
      <c r="AJ75" s="26">
        <v>0</v>
      </c>
      <c r="AK75" s="26">
        <v>0</v>
      </c>
      <c r="AL75" s="26">
        <v>0</v>
      </c>
      <c r="AM75" s="26">
        <f t="shared" si="9"/>
        <v>41</v>
      </c>
      <c r="AN75" s="26">
        <v>4</v>
      </c>
    </row>
    <row r="76" spans="1:40" x14ac:dyDescent="0.2">
      <c r="A76" s="112" t="s">
        <v>372</v>
      </c>
      <c r="B76" s="26"/>
      <c r="C76" s="26"/>
      <c r="D76" s="26"/>
      <c r="E76" s="26"/>
      <c r="F76" s="26">
        <v>0</v>
      </c>
      <c r="G76" s="26">
        <v>1</v>
      </c>
      <c r="H76" s="26">
        <v>0</v>
      </c>
      <c r="I76" s="26">
        <v>0</v>
      </c>
      <c r="J76" s="26">
        <v>0</v>
      </c>
      <c r="K76" s="26">
        <v>0</v>
      </c>
      <c r="L76" s="26">
        <v>0</v>
      </c>
      <c r="M76" s="26">
        <v>0</v>
      </c>
      <c r="N76" s="26">
        <v>0</v>
      </c>
      <c r="O76" s="26">
        <v>0</v>
      </c>
      <c r="P76" s="26">
        <v>0</v>
      </c>
      <c r="Q76" s="26">
        <v>0</v>
      </c>
      <c r="R76" s="26">
        <v>1</v>
      </c>
      <c r="S76" s="26">
        <v>1</v>
      </c>
      <c r="T76" s="26">
        <v>1</v>
      </c>
      <c r="U76" s="26">
        <v>2</v>
      </c>
      <c r="V76" s="26">
        <v>0</v>
      </c>
      <c r="W76" s="26">
        <v>1</v>
      </c>
      <c r="X76" s="26">
        <v>0</v>
      </c>
      <c r="Y76" s="26">
        <v>0</v>
      </c>
      <c r="Z76" s="26">
        <v>0</v>
      </c>
      <c r="AA76" s="26">
        <v>3</v>
      </c>
      <c r="AB76" s="26">
        <v>1</v>
      </c>
      <c r="AC76" s="26">
        <v>1</v>
      </c>
      <c r="AD76" s="26">
        <v>1</v>
      </c>
      <c r="AE76" s="26">
        <v>1</v>
      </c>
      <c r="AF76" s="26">
        <v>0</v>
      </c>
      <c r="AG76" s="26">
        <v>0</v>
      </c>
      <c r="AH76" s="26">
        <v>0</v>
      </c>
      <c r="AI76" s="26">
        <v>0</v>
      </c>
      <c r="AJ76" s="26">
        <v>0</v>
      </c>
      <c r="AK76" s="26">
        <v>0</v>
      </c>
      <c r="AL76" s="26">
        <v>0</v>
      </c>
      <c r="AM76" s="26">
        <f t="shared" si="9"/>
        <v>14</v>
      </c>
      <c r="AN76" s="26">
        <v>2</v>
      </c>
    </row>
    <row r="77" spans="1:40" x14ac:dyDescent="0.2">
      <c r="A77" s="112" t="s">
        <v>375</v>
      </c>
      <c r="B77" s="31">
        <v>1</v>
      </c>
      <c r="C77" s="31">
        <v>1</v>
      </c>
      <c r="D77" s="31">
        <v>1</v>
      </c>
      <c r="E77" s="112">
        <v>60</v>
      </c>
      <c r="F77" s="112">
        <v>1</v>
      </c>
      <c r="G77" s="112">
        <v>1</v>
      </c>
      <c r="H77" s="112">
        <v>0</v>
      </c>
      <c r="I77" s="112">
        <v>0</v>
      </c>
      <c r="J77" s="112">
        <v>1</v>
      </c>
      <c r="K77" s="112">
        <v>0</v>
      </c>
      <c r="L77" s="112">
        <v>0</v>
      </c>
      <c r="M77" s="112">
        <v>0</v>
      </c>
      <c r="N77" s="112">
        <v>1</v>
      </c>
      <c r="O77" s="112">
        <v>0</v>
      </c>
      <c r="P77" s="112">
        <v>0</v>
      </c>
      <c r="Q77" s="112">
        <v>0</v>
      </c>
      <c r="R77" s="112">
        <v>0</v>
      </c>
      <c r="S77" s="112">
        <v>0</v>
      </c>
      <c r="T77" s="112">
        <v>0</v>
      </c>
      <c r="U77" s="112">
        <v>0</v>
      </c>
      <c r="V77" s="112">
        <v>0</v>
      </c>
      <c r="W77" s="112">
        <v>1</v>
      </c>
      <c r="X77" s="112">
        <v>1</v>
      </c>
      <c r="Y77" s="112">
        <v>0</v>
      </c>
      <c r="Z77" s="112">
        <v>2</v>
      </c>
      <c r="AA77" s="112">
        <v>2</v>
      </c>
      <c r="AB77" s="112">
        <v>1</v>
      </c>
      <c r="AC77" s="112">
        <v>1</v>
      </c>
      <c r="AD77" s="112">
        <v>1</v>
      </c>
      <c r="AE77" s="112">
        <v>0</v>
      </c>
      <c r="AF77" s="112">
        <v>1</v>
      </c>
      <c r="AG77" s="112">
        <v>0</v>
      </c>
      <c r="AH77" s="112">
        <v>0</v>
      </c>
      <c r="AI77" s="112">
        <v>0</v>
      </c>
      <c r="AJ77" s="112">
        <v>0</v>
      </c>
      <c r="AK77" s="112">
        <v>0</v>
      </c>
      <c r="AL77" s="112">
        <v>0</v>
      </c>
      <c r="AM77" s="26">
        <f t="shared" si="9"/>
        <v>14</v>
      </c>
      <c r="AN77" s="112"/>
    </row>
    <row r="78" spans="1:40" x14ac:dyDescent="0.2">
      <c r="A78" s="112" t="s">
        <v>379</v>
      </c>
      <c r="B78" s="31">
        <v>1</v>
      </c>
      <c r="C78" s="31">
        <v>1</v>
      </c>
      <c r="D78" s="31">
        <v>1</v>
      </c>
      <c r="E78" s="112">
        <v>180</v>
      </c>
      <c r="F78" s="112">
        <v>2</v>
      </c>
      <c r="G78" s="112">
        <v>3</v>
      </c>
      <c r="H78" s="112">
        <v>3</v>
      </c>
      <c r="I78" s="112">
        <v>1</v>
      </c>
      <c r="J78" s="112">
        <v>2</v>
      </c>
      <c r="K78" s="112">
        <v>2</v>
      </c>
      <c r="L78" s="112">
        <v>2</v>
      </c>
      <c r="M78" s="112">
        <v>0</v>
      </c>
      <c r="N78" s="112">
        <v>0</v>
      </c>
      <c r="O78" s="112">
        <v>0</v>
      </c>
      <c r="P78" s="112">
        <v>0</v>
      </c>
      <c r="Q78" s="112">
        <v>0</v>
      </c>
      <c r="R78" s="112">
        <v>0</v>
      </c>
      <c r="S78" s="112">
        <v>0</v>
      </c>
      <c r="T78" s="112">
        <v>1</v>
      </c>
      <c r="U78" s="112">
        <v>0</v>
      </c>
      <c r="V78" s="112">
        <v>1</v>
      </c>
      <c r="W78" s="112">
        <v>0</v>
      </c>
      <c r="X78" s="112">
        <v>1</v>
      </c>
      <c r="Y78" s="112">
        <v>0</v>
      </c>
      <c r="Z78" s="112">
        <v>1</v>
      </c>
      <c r="AA78" s="112">
        <v>1</v>
      </c>
      <c r="AB78" s="112">
        <v>0</v>
      </c>
      <c r="AC78" s="112">
        <v>0</v>
      </c>
      <c r="AD78" s="112">
        <v>0</v>
      </c>
      <c r="AE78" s="112">
        <v>0</v>
      </c>
      <c r="AF78" s="112">
        <v>0</v>
      </c>
      <c r="AG78" s="112">
        <v>0</v>
      </c>
      <c r="AH78" s="112">
        <v>0</v>
      </c>
      <c r="AI78" s="112">
        <v>0</v>
      </c>
      <c r="AJ78" s="112">
        <v>0</v>
      </c>
      <c r="AK78" s="112">
        <v>0</v>
      </c>
      <c r="AL78" s="112">
        <v>0</v>
      </c>
      <c r="AM78" s="26">
        <f t="shared" si="9"/>
        <v>20</v>
      </c>
      <c r="AN78" s="112">
        <v>2</v>
      </c>
    </row>
    <row r="79" spans="1:40" x14ac:dyDescent="0.2">
      <c r="A79" s="112" t="s">
        <v>380</v>
      </c>
      <c r="B79" s="31">
        <v>1</v>
      </c>
      <c r="C79" s="31">
        <v>1</v>
      </c>
      <c r="D79" s="31">
        <v>1</v>
      </c>
      <c r="E79" s="112">
        <v>60</v>
      </c>
      <c r="F79" s="112">
        <v>1</v>
      </c>
      <c r="G79" s="112">
        <v>1</v>
      </c>
      <c r="H79" s="112">
        <v>1</v>
      </c>
      <c r="I79" s="112">
        <v>0</v>
      </c>
      <c r="J79" s="112">
        <v>1</v>
      </c>
      <c r="K79" s="112">
        <v>0</v>
      </c>
      <c r="L79" s="112">
        <v>1</v>
      </c>
      <c r="M79" s="112">
        <v>1</v>
      </c>
      <c r="N79" s="112">
        <v>0</v>
      </c>
      <c r="O79" s="112">
        <v>0</v>
      </c>
      <c r="P79" s="112">
        <v>0</v>
      </c>
      <c r="Q79" s="112">
        <v>0</v>
      </c>
      <c r="R79" s="112">
        <v>0</v>
      </c>
      <c r="S79" s="112">
        <v>0</v>
      </c>
      <c r="T79" s="112">
        <v>1</v>
      </c>
      <c r="U79" s="112">
        <v>0</v>
      </c>
      <c r="V79" s="112">
        <v>0</v>
      </c>
      <c r="W79" s="112">
        <v>1</v>
      </c>
      <c r="X79" s="112">
        <v>1</v>
      </c>
      <c r="Y79" s="112">
        <v>0</v>
      </c>
      <c r="Z79" s="112">
        <v>0</v>
      </c>
      <c r="AA79" s="112">
        <v>1</v>
      </c>
      <c r="AB79" s="112">
        <v>1</v>
      </c>
      <c r="AC79" s="112">
        <v>0</v>
      </c>
      <c r="AD79" s="112">
        <v>0</v>
      </c>
      <c r="AE79" s="112">
        <v>0</v>
      </c>
      <c r="AF79" s="112">
        <v>0</v>
      </c>
      <c r="AG79" s="112">
        <v>0</v>
      </c>
      <c r="AH79" s="112">
        <v>0</v>
      </c>
      <c r="AI79" s="112">
        <v>0</v>
      </c>
      <c r="AJ79" s="112">
        <v>0</v>
      </c>
      <c r="AK79" s="112">
        <v>0</v>
      </c>
      <c r="AL79" s="112">
        <v>0</v>
      </c>
      <c r="AM79" s="26">
        <f t="shared" si="9"/>
        <v>11</v>
      </c>
      <c r="AN79" s="112">
        <v>1</v>
      </c>
    </row>
    <row r="80" spans="1:40" x14ac:dyDescent="0.2">
      <c r="A80" s="112" t="s">
        <v>381</v>
      </c>
      <c r="B80" s="31">
        <v>1</v>
      </c>
      <c r="C80" s="31">
        <v>1</v>
      </c>
      <c r="D80" s="31">
        <v>1</v>
      </c>
      <c r="E80" s="26">
        <v>90</v>
      </c>
      <c r="F80" s="26">
        <v>2</v>
      </c>
      <c r="G80" s="26">
        <v>2</v>
      </c>
      <c r="H80" s="26">
        <v>3</v>
      </c>
      <c r="I80" s="26">
        <v>2</v>
      </c>
      <c r="J80" s="26">
        <v>2</v>
      </c>
      <c r="K80" s="26">
        <v>2</v>
      </c>
      <c r="L80" s="26">
        <v>2</v>
      </c>
      <c r="M80" s="26">
        <v>2</v>
      </c>
      <c r="N80" s="26">
        <v>3</v>
      </c>
      <c r="O80" s="26">
        <v>2</v>
      </c>
      <c r="P80" s="26">
        <v>3</v>
      </c>
      <c r="Q80" s="26">
        <v>2</v>
      </c>
      <c r="R80" s="26">
        <v>3</v>
      </c>
      <c r="S80" s="26">
        <v>3</v>
      </c>
      <c r="T80" s="26">
        <v>3</v>
      </c>
      <c r="U80" s="26">
        <v>2</v>
      </c>
      <c r="V80" s="26">
        <v>2</v>
      </c>
      <c r="W80" s="26">
        <v>2</v>
      </c>
      <c r="X80" s="26">
        <v>3</v>
      </c>
      <c r="Y80" s="26">
        <v>1</v>
      </c>
      <c r="Z80" s="26">
        <v>3</v>
      </c>
      <c r="AA80" s="26">
        <v>2</v>
      </c>
      <c r="AB80" s="26">
        <v>2</v>
      </c>
      <c r="AC80" s="26">
        <v>0</v>
      </c>
      <c r="AD80" s="26">
        <v>0</v>
      </c>
      <c r="AE80" s="26">
        <v>2</v>
      </c>
      <c r="AF80" s="26">
        <v>2</v>
      </c>
      <c r="AG80" s="26">
        <v>0</v>
      </c>
      <c r="AH80" s="26">
        <v>0</v>
      </c>
      <c r="AI80" s="26">
        <v>0</v>
      </c>
      <c r="AJ80" s="26">
        <v>0</v>
      </c>
      <c r="AK80" s="26">
        <v>0</v>
      </c>
      <c r="AL80" s="26">
        <v>1</v>
      </c>
      <c r="AM80" s="26">
        <f t="shared" si="9"/>
        <v>58</v>
      </c>
      <c r="AN80" s="26">
        <v>4</v>
      </c>
    </row>
    <row r="81" spans="1:40" x14ac:dyDescent="0.2">
      <c r="A81" s="112" t="s">
        <v>382</v>
      </c>
      <c r="B81" s="31">
        <v>1</v>
      </c>
      <c r="C81" s="31">
        <v>1</v>
      </c>
      <c r="D81" s="31">
        <v>1</v>
      </c>
      <c r="E81" s="26">
        <v>60</v>
      </c>
      <c r="F81" s="26">
        <v>2</v>
      </c>
      <c r="G81" s="26">
        <v>2</v>
      </c>
      <c r="H81" s="26">
        <v>2</v>
      </c>
      <c r="I81" s="26">
        <v>3</v>
      </c>
      <c r="J81" s="26">
        <v>3</v>
      </c>
      <c r="K81" s="26">
        <v>2</v>
      </c>
      <c r="L81" s="26">
        <v>2</v>
      </c>
      <c r="M81" s="26">
        <v>2</v>
      </c>
      <c r="N81" s="26">
        <v>2</v>
      </c>
      <c r="O81" s="26">
        <v>2</v>
      </c>
      <c r="P81" s="26">
        <v>2</v>
      </c>
      <c r="Q81" s="26">
        <v>2</v>
      </c>
      <c r="R81" s="26">
        <v>2</v>
      </c>
      <c r="S81" s="26">
        <v>2</v>
      </c>
      <c r="T81" s="26">
        <v>2</v>
      </c>
      <c r="U81" s="26">
        <v>2</v>
      </c>
      <c r="V81" s="26">
        <v>2</v>
      </c>
      <c r="W81" s="26">
        <v>2</v>
      </c>
      <c r="X81" s="26">
        <v>3</v>
      </c>
      <c r="Y81" s="26">
        <v>0</v>
      </c>
      <c r="Z81" s="26">
        <v>2</v>
      </c>
      <c r="AA81" s="26">
        <v>2</v>
      </c>
      <c r="AB81" s="26">
        <v>0</v>
      </c>
      <c r="AC81" s="26">
        <v>0</v>
      </c>
      <c r="AD81" s="26">
        <v>0</v>
      </c>
      <c r="AE81" s="26">
        <v>0</v>
      </c>
      <c r="AF81" s="26">
        <v>0</v>
      </c>
      <c r="AG81" s="26">
        <v>0</v>
      </c>
      <c r="AH81" s="26">
        <v>0</v>
      </c>
      <c r="AI81" s="26">
        <v>0</v>
      </c>
      <c r="AJ81" s="26">
        <v>0</v>
      </c>
      <c r="AK81" s="26">
        <v>0</v>
      </c>
      <c r="AL81" s="26">
        <v>0</v>
      </c>
      <c r="AM81" s="26">
        <f t="shared" si="9"/>
        <v>45</v>
      </c>
      <c r="AN81" s="26">
        <v>4</v>
      </c>
    </row>
    <row r="82" spans="1:40" x14ac:dyDescent="0.2">
      <c r="A82" s="112" t="s">
        <v>384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</row>
    <row r="83" spans="1:40" x14ac:dyDescent="0.2">
      <c r="A83" s="112" t="s">
        <v>385</v>
      </c>
      <c r="B83" s="26"/>
      <c r="C83" s="26"/>
      <c r="D83" s="26"/>
      <c r="E83" s="26"/>
      <c r="F83" s="26">
        <v>1</v>
      </c>
      <c r="G83" s="26">
        <v>1</v>
      </c>
      <c r="H83" s="26">
        <v>1</v>
      </c>
      <c r="I83" s="26">
        <v>1</v>
      </c>
      <c r="J83" s="26">
        <v>2</v>
      </c>
      <c r="K83" s="26">
        <v>0</v>
      </c>
      <c r="L83" s="26">
        <v>1</v>
      </c>
      <c r="M83" s="26">
        <v>1</v>
      </c>
      <c r="N83" s="26">
        <v>2</v>
      </c>
      <c r="O83" s="26">
        <v>1</v>
      </c>
      <c r="P83" s="26">
        <v>2</v>
      </c>
      <c r="Q83" s="26">
        <v>1</v>
      </c>
      <c r="R83" s="26">
        <v>2</v>
      </c>
      <c r="S83" s="26">
        <v>0</v>
      </c>
      <c r="T83" s="26">
        <v>1</v>
      </c>
      <c r="U83" s="26">
        <v>0</v>
      </c>
      <c r="V83" s="26">
        <v>1</v>
      </c>
      <c r="W83" s="26">
        <v>0</v>
      </c>
      <c r="X83" s="26">
        <v>1</v>
      </c>
      <c r="Y83" s="26">
        <v>0</v>
      </c>
      <c r="Z83" s="26">
        <v>0</v>
      </c>
      <c r="AA83" s="26">
        <v>1</v>
      </c>
      <c r="AB83" s="26">
        <v>2</v>
      </c>
      <c r="AC83" s="26">
        <v>0</v>
      </c>
      <c r="AD83" s="26">
        <v>0</v>
      </c>
      <c r="AE83" s="26">
        <v>0</v>
      </c>
      <c r="AF83" s="26">
        <v>0</v>
      </c>
      <c r="AG83" s="26">
        <v>0</v>
      </c>
      <c r="AH83" s="26">
        <v>0</v>
      </c>
      <c r="AI83" s="26">
        <v>0</v>
      </c>
      <c r="AJ83" s="26">
        <v>0</v>
      </c>
      <c r="AK83" s="26">
        <v>0</v>
      </c>
      <c r="AL83" s="26">
        <v>0</v>
      </c>
      <c r="AM83" s="26">
        <f t="shared" ref="AM83:AM90" si="10">SUM(F83:AL83)</f>
        <v>22</v>
      </c>
      <c r="AN83" s="26">
        <v>2</v>
      </c>
    </row>
    <row r="84" spans="1:40" x14ac:dyDescent="0.2">
      <c r="A84" s="112" t="s">
        <v>386</v>
      </c>
      <c r="B84" s="26"/>
      <c r="C84" s="26"/>
      <c r="D84" s="26"/>
      <c r="E84" s="26"/>
      <c r="F84" s="26">
        <v>1</v>
      </c>
      <c r="G84" s="26">
        <v>1</v>
      </c>
      <c r="H84" s="26">
        <v>1</v>
      </c>
      <c r="I84" s="26">
        <v>1</v>
      </c>
      <c r="J84" s="26">
        <v>1</v>
      </c>
      <c r="K84" s="26">
        <v>1</v>
      </c>
      <c r="L84" s="26">
        <v>1</v>
      </c>
      <c r="M84" s="26">
        <v>0</v>
      </c>
      <c r="N84" s="26">
        <v>1</v>
      </c>
      <c r="O84" s="26">
        <v>0</v>
      </c>
      <c r="P84" s="26">
        <v>1</v>
      </c>
      <c r="Q84" s="26">
        <v>1</v>
      </c>
      <c r="R84" s="26">
        <v>1</v>
      </c>
      <c r="S84" s="26">
        <v>1</v>
      </c>
      <c r="T84" s="26">
        <v>1</v>
      </c>
      <c r="U84" s="26">
        <v>1</v>
      </c>
      <c r="V84" s="26">
        <v>1</v>
      </c>
      <c r="W84" s="26">
        <v>0</v>
      </c>
      <c r="X84" s="26">
        <v>1</v>
      </c>
      <c r="Y84" s="26">
        <v>0</v>
      </c>
      <c r="Z84" s="26">
        <v>1</v>
      </c>
      <c r="AA84" s="26">
        <v>1</v>
      </c>
      <c r="AB84" s="26">
        <v>0</v>
      </c>
      <c r="AC84" s="26">
        <v>1</v>
      </c>
      <c r="AD84" s="26">
        <v>0</v>
      </c>
      <c r="AE84" s="26">
        <v>0</v>
      </c>
      <c r="AF84" s="26">
        <v>0</v>
      </c>
      <c r="AG84" s="26">
        <v>1</v>
      </c>
      <c r="AH84" s="26">
        <v>0</v>
      </c>
      <c r="AI84" s="26">
        <v>0</v>
      </c>
      <c r="AJ84" s="26">
        <v>1</v>
      </c>
      <c r="AK84" s="26">
        <v>0</v>
      </c>
      <c r="AL84" s="26">
        <v>0</v>
      </c>
      <c r="AM84" s="26">
        <f t="shared" si="10"/>
        <v>21</v>
      </c>
      <c r="AN84" s="26">
        <v>2</v>
      </c>
    </row>
    <row r="85" spans="1:40" x14ac:dyDescent="0.2">
      <c r="A85" s="112" t="s">
        <v>387</v>
      </c>
      <c r="B85" s="31">
        <v>1</v>
      </c>
      <c r="C85" s="31">
        <v>1</v>
      </c>
      <c r="D85" s="31">
        <v>1</v>
      </c>
      <c r="E85" s="26">
        <v>120</v>
      </c>
      <c r="F85" s="26">
        <v>1</v>
      </c>
      <c r="G85" s="26">
        <v>2</v>
      </c>
      <c r="H85" s="26">
        <v>1</v>
      </c>
      <c r="I85" s="26">
        <v>1</v>
      </c>
      <c r="J85" s="26">
        <v>0</v>
      </c>
      <c r="K85" s="26">
        <v>0</v>
      </c>
      <c r="L85" s="26">
        <v>0</v>
      </c>
      <c r="M85" s="26">
        <v>1</v>
      </c>
      <c r="N85" s="26">
        <v>0</v>
      </c>
      <c r="O85" s="26">
        <v>0</v>
      </c>
      <c r="P85" s="26">
        <v>0</v>
      </c>
      <c r="Q85" s="26">
        <v>0</v>
      </c>
      <c r="R85" s="26">
        <v>0</v>
      </c>
      <c r="S85" s="26">
        <v>3</v>
      </c>
      <c r="T85" s="26">
        <v>0</v>
      </c>
      <c r="U85" s="26">
        <v>0</v>
      </c>
      <c r="V85" s="26">
        <v>0</v>
      </c>
      <c r="W85" s="26">
        <v>0</v>
      </c>
      <c r="X85" s="26">
        <v>1</v>
      </c>
      <c r="Y85" s="26">
        <v>0</v>
      </c>
      <c r="Z85" s="26">
        <v>0</v>
      </c>
      <c r="AA85" s="26">
        <v>1</v>
      </c>
      <c r="AB85" s="26">
        <v>1</v>
      </c>
      <c r="AC85" s="26">
        <v>0</v>
      </c>
      <c r="AD85" s="26">
        <v>0</v>
      </c>
      <c r="AE85" s="26">
        <v>0</v>
      </c>
      <c r="AF85" s="26">
        <v>0</v>
      </c>
      <c r="AG85" s="26">
        <v>0</v>
      </c>
      <c r="AH85" s="26">
        <v>0</v>
      </c>
      <c r="AI85" s="26">
        <v>0</v>
      </c>
      <c r="AJ85" s="26">
        <v>0</v>
      </c>
      <c r="AK85" s="26">
        <v>0</v>
      </c>
      <c r="AL85" s="26">
        <v>0</v>
      </c>
      <c r="AM85" s="26">
        <f t="shared" si="10"/>
        <v>12</v>
      </c>
      <c r="AN85" s="26">
        <v>2</v>
      </c>
    </row>
    <row r="86" spans="1:40" x14ac:dyDescent="0.2">
      <c r="A86" s="112" t="s">
        <v>388</v>
      </c>
      <c r="B86" s="31">
        <v>1</v>
      </c>
      <c r="C86" s="31">
        <v>1</v>
      </c>
      <c r="D86" s="31">
        <v>1</v>
      </c>
      <c r="E86" s="26">
        <v>20</v>
      </c>
      <c r="F86" s="26">
        <v>1</v>
      </c>
      <c r="G86" s="26">
        <v>2</v>
      </c>
      <c r="H86" s="26">
        <v>1</v>
      </c>
      <c r="I86" s="26">
        <v>1</v>
      </c>
      <c r="J86" s="26">
        <v>2</v>
      </c>
      <c r="K86" s="26">
        <v>1</v>
      </c>
      <c r="L86" s="26">
        <v>2</v>
      </c>
      <c r="M86" s="26">
        <v>0</v>
      </c>
      <c r="N86" s="26">
        <v>1</v>
      </c>
      <c r="O86" s="26">
        <v>0</v>
      </c>
      <c r="P86" s="26">
        <v>1</v>
      </c>
      <c r="Q86" s="26">
        <v>1</v>
      </c>
      <c r="R86" s="26">
        <v>1</v>
      </c>
      <c r="S86" s="26">
        <v>0</v>
      </c>
      <c r="T86" s="26">
        <v>1</v>
      </c>
      <c r="U86" s="26">
        <v>0</v>
      </c>
      <c r="V86" s="26">
        <v>1</v>
      </c>
      <c r="W86" s="26">
        <v>0</v>
      </c>
      <c r="X86" s="26">
        <v>1</v>
      </c>
      <c r="Y86" s="26">
        <v>0</v>
      </c>
      <c r="Z86" s="26">
        <v>0</v>
      </c>
      <c r="AA86" s="26">
        <v>0</v>
      </c>
      <c r="AB86" s="26">
        <v>1</v>
      </c>
      <c r="AC86" s="26">
        <v>0</v>
      </c>
      <c r="AD86" s="26">
        <v>0</v>
      </c>
      <c r="AE86" s="26">
        <v>0</v>
      </c>
      <c r="AF86" s="26">
        <v>0</v>
      </c>
      <c r="AG86" s="26">
        <v>0</v>
      </c>
      <c r="AH86" s="26">
        <v>0</v>
      </c>
      <c r="AI86" s="26">
        <v>0</v>
      </c>
      <c r="AJ86" s="26">
        <v>0</v>
      </c>
      <c r="AK86" s="26">
        <v>0</v>
      </c>
      <c r="AL86" s="26">
        <v>0</v>
      </c>
      <c r="AM86" s="26">
        <f t="shared" si="10"/>
        <v>18</v>
      </c>
      <c r="AN86" s="26"/>
    </row>
    <row r="87" spans="1:40" x14ac:dyDescent="0.2">
      <c r="A87" s="112" t="s">
        <v>389</v>
      </c>
      <c r="B87" s="31">
        <v>1</v>
      </c>
      <c r="C87" s="31">
        <v>1</v>
      </c>
      <c r="D87" s="31">
        <v>1</v>
      </c>
      <c r="E87" s="26">
        <v>180</v>
      </c>
      <c r="F87" s="26">
        <v>1</v>
      </c>
      <c r="G87" s="26">
        <v>1</v>
      </c>
      <c r="H87" s="26">
        <v>1</v>
      </c>
      <c r="I87" s="26">
        <v>2</v>
      </c>
      <c r="J87" s="26">
        <v>2</v>
      </c>
      <c r="K87" s="26">
        <v>2</v>
      </c>
      <c r="L87" s="26">
        <v>2</v>
      </c>
      <c r="M87" s="26">
        <v>2</v>
      </c>
      <c r="N87" s="26">
        <v>2</v>
      </c>
      <c r="O87" s="26">
        <v>2</v>
      </c>
      <c r="P87" s="26">
        <v>2</v>
      </c>
      <c r="Q87" s="26">
        <v>2</v>
      </c>
      <c r="R87" s="26">
        <v>2</v>
      </c>
      <c r="S87" s="26">
        <v>2</v>
      </c>
      <c r="T87" s="26">
        <v>2</v>
      </c>
      <c r="U87" s="26">
        <v>2</v>
      </c>
      <c r="V87" s="26">
        <v>2</v>
      </c>
      <c r="W87" s="26">
        <v>2</v>
      </c>
      <c r="X87" s="26">
        <v>2</v>
      </c>
      <c r="Y87" s="26">
        <v>2</v>
      </c>
      <c r="Z87" s="26">
        <v>2</v>
      </c>
      <c r="AA87" s="26">
        <v>2</v>
      </c>
      <c r="AB87" s="26">
        <v>2</v>
      </c>
      <c r="AC87" s="26">
        <v>0</v>
      </c>
      <c r="AD87" s="26">
        <v>0</v>
      </c>
      <c r="AE87" s="26">
        <v>0</v>
      </c>
      <c r="AF87" s="26">
        <v>0</v>
      </c>
      <c r="AG87" s="26">
        <v>0</v>
      </c>
      <c r="AH87" s="26">
        <v>0</v>
      </c>
      <c r="AI87" s="26">
        <v>0</v>
      </c>
      <c r="AJ87" s="26">
        <v>0</v>
      </c>
      <c r="AK87" s="26">
        <v>0</v>
      </c>
      <c r="AL87" s="26">
        <v>0</v>
      </c>
      <c r="AM87" s="26">
        <f t="shared" si="10"/>
        <v>43</v>
      </c>
      <c r="AN87" s="26">
        <v>3</v>
      </c>
    </row>
    <row r="88" spans="1:40" x14ac:dyDescent="0.2">
      <c r="A88" s="112" t="s">
        <v>390</v>
      </c>
      <c r="B88" s="26"/>
      <c r="C88" s="26"/>
      <c r="D88" s="26"/>
      <c r="E88" s="26"/>
      <c r="F88" s="26">
        <v>0</v>
      </c>
      <c r="G88" s="26">
        <v>1</v>
      </c>
      <c r="H88" s="26">
        <v>1</v>
      </c>
      <c r="I88" s="26">
        <v>1</v>
      </c>
      <c r="J88" s="26">
        <v>0</v>
      </c>
      <c r="K88" s="26">
        <v>1</v>
      </c>
      <c r="L88" s="26">
        <v>0</v>
      </c>
      <c r="M88" s="26">
        <v>2</v>
      </c>
      <c r="N88" s="26">
        <v>1</v>
      </c>
      <c r="O88" s="26">
        <v>2</v>
      </c>
      <c r="P88" s="26">
        <v>1</v>
      </c>
      <c r="Q88" s="26">
        <v>2</v>
      </c>
      <c r="R88" s="26">
        <v>1</v>
      </c>
      <c r="S88" s="26">
        <v>2</v>
      </c>
      <c r="T88" s="26">
        <v>1</v>
      </c>
      <c r="U88" s="26">
        <v>1</v>
      </c>
      <c r="V88" s="26">
        <v>1</v>
      </c>
      <c r="W88" s="26">
        <v>0</v>
      </c>
      <c r="X88" s="26">
        <v>1</v>
      </c>
      <c r="Y88" s="26">
        <v>1</v>
      </c>
      <c r="Z88" s="26">
        <v>2</v>
      </c>
      <c r="AA88" s="26">
        <v>0</v>
      </c>
      <c r="AB88" s="26">
        <v>0</v>
      </c>
      <c r="AC88" s="26">
        <v>0</v>
      </c>
      <c r="AD88" s="26">
        <v>0</v>
      </c>
      <c r="AE88" s="26">
        <v>0</v>
      </c>
      <c r="AF88" s="26">
        <v>0</v>
      </c>
      <c r="AG88" s="26">
        <v>0</v>
      </c>
      <c r="AH88" s="26">
        <v>0</v>
      </c>
      <c r="AI88" s="26">
        <v>0</v>
      </c>
      <c r="AJ88" s="26">
        <v>0</v>
      </c>
      <c r="AK88" s="26">
        <v>0</v>
      </c>
      <c r="AL88" s="26">
        <v>0</v>
      </c>
      <c r="AM88" s="26">
        <f t="shared" si="10"/>
        <v>22</v>
      </c>
      <c r="AN88" s="26">
        <v>2</v>
      </c>
    </row>
    <row r="89" spans="1:40" x14ac:dyDescent="0.2">
      <c r="A89" s="112" t="s">
        <v>391</v>
      </c>
      <c r="B89" s="26"/>
      <c r="C89" s="26"/>
      <c r="D89" s="26"/>
      <c r="E89" s="26"/>
      <c r="F89" s="26">
        <v>1</v>
      </c>
      <c r="G89" s="26">
        <v>1</v>
      </c>
      <c r="H89" s="26">
        <v>1</v>
      </c>
      <c r="I89" s="26">
        <v>1</v>
      </c>
      <c r="J89" s="26">
        <v>1</v>
      </c>
      <c r="K89" s="26">
        <v>0</v>
      </c>
      <c r="L89" s="26">
        <v>0</v>
      </c>
      <c r="M89" s="26">
        <v>2</v>
      </c>
      <c r="N89" s="26">
        <v>1</v>
      </c>
      <c r="O89" s="26">
        <v>1</v>
      </c>
      <c r="P89" s="26">
        <v>1</v>
      </c>
      <c r="Q89" s="26">
        <v>1</v>
      </c>
      <c r="R89" s="26">
        <v>1</v>
      </c>
      <c r="S89" s="26">
        <v>1</v>
      </c>
      <c r="T89" s="26">
        <v>1</v>
      </c>
      <c r="U89" s="26">
        <v>1</v>
      </c>
      <c r="V89" s="26">
        <v>1</v>
      </c>
      <c r="W89" s="26">
        <v>1</v>
      </c>
      <c r="X89" s="26">
        <v>2</v>
      </c>
      <c r="Y89" s="26">
        <v>0</v>
      </c>
      <c r="Z89" s="26">
        <v>1</v>
      </c>
      <c r="AA89" s="26">
        <v>1</v>
      </c>
      <c r="AB89" s="26">
        <v>1</v>
      </c>
      <c r="AC89" s="26">
        <v>2</v>
      </c>
      <c r="AD89" s="26">
        <v>0</v>
      </c>
      <c r="AE89" s="26">
        <v>0</v>
      </c>
      <c r="AF89" s="26">
        <v>0</v>
      </c>
      <c r="AG89" s="26">
        <v>2</v>
      </c>
      <c r="AH89" s="26">
        <v>0</v>
      </c>
      <c r="AI89" s="26">
        <v>0</v>
      </c>
      <c r="AJ89" s="26">
        <v>0</v>
      </c>
      <c r="AK89" s="26">
        <v>0</v>
      </c>
      <c r="AL89" s="26">
        <v>2</v>
      </c>
      <c r="AM89" s="26">
        <f t="shared" si="10"/>
        <v>28</v>
      </c>
      <c r="AN89" s="26">
        <v>2</v>
      </c>
    </row>
    <row r="90" spans="1:40" x14ac:dyDescent="0.2">
      <c r="A90" s="112" t="s">
        <v>392</v>
      </c>
      <c r="B90" s="31">
        <v>1</v>
      </c>
      <c r="C90" s="31">
        <v>1</v>
      </c>
      <c r="D90" s="31">
        <v>1</v>
      </c>
      <c r="E90" s="26">
        <v>5</v>
      </c>
      <c r="F90" s="26">
        <v>0</v>
      </c>
      <c r="G90" s="26">
        <v>0</v>
      </c>
      <c r="H90" s="26">
        <v>0</v>
      </c>
      <c r="I90" s="26">
        <v>1</v>
      </c>
      <c r="J90" s="26">
        <v>1</v>
      </c>
      <c r="K90" s="26">
        <v>1</v>
      </c>
      <c r="L90" s="26">
        <v>0</v>
      </c>
      <c r="M90" s="26">
        <v>0</v>
      </c>
      <c r="N90" s="26">
        <v>1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0</v>
      </c>
      <c r="U90" s="26">
        <v>0</v>
      </c>
      <c r="V90" s="26">
        <v>0</v>
      </c>
      <c r="W90" s="26">
        <v>0</v>
      </c>
      <c r="X90" s="26">
        <v>0</v>
      </c>
      <c r="Y90" s="26">
        <v>0</v>
      </c>
      <c r="Z90" s="26">
        <v>1</v>
      </c>
      <c r="AA90" s="26">
        <v>0</v>
      </c>
      <c r="AB90" s="26">
        <v>0</v>
      </c>
      <c r="AC90" s="26">
        <v>2</v>
      </c>
      <c r="AD90" s="26">
        <v>1</v>
      </c>
      <c r="AE90" s="26">
        <v>1</v>
      </c>
      <c r="AF90" s="26">
        <v>0</v>
      </c>
      <c r="AG90" s="26">
        <v>0</v>
      </c>
      <c r="AH90" s="26">
        <v>0</v>
      </c>
      <c r="AI90" s="26">
        <v>0</v>
      </c>
      <c r="AJ90" s="26">
        <v>0</v>
      </c>
      <c r="AK90" s="26">
        <v>0</v>
      </c>
      <c r="AL90" s="26">
        <v>0</v>
      </c>
      <c r="AM90" s="26">
        <f t="shared" si="10"/>
        <v>9</v>
      </c>
      <c r="AN90" s="26"/>
    </row>
    <row r="91" spans="1:40" x14ac:dyDescent="0.2">
      <c r="A91" s="112" t="s">
        <v>393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</row>
    <row r="92" spans="1:40" x14ac:dyDescent="0.2">
      <c r="A92" s="112" t="s">
        <v>395</v>
      </c>
      <c r="B92" s="26"/>
      <c r="C92" s="26"/>
      <c r="D92" s="26"/>
      <c r="E92" s="26"/>
      <c r="F92" s="26">
        <v>0</v>
      </c>
      <c r="G92" s="26">
        <v>1</v>
      </c>
      <c r="H92" s="26">
        <v>2</v>
      </c>
      <c r="I92" s="26">
        <v>0</v>
      </c>
      <c r="J92" s="26">
        <v>1</v>
      </c>
      <c r="K92" s="26">
        <v>0</v>
      </c>
      <c r="L92" s="26">
        <v>1</v>
      </c>
      <c r="M92" s="26">
        <v>1</v>
      </c>
      <c r="N92" s="26">
        <v>2</v>
      </c>
      <c r="O92" s="26">
        <v>0</v>
      </c>
      <c r="P92" s="26">
        <v>1</v>
      </c>
      <c r="Q92" s="26">
        <v>1</v>
      </c>
      <c r="R92" s="26">
        <v>2</v>
      </c>
      <c r="S92" s="26">
        <v>1</v>
      </c>
      <c r="T92" s="26">
        <v>2</v>
      </c>
      <c r="U92" s="26">
        <v>1</v>
      </c>
      <c r="V92" s="26">
        <v>2</v>
      </c>
      <c r="W92" s="26">
        <v>1</v>
      </c>
      <c r="X92" s="26">
        <v>2</v>
      </c>
      <c r="Y92" s="26">
        <v>0</v>
      </c>
      <c r="Z92" s="26">
        <v>0</v>
      </c>
      <c r="AA92" s="26">
        <v>2</v>
      </c>
      <c r="AB92" s="26">
        <v>1</v>
      </c>
      <c r="AC92" s="26">
        <v>0</v>
      </c>
      <c r="AD92" s="26">
        <v>0</v>
      </c>
      <c r="AE92" s="26">
        <v>0</v>
      </c>
      <c r="AF92" s="26">
        <v>0</v>
      </c>
      <c r="AG92" s="26">
        <v>0</v>
      </c>
      <c r="AH92" s="26">
        <v>0</v>
      </c>
      <c r="AI92" s="26">
        <v>0</v>
      </c>
      <c r="AJ92" s="26">
        <v>0</v>
      </c>
      <c r="AK92" s="26">
        <v>0</v>
      </c>
      <c r="AL92" s="26">
        <v>0</v>
      </c>
      <c r="AM92" s="26">
        <f t="shared" ref="AM92:AM98" si="11">SUM(F92:AL92)</f>
        <v>24</v>
      </c>
      <c r="AN92" s="26">
        <v>2</v>
      </c>
    </row>
    <row r="93" spans="1:40" x14ac:dyDescent="0.2">
      <c r="A93" s="112" t="s">
        <v>396</v>
      </c>
      <c r="B93" s="26"/>
      <c r="C93" s="26"/>
      <c r="D93" s="26"/>
      <c r="E93" s="26"/>
      <c r="F93" s="26">
        <v>1</v>
      </c>
      <c r="G93" s="26">
        <v>1</v>
      </c>
      <c r="H93" s="26">
        <v>1</v>
      </c>
      <c r="I93" s="26">
        <v>0</v>
      </c>
      <c r="J93" s="26">
        <v>1</v>
      </c>
      <c r="K93" s="26">
        <v>0</v>
      </c>
      <c r="L93" s="26">
        <v>1</v>
      </c>
      <c r="M93" s="26">
        <v>1</v>
      </c>
      <c r="N93" s="26">
        <v>3</v>
      </c>
      <c r="O93" s="26">
        <v>2</v>
      </c>
      <c r="P93" s="26">
        <v>3</v>
      </c>
      <c r="Q93" s="26">
        <v>1</v>
      </c>
      <c r="R93" s="26">
        <v>2</v>
      </c>
      <c r="S93" s="26">
        <v>2</v>
      </c>
      <c r="T93" s="26">
        <v>3</v>
      </c>
      <c r="U93" s="26">
        <v>2</v>
      </c>
      <c r="V93" s="26">
        <v>3</v>
      </c>
      <c r="W93" s="26">
        <v>0</v>
      </c>
      <c r="X93" s="26">
        <v>1</v>
      </c>
      <c r="Y93" s="26">
        <v>1</v>
      </c>
      <c r="Z93" s="26">
        <v>3</v>
      </c>
      <c r="AA93" s="26">
        <v>1</v>
      </c>
      <c r="AB93" s="26">
        <v>1</v>
      </c>
      <c r="AC93" s="26">
        <v>1</v>
      </c>
      <c r="AD93" s="26">
        <v>1</v>
      </c>
      <c r="AE93" s="26">
        <v>1</v>
      </c>
      <c r="AF93" s="26">
        <v>1</v>
      </c>
      <c r="AG93" s="26">
        <v>1</v>
      </c>
      <c r="AH93" s="26">
        <v>1</v>
      </c>
      <c r="AI93" s="26">
        <v>0</v>
      </c>
      <c r="AJ93" s="26">
        <v>0</v>
      </c>
      <c r="AK93" s="26">
        <v>0</v>
      </c>
      <c r="AL93" s="26">
        <v>1</v>
      </c>
      <c r="AM93" s="26">
        <f t="shared" si="11"/>
        <v>41</v>
      </c>
      <c r="AN93" s="26">
        <v>3</v>
      </c>
    </row>
    <row r="94" spans="1:40" x14ac:dyDescent="0.2">
      <c r="A94" s="112" t="s">
        <v>398</v>
      </c>
      <c r="B94" s="26"/>
      <c r="C94" s="26"/>
      <c r="D94" s="26"/>
      <c r="E94" s="26"/>
      <c r="F94" s="26">
        <v>1</v>
      </c>
      <c r="G94" s="26">
        <v>1</v>
      </c>
      <c r="H94" s="26">
        <v>0</v>
      </c>
      <c r="I94" s="26">
        <v>1</v>
      </c>
      <c r="J94" s="26">
        <v>0</v>
      </c>
      <c r="K94" s="26">
        <v>0</v>
      </c>
      <c r="L94" s="26">
        <v>0</v>
      </c>
      <c r="M94" s="26">
        <v>0</v>
      </c>
      <c r="N94" s="26">
        <v>1</v>
      </c>
      <c r="O94" s="26">
        <v>0</v>
      </c>
      <c r="P94" s="26">
        <v>1</v>
      </c>
      <c r="Q94" s="26">
        <v>0</v>
      </c>
      <c r="R94" s="26">
        <v>0</v>
      </c>
      <c r="S94" s="26">
        <v>0</v>
      </c>
      <c r="T94" s="26">
        <v>2</v>
      </c>
      <c r="U94" s="26">
        <v>0</v>
      </c>
      <c r="V94" s="26">
        <v>0</v>
      </c>
      <c r="W94" s="26">
        <v>2</v>
      </c>
      <c r="X94" s="26">
        <v>2</v>
      </c>
      <c r="Y94" s="26">
        <v>0</v>
      </c>
      <c r="Z94" s="26">
        <v>0</v>
      </c>
      <c r="AA94" s="26">
        <v>2</v>
      </c>
      <c r="AB94" s="26">
        <v>1</v>
      </c>
      <c r="AC94" s="26">
        <v>1</v>
      </c>
      <c r="AD94" s="26">
        <v>1</v>
      </c>
      <c r="AE94" s="26">
        <v>0</v>
      </c>
      <c r="AF94" s="26">
        <v>0</v>
      </c>
      <c r="AG94" s="26">
        <v>0</v>
      </c>
      <c r="AH94" s="26">
        <v>0</v>
      </c>
      <c r="AI94" s="26">
        <v>0</v>
      </c>
      <c r="AJ94" s="26">
        <v>0</v>
      </c>
      <c r="AK94" s="26">
        <v>0</v>
      </c>
      <c r="AL94" s="26">
        <v>0</v>
      </c>
      <c r="AM94" s="26">
        <f t="shared" si="11"/>
        <v>16</v>
      </c>
      <c r="AN94" s="26"/>
    </row>
    <row r="95" spans="1:40" x14ac:dyDescent="0.2">
      <c r="A95" s="112" t="s">
        <v>400</v>
      </c>
      <c r="B95" s="31">
        <v>1</v>
      </c>
      <c r="C95" s="26" t="s">
        <v>782</v>
      </c>
      <c r="D95" s="31">
        <v>1</v>
      </c>
      <c r="E95" s="26">
        <v>280</v>
      </c>
      <c r="F95" s="26">
        <v>0</v>
      </c>
      <c r="G95" s="26">
        <v>0</v>
      </c>
      <c r="H95" s="26">
        <v>0</v>
      </c>
      <c r="I95" s="26">
        <v>0</v>
      </c>
      <c r="J95" s="26">
        <v>1</v>
      </c>
      <c r="K95" s="26">
        <v>0</v>
      </c>
      <c r="L95" s="26">
        <v>0</v>
      </c>
      <c r="M95" s="26">
        <v>0</v>
      </c>
      <c r="N95" s="26">
        <v>0</v>
      </c>
      <c r="O95" s="26">
        <v>0</v>
      </c>
      <c r="P95" s="26">
        <v>0</v>
      </c>
      <c r="Q95" s="26">
        <v>0</v>
      </c>
      <c r="R95" s="26">
        <v>0</v>
      </c>
      <c r="S95" s="26">
        <v>0</v>
      </c>
      <c r="T95" s="26">
        <v>1</v>
      </c>
      <c r="U95" s="26">
        <v>0</v>
      </c>
      <c r="V95" s="26">
        <v>0</v>
      </c>
      <c r="W95" s="26">
        <v>0</v>
      </c>
      <c r="X95" s="26">
        <v>1</v>
      </c>
      <c r="Y95" s="26">
        <v>0</v>
      </c>
      <c r="Z95" s="26">
        <v>0</v>
      </c>
      <c r="AA95" s="26">
        <v>1</v>
      </c>
      <c r="AB95" s="26">
        <v>1</v>
      </c>
      <c r="AC95" s="26">
        <v>0</v>
      </c>
      <c r="AD95" s="26">
        <v>0</v>
      </c>
      <c r="AE95" s="26">
        <v>0</v>
      </c>
      <c r="AF95" s="26">
        <v>0</v>
      </c>
      <c r="AG95" s="26">
        <v>0</v>
      </c>
      <c r="AH95" s="26">
        <v>0</v>
      </c>
      <c r="AI95" s="26">
        <v>0</v>
      </c>
      <c r="AJ95" s="26">
        <v>0</v>
      </c>
      <c r="AK95" s="26">
        <v>0</v>
      </c>
      <c r="AL95" s="26">
        <v>0</v>
      </c>
      <c r="AM95" s="26">
        <f t="shared" si="11"/>
        <v>5</v>
      </c>
      <c r="AN95" s="26"/>
    </row>
    <row r="96" spans="1:40" x14ac:dyDescent="0.2">
      <c r="A96" s="112" t="s">
        <v>401</v>
      </c>
      <c r="B96" s="31">
        <v>1</v>
      </c>
      <c r="C96" s="31">
        <v>1</v>
      </c>
      <c r="D96" s="31">
        <v>1</v>
      </c>
      <c r="E96" s="26">
        <v>240</v>
      </c>
      <c r="F96" s="26">
        <v>1</v>
      </c>
      <c r="G96" s="26">
        <v>1</v>
      </c>
      <c r="H96" s="26">
        <v>1</v>
      </c>
      <c r="I96" s="26">
        <v>0</v>
      </c>
      <c r="J96" s="26">
        <v>1</v>
      </c>
      <c r="K96" s="26">
        <v>0</v>
      </c>
      <c r="L96" s="26">
        <v>0</v>
      </c>
      <c r="M96" s="26">
        <v>0</v>
      </c>
      <c r="N96" s="26">
        <v>0</v>
      </c>
      <c r="O96" s="26">
        <v>0</v>
      </c>
      <c r="P96" s="26">
        <v>0</v>
      </c>
      <c r="Q96" s="26">
        <v>0</v>
      </c>
      <c r="R96" s="26">
        <v>1</v>
      </c>
      <c r="S96" s="26">
        <v>1</v>
      </c>
      <c r="T96" s="26">
        <v>1</v>
      </c>
      <c r="U96" s="26">
        <v>0</v>
      </c>
      <c r="V96" s="26">
        <v>0</v>
      </c>
      <c r="W96" s="26">
        <v>0</v>
      </c>
      <c r="X96" s="26">
        <v>0</v>
      </c>
      <c r="Y96" s="26">
        <v>0</v>
      </c>
      <c r="Z96" s="26">
        <v>0</v>
      </c>
      <c r="AA96" s="26">
        <v>1</v>
      </c>
      <c r="AB96" s="26">
        <v>0</v>
      </c>
      <c r="AC96" s="26">
        <v>0</v>
      </c>
      <c r="AD96" s="26">
        <v>0</v>
      </c>
      <c r="AE96" s="26">
        <v>0</v>
      </c>
      <c r="AF96" s="26">
        <v>0</v>
      </c>
      <c r="AG96" s="26">
        <v>0</v>
      </c>
      <c r="AH96" s="26">
        <v>1</v>
      </c>
      <c r="AI96" s="26">
        <v>0</v>
      </c>
      <c r="AJ96" s="26">
        <v>0</v>
      </c>
      <c r="AK96" s="26">
        <v>0</v>
      </c>
      <c r="AL96" s="26">
        <v>1</v>
      </c>
      <c r="AM96" s="26">
        <f t="shared" si="11"/>
        <v>10</v>
      </c>
      <c r="AN96" s="26">
        <v>2</v>
      </c>
    </row>
    <row r="97" spans="1:40" x14ac:dyDescent="0.2">
      <c r="A97" s="112" t="s">
        <v>402</v>
      </c>
      <c r="B97" s="31">
        <v>1</v>
      </c>
      <c r="C97" s="26">
        <v>0</v>
      </c>
      <c r="D97" s="31">
        <v>1</v>
      </c>
      <c r="E97" s="26">
        <v>30</v>
      </c>
      <c r="F97" s="26">
        <v>0</v>
      </c>
      <c r="G97" s="26">
        <v>0</v>
      </c>
      <c r="H97" s="26">
        <v>2</v>
      </c>
      <c r="I97" s="26">
        <v>1</v>
      </c>
      <c r="J97" s="26">
        <v>2</v>
      </c>
      <c r="K97" s="26">
        <v>0</v>
      </c>
      <c r="L97" s="26">
        <v>2</v>
      </c>
      <c r="M97" s="26">
        <v>0</v>
      </c>
      <c r="N97" s="26">
        <v>1</v>
      </c>
      <c r="O97" s="26">
        <v>1</v>
      </c>
      <c r="P97" s="26">
        <v>1</v>
      </c>
      <c r="Q97" s="26">
        <v>1</v>
      </c>
      <c r="R97" s="26">
        <v>2</v>
      </c>
      <c r="S97" s="26">
        <v>0</v>
      </c>
      <c r="T97" s="26">
        <v>1</v>
      </c>
      <c r="U97" s="26">
        <v>0</v>
      </c>
      <c r="V97" s="26">
        <v>2</v>
      </c>
      <c r="W97" s="26">
        <v>0</v>
      </c>
      <c r="X97" s="26">
        <v>0</v>
      </c>
      <c r="Y97" s="26">
        <v>0</v>
      </c>
      <c r="Z97" s="26">
        <v>0</v>
      </c>
      <c r="AA97" s="26">
        <v>1</v>
      </c>
      <c r="AB97" s="26">
        <v>0</v>
      </c>
      <c r="AC97" s="26">
        <v>0</v>
      </c>
      <c r="AD97" s="26">
        <v>0</v>
      </c>
      <c r="AE97" s="26">
        <v>0</v>
      </c>
      <c r="AF97" s="26">
        <v>0</v>
      </c>
      <c r="AG97" s="26">
        <v>0</v>
      </c>
      <c r="AH97" s="26">
        <v>0</v>
      </c>
      <c r="AI97" s="26">
        <v>0</v>
      </c>
      <c r="AJ97" s="26">
        <v>0</v>
      </c>
      <c r="AK97" s="26">
        <v>0</v>
      </c>
      <c r="AL97" s="26">
        <v>0</v>
      </c>
      <c r="AM97" s="26">
        <f t="shared" si="11"/>
        <v>17</v>
      </c>
      <c r="AN97" s="26">
        <v>2</v>
      </c>
    </row>
    <row r="98" spans="1:40" x14ac:dyDescent="0.2">
      <c r="A98" s="112" t="s">
        <v>403</v>
      </c>
      <c r="B98" s="31">
        <v>1</v>
      </c>
      <c r="C98" s="26">
        <v>0</v>
      </c>
      <c r="D98" s="31">
        <v>1</v>
      </c>
      <c r="E98" s="26">
        <v>180</v>
      </c>
      <c r="F98" s="26">
        <v>0</v>
      </c>
      <c r="G98" s="26">
        <v>1</v>
      </c>
      <c r="H98" s="26">
        <v>3</v>
      </c>
      <c r="I98" s="26">
        <v>2</v>
      </c>
      <c r="J98" s="26">
        <v>3</v>
      </c>
      <c r="K98" s="26">
        <v>2</v>
      </c>
      <c r="L98" s="26">
        <v>3</v>
      </c>
      <c r="M98" s="26">
        <v>1</v>
      </c>
      <c r="N98" s="26">
        <v>1</v>
      </c>
      <c r="O98" s="26">
        <v>0</v>
      </c>
      <c r="P98" s="26">
        <v>1</v>
      </c>
      <c r="Q98" s="26">
        <v>0</v>
      </c>
      <c r="R98" s="26">
        <v>0</v>
      </c>
      <c r="S98" s="26">
        <v>0</v>
      </c>
      <c r="T98" s="26">
        <v>1</v>
      </c>
      <c r="U98" s="26">
        <v>0</v>
      </c>
      <c r="V98" s="26">
        <v>0</v>
      </c>
      <c r="W98" s="26">
        <v>1</v>
      </c>
      <c r="X98" s="26">
        <v>0</v>
      </c>
      <c r="Y98" s="26">
        <v>0</v>
      </c>
      <c r="Z98" s="26">
        <v>3</v>
      </c>
      <c r="AA98" s="26">
        <v>2</v>
      </c>
      <c r="AB98" s="26">
        <v>1</v>
      </c>
      <c r="AC98" s="26">
        <v>1</v>
      </c>
      <c r="AD98" s="26">
        <v>0</v>
      </c>
      <c r="AE98" s="26">
        <v>0</v>
      </c>
      <c r="AF98" s="26">
        <v>1</v>
      </c>
      <c r="AG98" s="26">
        <v>0</v>
      </c>
      <c r="AH98" s="26">
        <v>0</v>
      </c>
      <c r="AI98" s="26">
        <v>0</v>
      </c>
      <c r="AJ98" s="26">
        <v>0</v>
      </c>
      <c r="AK98" s="26">
        <v>0</v>
      </c>
      <c r="AL98" s="26">
        <v>1</v>
      </c>
      <c r="AM98" s="26">
        <f t="shared" si="11"/>
        <v>28</v>
      </c>
      <c r="AN98" s="26">
        <v>4</v>
      </c>
    </row>
    <row r="99" spans="1:40" ht="16" x14ac:dyDescent="0.2">
      <c r="A99" s="124" t="s">
        <v>404</v>
      </c>
      <c r="B99" s="31">
        <v>1</v>
      </c>
      <c r="C99" s="31">
        <v>1</v>
      </c>
      <c r="D99" s="31">
        <v>1</v>
      </c>
      <c r="E99" s="199">
        <v>240</v>
      </c>
      <c r="F99" s="199">
        <v>2</v>
      </c>
      <c r="G99" s="199">
        <v>2</v>
      </c>
      <c r="H99" s="199">
        <v>2</v>
      </c>
      <c r="I99" s="199">
        <v>1</v>
      </c>
      <c r="J99" s="199">
        <v>1</v>
      </c>
      <c r="K99" s="199">
        <v>2</v>
      </c>
      <c r="L99" s="199">
        <v>2</v>
      </c>
      <c r="M99" s="199">
        <v>2</v>
      </c>
      <c r="N99" s="199">
        <v>3</v>
      </c>
      <c r="O99" s="199">
        <v>0</v>
      </c>
      <c r="P99" s="199">
        <v>0</v>
      </c>
      <c r="Q99" s="199">
        <v>0</v>
      </c>
      <c r="R99" s="199">
        <v>0</v>
      </c>
      <c r="S99" s="199">
        <v>3</v>
      </c>
      <c r="T99" s="199">
        <v>3</v>
      </c>
      <c r="U99" s="199">
        <v>2</v>
      </c>
      <c r="V99" s="199">
        <v>2</v>
      </c>
      <c r="W99" s="199">
        <v>3</v>
      </c>
      <c r="X99" s="199">
        <v>2</v>
      </c>
      <c r="Y99" s="199">
        <v>2</v>
      </c>
      <c r="Z99" s="199">
        <v>2</v>
      </c>
      <c r="AA99" s="199">
        <v>2</v>
      </c>
      <c r="AB99" s="199">
        <v>2</v>
      </c>
      <c r="AC99" s="199">
        <v>1</v>
      </c>
      <c r="AD99" s="199">
        <v>1</v>
      </c>
      <c r="AE99" s="199">
        <v>0</v>
      </c>
      <c r="AF99" s="199">
        <v>0</v>
      </c>
      <c r="AG99" s="199">
        <v>1</v>
      </c>
      <c r="AH99" s="199">
        <v>1</v>
      </c>
      <c r="AI99" s="199">
        <v>0</v>
      </c>
      <c r="AJ99" s="199">
        <v>0</v>
      </c>
      <c r="AK99" s="199">
        <v>0</v>
      </c>
      <c r="AL99" s="199">
        <v>0</v>
      </c>
      <c r="AM99" s="129">
        <v>44</v>
      </c>
      <c r="AN99" s="199">
        <v>3</v>
      </c>
    </row>
    <row r="100" spans="1:40" x14ac:dyDescent="0.2">
      <c r="A100" s="127" t="s">
        <v>405</v>
      </c>
      <c r="B100" s="31">
        <v>1</v>
      </c>
      <c r="C100" s="129">
        <v>0</v>
      </c>
      <c r="D100" s="31">
        <v>1</v>
      </c>
      <c r="E100" s="129">
        <v>240</v>
      </c>
      <c r="F100" s="129">
        <v>1</v>
      </c>
      <c r="G100" s="129">
        <v>1</v>
      </c>
      <c r="H100" s="129">
        <v>1</v>
      </c>
      <c r="I100" s="129">
        <v>1</v>
      </c>
      <c r="J100" s="129">
        <v>1</v>
      </c>
      <c r="K100" s="129">
        <v>2</v>
      </c>
      <c r="L100" s="129">
        <v>2</v>
      </c>
      <c r="M100" s="129">
        <v>2</v>
      </c>
      <c r="N100" s="129">
        <v>3</v>
      </c>
      <c r="O100" s="129">
        <v>2</v>
      </c>
      <c r="P100" s="129">
        <v>3</v>
      </c>
      <c r="Q100" s="129">
        <v>2</v>
      </c>
      <c r="R100" s="129">
        <v>2</v>
      </c>
      <c r="S100" s="129">
        <v>2</v>
      </c>
      <c r="T100" s="129">
        <v>2</v>
      </c>
      <c r="U100" s="129">
        <v>2</v>
      </c>
      <c r="V100" s="129">
        <v>2</v>
      </c>
      <c r="W100" s="129">
        <v>2</v>
      </c>
      <c r="X100" s="129">
        <v>2</v>
      </c>
      <c r="Y100" s="129">
        <v>2</v>
      </c>
      <c r="Z100" s="129">
        <v>2</v>
      </c>
      <c r="AA100" s="129">
        <v>2</v>
      </c>
      <c r="AB100" s="129">
        <v>2</v>
      </c>
      <c r="AC100" s="129">
        <v>1</v>
      </c>
      <c r="AD100" s="129">
        <v>1</v>
      </c>
      <c r="AE100" s="129">
        <v>1</v>
      </c>
      <c r="AF100" s="129">
        <v>1</v>
      </c>
      <c r="AG100" s="129">
        <v>1</v>
      </c>
      <c r="AH100" s="129">
        <v>2</v>
      </c>
      <c r="AI100" s="129">
        <v>2</v>
      </c>
      <c r="AJ100" s="129">
        <v>2</v>
      </c>
      <c r="AK100" s="129">
        <v>0</v>
      </c>
      <c r="AL100" s="129">
        <v>1</v>
      </c>
      <c r="AM100" s="129">
        <v>55</v>
      </c>
      <c r="AN100" s="129">
        <v>3</v>
      </c>
    </row>
    <row r="101" spans="1:40" ht="16" x14ac:dyDescent="0.2">
      <c r="A101" s="127" t="s">
        <v>406</v>
      </c>
      <c r="B101" s="31">
        <v>1</v>
      </c>
      <c r="C101" s="31">
        <v>1</v>
      </c>
      <c r="D101" s="31">
        <v>1</v>
      </c>
      <c r="E101" s="199">
        <v>180</v>
      </c>
      <c r="F101" s="199">
        <v>1</v>
      </c>
      <c r="G101" s="199">
        <v>0</v>
      </c>
      <c r="H101" s="199">
        <v>1</v>
      </c>
      <c r="I101" s="199">
        <v>0</v>
      </c>
      <c r="J101" s="199">
        <v>1</v>
      </c>
      <c r="K101" s="199">
        <v>1</v>
      </c>
      <c r="L101" s="199">
        <v>1</v>
      </c>
      <c r="M101" s="199">
        <v>0</v>
      </c>
      <c r="N101" s="199">
        <v>0</v>
      </c>
      <c r="O101" s="199">
        <v>0</v>
      </c>
      <c r="P101" s="199">
        <v>0</v>
      </c>
      <c r="Q101" s="199">
        <v>0</v>
      </c>
      <c r="R101" s="199">
        <v>0</v>
      </c>
      <c r="S101" s="199">
        <v>0</v>
      </c>
      <c r="T101" s="199">
        <v>0</v>
      </c>
      <c r="U101" s="199">
        <v>0</v>
      </c>
      <c r="V101" s="199">
        <v>0</v>
      </c>
      <c r="W101" s="199">
        <v>0</v>
      </c>
      <c r="X101" s="199">
        <v>0</v>
      </c>
      <c r="Y101" s="199">
        <v>0</v>
      </c>
      <c r="Z101" s="199">
        <v>0</v>
      </c>
      <c r="AA101" s="199">
        <v>1</v>
      </c>
      <c r="AB101" s="199">
        <v>1</v>
      </c>
      <c r="AC101" s="199">
        <v>0</v>
      </c>
      <c r="AD101" s="199">
        <v>0</v>
      </c>
      <c r="AE101" s="199">
        <v>0</v>
      </c>
      <c r="AF101" s="199">
        <v>0</v>
      </c>
      <c r="AG101" s="199">
        <v>0</v>
      </c>
      <c r="AH101" s="199">
        <v>0</v>
      </c>
      <c r="AI101" s="199">
        <v>0</v>
      </c>
      <c r="AJ101" s="199">
        <v>0</v>
      </c>
      <c r="AK101" s="199">
        <v>0</v>
      </c>
      <c r="AL101" s="199">
        <v>0</v>
      </c>
      <c r="AM101" s="129">
        <v>7</v>
      </c>
      <c r="AN101" s="199">
        <v>2</v>
      </c>
    </row>
    <row r="102" spans="1:40" x14ac:dyDescent="0.2">
      <c r="A102" s="127" t="s">
        <v>407</v>
      </c>
      <c r="B102" s="31">
        <v>1</v>
      </c>
      <c r="C102" s="31">
        <v>1</v>
      </c>
      <c r="D102" s="31">
        <v>1</v>
      </c>
      <c r="E102" s="129">
        <v>180</v>
      </c>
      <c r="F102" s="129">
        <v>0</v>
      </c>
      <c r="G102" s="129">
        <v>0</v>
      </c>
      <c r="H102" s="129">
        <v>2</v>
      </c>
      <c r="I102" s="129">
        <v>2</v>
      </c>
      <c r="J102" s="129">
        <v>1</v>
      </c>
      <c r="K102" s="129">
        <v>1</v>
      </c>
      <c r="L102" s="129">
        <v>1</v>
      </c>
      <c r="M102" s="129">
        <v>2</v>
      </c>
      <c r="N102" s="129">
        <v>2</v>
      </c>
      <c r="O102" s="129">
        <v>1</v>
      </c>
      <c r="P102" s="129">
        <v>1</v>
      </c>
      <c r="Q102" s="129">
        <v>1</v>
      </c>
      <c r="R102" s="129">
        <v>1</v>
      </c>
      <c r="S102" s="129">
        <v>1</v>
      </c>
      <c r="T102" s="129">
        <v>1</v>
      </c>
      <c r="U102" s="129">
        <v>1</v>
      </c>
      <c r="V102" s="129">
        <v>1</v>
      </c>
      <c r="W102" s="129">
        <v>1</v>
      </c>
      <c r="X102" s="129">
        <v>0</v>
      </c>
      <c r="Y102" s="129">
        <v>0</v>
      </c>
      <c r="Z102" s="129">
        <v>0</v>
      </c>
      <c r="AA102" s="129">
        <v>1</v>
      </c>
      <c r="AB102" s="129">
        <v>0</v>
      </c>
      <c r="AC102" s="129">
        <v>1</v>
      </c>
      <c r="AD102" s="129">
        <v>1</v>
      </c>
      <c r="AE102" s="129">
        <v>1</v>
      </c>
      <c r="AF102" s="129">
        <v>1</v>
      </c>
      <c r="AG102" s="129">
        <v>0</v>
      </c>
      <c r="AH102" s="129">
        <v>0</v>
      </c>
      <c r="AI102" s="129">
        <v>0</v>
      </c>
      <c r="AJ102" s="129">
        <v>0</v>
      </c>
      <c r="AK102" s="129">
        <v>0</v>
      </c>
      <c r="AL102" s="129">
        <v>0</v>
      </c>
      <c r="AM102" s="129">
        <v>25</v>
      </c>
      <c r="AN102" s="129">
        <v>2</v>
      </c>
    </row>
    <row r="103" spans="1:40" ht="16" x14ac:dyDescent="0.2">
      <c r="A103" s="132" t="s">
        <v>408</v>
      </c>
      <c r="B103" s="31">
        <v>1</v>
      </c>
      <c r="C103" s="31">
        <v>1</v>
      </c>
      <c r="D103" s="31">
        <v>1</v>
      </c>
      <c r="E103" s="199">
        <v>180</v>
      </c>
      <c r="F103" s="199">
        <v>0</v>
      </c>
      <c r="G103" s="199">
        <v>0</v>
      </c>
      <c r="H103" s="199">
        <v>0</v>
      </c>
      <c r="I103" s="199">
        <v>0</v>
      </c>
      <c r="J103" s="199">
        <v>0</v>
      </c>
      <c r="K103" s="199">
        <v>0</v>
      </c>
      <c r="L103" s="199">
        <v>0</v>
      </c>
      <c r="M103" s="199">
        <v>0</v>
      </c>
      <c r="N103" s="199">
        <v>0</v>
      </c>
      <c r="O103" s="199">
        <v>0</v>
      </c>
      <c r="P103" s="199">
        <v>0</v>
      </c>
      <c r="Q103" s="199">
        <v>0</v>
      </c>
      <c r="R103" s="199">
        <v>0</v>
      </c>
      <c r="S103" s="199">
        <v>0</v>
      </c>
      <c r="T103" s="199">
        <v>0</v>
      </c>
      <c r="U103" s="199">
        <v>0</v>
      </c>
      <c r="V103" s="199">
        <v>0</v>
      </c>
      <c r="W103" s="199">
        <v>0</v>
      </c>
      <c r="X103" s="199">
        <v>0</v>
      </c>
      <c r="Y103" s="199">
        <v>0</v>
      </c>
      <c r="Z103" s="199">
        <v>0</v>
      </c>
      <c r="AA103" s="199">
        <v>1</v>
      </c>
      <c r="AB103" s="199">
        <v>1</v>
      </c>
      <c r="AC103" s="199">
        <v>1</v>
      </c>
      <c r="AD103" s="199">
        <v>0</v>
      </c>
      <c r="AE103" s="199">
        <v>2</v>
      </c>
      <c r="AF103" s="199">
        <v>0</v>
      </c>
      <c r="AG103" s="199">
        <v>0</v>
      </c>
      <c r="AH103" s="199">
        <v>0</v>
      </c>
      <c r="AI103" s="199">
        <v>0</v>
      </c>
      <c r="AJ103" s="199">
        <v>0</v>
      </c>
      <c r="AK103" s="199">
        <v>0</v>
      </c>
      <c r="AL103" s="199">
        <v>1</v>
      </c>
      <c r="AM103" s="129">
        <v>6</v>
      </c>
      <c r="AN103" s="199">
        <v>2</v>
      </c>
    </row>
    <row r="104" spans="1:40" ht="16" x14ac:dyDescent="0.2">
      <c r="A104" s="127" t="s">
        <v>409</v>
      </c>
      <c r="B104" s="31">
        <v>1</v>
      </c>
      <c r="C104" s="31">
        <v>1</v>
      </c>
      <c r="D104" s="31">
        <v>1</v>
      </c>
      <c r="E104" s="199">
        <v>240</v>
      </c>
      <c r="F104" s="129">
        <v>0</v>
      </c>
      <c r="G104" s="129">
        <v>1</v>
      </c>
      <c r="H104" s="129">
        <v>0</v>
      </c>
      <c r="I104" s="129">
        <v>1</v>
      </c>
      <c r="J104" s="129">
        <v>1</v>
      </c>
      <c r="K104" s="129">
        <v>1</v>
      </c>
      <c r="L104" s="129">
        <v>1</v>
      </c>
      <c r="M104" s="129">
        <v>1</v>
      </c>
      <c r="N104" s="129">
        <v>1</v>
      </c>
      <c r="O104" s="129">
        <v>1</v>
      </c>
      <c r="P104" s="129">
        <v>1</v>
      </c>
      <c r="Q104" s="129">
        <v>0</v>
      </c>
      <c r="R104" s="129">
        <v>0</v>
      </c>
      <c r="S104" s="129">
        <v>1</v>
      </c>
      <c r="T104" s="129">
        <v>1</v>
      </c>
      <c r="U104" s="129">
        <v>1</v>
      </c>
      <c r="V104" s="129">
        <v>1</v>
      </c>
      <c r="W104" s="129">
        <v>0</v>
      </c>
      <c r="X104" s="129">
        <v>1</v>
      </c>
      <c r="Y104" s="129">
        <v>0</v>
      </c>
      <c r="Z104" s="129">
        <v>1</v>
      </c>
      <c r="AA104" s="129">
        <v>1</v>
      </c>
      <c r="AB104" s="129">
        <v>1</v>
      </c>
      <c r="AC104" s="129">
        <v>0</v>
      </c>
      <c r="AD104" s="129">
        <v>0</v>
      </c>
      <c r="AE104" s="129">
        <v>1</v>
      </c>
      <c r="AF104" s="129">
        <v>1</v>
      </c>
      <c r="AG104" s="129">
        <v>1</v>
      </c>
      <c r="AH104" s="129">
        <v>0</v>
      </c>
      <c r="AI104" s="129">
        <v>0</v>
      </c>
      <c r="AJ104" s="129">
        <v>0</v>
      </c>
      <c r="AK104" s="129">
        <v>0</v>
      </c>
      <c r="AL104" s="129">
        <v>1</v>
      </c>
      <c r="AM104" s="129">
        <v>21</v>
      </c>
      <c r="AN104" s="129">
        <v>1</v>
      </c>
    </row>
    <row r="105" spans="1:40" ht="16" x14ac:dyDescent="0.2">
      <c r="A105" s="127" t="s">
        <v>410</v>
      </c>
      <c r="B105" s="31">
        <v>1</v>
      </c>
      <c r="C105" s="31">
        <v>1</v>
      </c>
      <c r="D105" s="31">
        <v>1</v>
      </c>
      <c r="E105" s="199">
        <v>180</v>
      </c>
      <c r="F105" s="129">
        <v>0</v>
      </c>
      <c r="G105" s="129">
        <v>1</v>
      </c>
      <c r="H105" s="129">
        <v>1</v>
      </c>
      <c r="I105" s="129">
        <v>1</v>
      </c>
      <c r="J105" s="129">
        <v>1</v>
      </c>
      <c r="K105" s="129">
        <v>1</v>
      </c>
      <c r="L105" s="129">
        <v>1</v>
      </c>
      <c r="M105" s="129">
        <v>1</v>
      </c>
      <c r="N105" s="129">
        <v>1</v>
      </c>
      <c r="O105" s="129">
        <v>1</v>
      </c>
      <c r="P105" s="129">
        <v>1</v>
      </c>
      <c r="Q105" s="129">
        <v>1</v>
      </c>
      <c r="R105" s="129">
        <v>1</v>
      </c>
      <c r="S105" s="129">
        <v>1</v>
      </c>
      <c r="T105" s="129">
        <v>1</v>
      </c>
      <c r="U105" s="129">
        <v>1</v>
      </c>
      <c r="V105" s="129">
        <v>1</v>
      </c>
      <c r="W105" s="129">
        <v>1</v>
      </c>
      <c r="X105" s="129">
        <v>1</v>
      </c>
      <c r="Y105" s="129">
        <v>0</v>
      </c>
      <c r="Z105" s="129">
        <v>1</v>
      </c>
      <c r="AA105" s="129">
        <v>1</v>
      </c>
      <c r="AB105" s="129">
        <v>1</v>
      </c>
      <c r="AC105" s="129">
        <v>2</v>
      </c>
      <c r="AD105" s="129">
        <v>0</v>
      </c>
      <c r="AE105" s="129">
        <v>1</v>
      </c>
      <c r="AF105" s="129">
        <v>0</v>
      </c>
      <c r="AG105" s="129">
        <v>1</v>
      </c>
      <c r="AH105" s="129">
        <v>0</v>
      </c>
      <c r="AI105" s="129">
        <v>0</v>
      </c>
      <c r="AJ105" s="129">
        <v>0</v>
      </c>
      <c r="AK105" s="129">
        <v>0</v>
      </c>
      <c r="AL105" s="129">
        <v>1</v>
      </c>
      <c r="AM105" s="129">
        <v>26</v>
      </c>
      <c r="AN105" s="129">
        <v>1</v>
      </c>
    </row>
    <row r="106" spans="1:40" ht="16" x14ac:dyDescent="0.2">
      <c r="A106" s="133" t="s">
        <v>411</v>
      </c>
      <c r="B106" s="31">
        <v>1</v>
      </c>
      <c r="C106" s="31">
        <v>1</v>
      </c>
      <c r="D106" s="31">
        <v>1</v>
      </c>
      <c r="E106" s="199">
        <v>240</v>
      </c>
      <c r="F106" s="126">
        <v>1</v>
      </c>
      <c r="G106" s="126">
        <v>0</v>
      </c>
      <c r="H106" s="126">
        <v>1</v>
      </c>
      <c r="I106" s="126">
        <v>1</v>
      </c>
      <c r="J106" s="126">
        <v>1</v>
      </c>
      <c r="K106" s="126">
        <v>1</v>
      </c>
      <c r="L106" s="126">
        <v>1</v>
      </c>
      <c r="M106" s="126">
        <v>2</v>
      </c>
      <c r="N106" s="126">
        <v>2</v>
      </c>
      <c r="O106" s="126">
        <v>1</v>
      </c>
      <c r="P106" s="126">
        <v>1</v>
      </c>
      <c r="Q106" s="126">
        <v>1</v>
      </c>
      <c r="R106" s="126">
        <v>1</v>
      </c>
      <c r="S106" s="126">
        <v>2</v>
      </c>
      <c r="T106" s="126">
        <v>2</v>
      </c>
      <c r="U106" s="126">
        <v>1</v>
      </c>
      <c r="V106" s="126">
        <v>1</v>
      </c>
      <c r="W106" s="126">
        <v>2</v>
      </c>
      <c r="X106" s="126">
        <v>1</v>
      </c>
      <c r="Y106" s="126">
        <v>0</v>
      </c>
      <c r="Z106" s="126">
        <v>1</v>
      </c>
      <c r="AA106" s="126">
        <v>1</v>
      </c>
      <c r="AB106" s="126">
        <v>1</v>
      </c>
      <c r="AC106" s="126">
        <v>1</v>
      </c>
      <c r="AD106" s="126">
        <v>1</v>
      </c>
      <c r="AE106" s="126">
        <v>1</v>
      </c>
      <c r="AF106" s="126">
        <v>1</v>
      </c>
      <c r="AG106" s="126">
        <v>1</v>
      </c>
      <c r="AH106" s="126">
        <v>1</v>
      </c>
      <c r="AI106" s="126">
        <v>0</v>
      </c>
      <c r="AJ106" s="126">
        <v>0</v>
      </c>
      <c r="AK106" s="126">
        <v>0</v>
      </c>
      <c r="AL106" s="126">
        <v>1</v>
      </c>
      <c r="AM106" s="126">
        <v>33</v>
      </c>
      <c r="AN106" s="126">
        <v>3</v>
      </c>
    </row>
    <row r="107" spans="1:40" ht="16" x14ac:dyDescent="0.2">
      <c r="A107" s="136" t="s">
        <v>412</v>
      </c>
      <c r="B107" s="31">
        <v>1</v>
      </c>
      <c r="C107" s="31">
        <v>1</v>
      </c>
      <c r="D107" s="31">
        <v>1</v>
      </c>
      <c r="E107" s="199">
        <v>180</v>
      </c>
      <c r="F107" s="126">
        <v>1</v>
      </c>
      <c r="G107" s="126">
        <v>1</v>
      </c>
      <c r="H107" s="126">
        <v>1</v>
      </c>
      <c r="I107" s="126">
        <v>1</v>
      </c>
      <c r="J107" s="126">
        <v>1</v>
      </c>
      <c r="K107" s="126">
        <v>1</v>
      </c>
      <c r="L107" s="126">
        <v>1</v>
      </c>
      <c r="M107" s="126">
        <v>1</v>
      </c>
      <c r="N107" s="126">
        <v>0</v>
      </c>
      <c r="O107" s="126">
        <v>1</v>
      </c>
      <c r="P107" s="126">
        <v>0</v>
      </c>
      <c r="Q107" s="126">
        <v>1</v>
      </c>
      <c r="R107" s="126">
        <v>0</v>
      </c>
      <c r="S107" s="126">
        <v>1</v>
      </c>
      <c r="T107" s="126">
        <v>0</v>
      </c>
      <c r="U107" s="126">
        <v>1</v>
      </c>
      <c r="V107" s="126">
        <v>0</v>
      </c>
      <c r="W107" s="126">
        <v>0</v>
      </c>
      <c r="X107" s="126">
        <v>1</v>
      </c>
      <c r="Y107" s="126">
        <v>0</v>
      </c>
      <c r="Z107" s="126">
        <v>1</v>
      </c>
      <c r="AA107" s="126">
        <v>1</v>
      </c>
      <c r="AB107" s="126">
        <v>0</v>
      </c>
      <c r="AC107" s="126">
        <v>0</v>
      </c>
      <c r="AD107" s="126">
        <v>0</v>
      </c>
      <c r="AE107" s="126">
        <v>0</v>
      </c>
      <c r="AF107" s="126">
        <v>0</v>
      </c>
      <c r="AG107" s="126">
        <v>0</v>
      </c>
      <c r="AH107" s="126">
        <v>0</v>
      </c>
      <c r="AI107" s="126">
        <v>0</v>
      </c>
      <c r="AJ107" s="126">
        <v>0</v>
      </c>
      <c r="AK107" s="126">
        <v>0</v>
      </c>
      <c r="AL107" s="126">
        <v>0</v>
      </c>
      <c r="AM107" s="126">
        <v>15</v>
      </c>
      <c r="AN107" s="126">
        <v>2</v>
      </c>
    </row>
    <row r="108" spans="1:40" ht="16" x14ac:dyDescent="0.2">
      <c r="A108" s="136" t="s">
        <v>413</v>
      </c>
      <c r="B108" s="31">
        <v>1</v>
      </c>
      <c r="C108" s="31">
        <v>1</v>
      </c>
      <c r="D108" s="31">
        <v>1</v>
      </c>
      <c r="E108" s="199">
        <v>180</v>
      </c>
      <c r="F108" s="129">
        <v>2</v>
      </c>
      <c r="G108" s="129">
        <v>3</v>
      </c>
      <c r="H108" s="129">
        <v>2</v>
      </c>
      <c r="I108" s="129">
        <v>2</v>
      </c>
      <c r="J108" s="129">
        <v>2</v>
      </c>
      <c r="K108" s="129">
        <v>2</v>
      </c>
      <c r="L108" s="129">
        <v>2</v>
      </c>
      <c r="M108" s="129">
        <v>2</v>
      </c>
      <c r="N108" s="129">
        <v>2</v>
      </c>
      <c r="O108" s="129">
        <v>2</v>
      </c>
      <c r="P108" s="129">
        <v>2</v>
      </c>
      <c r="Q108" s="129">
        <v>2</v>
      </c>
      <c r="R108" s="129">
        <v>2</v>
      </c>
      <c r="S108" s="129">
        <v>2</v>
      </c>
      <c r="T108" s="129">
        <v>2</v>
      </c>
      <c r="U108" s="129">
        <v>2</v>
      </c>
      <c r="V108" s="129">
        <v>2</v>
      </c>
      <c r="W108" s="129">
        <v>3</v>
      </c>
      <c r="X108" s="129">
        <v>3</v>
      </c>
      <c r="Y108" s="129">
        <v>3</v>
      </c>
      <c r="Z108" s="129">
        <v>3</v>
      </c>
      <c r="AA108" s="129">
        <v>2</v>
      </c>
      <c r="AB108" s="129">
        <v>2</v>
      </c>
      <c r="AC108" s="129">
        <v>1</v>
      </c>
      <c r="AD108" s="129">
        <v>1</v>
      </c>
      <c r="AE108" s="129">
        <v>1</v>
      </c>
      <c r="AF108" s="129">
        <v>1</v>
      </c>
      <c r="AG108" s="129">
        <v>1</v>
      </c>
      <c r="AH108" s="129">
        <v>1</v>
      </c>
      <c r="AI108" s="129">
        <v>1</v>
      </c>
      <c r="AJ108" s="129">
        <v>1</v>
      </c>
      <c r="AK108" s="129">
        <v>0</v>
      </c>
      <c r="AL108" s="129">
        <v>1</v>
      </c>
      <c r="AM108" s="129">
        <v>60</v>
      </c>
      <c r="AN108" s="129">
        <v>3</v>
      </c>
    </row>
    <row r="109" spans="1:40" ht="17" thickBot="1" x14ac:dyDescent="0.25">
      <c r="A109" s="136" t="s">
        <v>414</v>
      </c>
      <c r="B109" s="31">
        <v>1</v>
      </c>
      <c r="C109" s="31">
        <v>1</v>
      </c>
      <c r="D109" s="31">
        <v>1</v>
      </c>
      <c r="E109" s="199">
        <v>240</v>
      </c>
      <c r="F109" s="138">
        <v>1</v>
      </c>
      <c r="G109" s="138">
        <v>2</v>
      </c>
      <c r="H109" s="138">
        <v>2</v>
      </c>
      <c r="I109" s="138">
        <v>1</v>
      </c>
      <c r="J109" s="138">
        <v>2</v>
      </c>
      <c r="K109" s="138">
        <v>2</v>
      </c>
      <c r="L109" s="138">
        <v>2</v>
      </c>
      <c r="M109" s="138">
        <v>0</v>
      </c>
      <c r="N109" s="138">
        <v>2</v>
      </c>
      <c r="O109" s="138">
        <v>0</v>
      </c>
      <c r="P109" s="138">
        <v>1</v>
      </c>
      <c r="Q109" s="138">
        <v>0</v>
      </c>
      <c r="R109" s="138">
        <v>1</v>
      </c>
      <c r="S109" s="138">
        <v>0</v>
      </c>
      <c r="T109" s="138">
        <v>0</v>
      </c>
      <c r="U109" s="138">
        <v>0</v>
      </c>
      <c r="V109" s="138">
        <v>0</v>
      </c>
      <c r="W109" s="138">
        <v>1</v>
      </c>
      <c r="X109" s="138">
        <v>1</v>
      </c>
      <c r="Y109" s="138">
        <v>0</v>
      </c>
      <c r="Z109" s="138">
        <v>0</v>
      </c>
      <c r="AA109" s="138">
        <v>1</v>
      </c>
      <c r="AB109" s="138">
        <v>1</v>
      </c>
      <c r="AC109" s="138">
        <v>0</v>
      </c>
      <c r="AD109" s="138">
        <v>1</v>
      </c>
      <c r="AE109" s="138">
        <v>0</v>
      </c>
      <c r="AF109" s="138">
        <v>2</v>
      </c>
      <c r="AG109" s="138">
        <v>0</v>
      </c>
      <c r="AH109" s="138">
        <v>1</v>
      </c>
      <c r="AI109" s="138">
        <v>0</v>
      </c>
      <c r="AJ109" s="138">
        <v>0</v>
      </c>
      <c r="AK109" s="138">
        <v>0</v>
      </c>
      <c r="AL109" s="138">
        <v>1</v>
      </c>
      <c r="AM109" s="138">
        <v>25</v>
      </c>
      <c r="AN109" s="138">
        <v>2</v>
      </c>
    </row>
    <row r="110" spans="1:40" ht="16" x14ac:dyDescent="0.2">
      <c r="A110" s="139" t="s">
        <v>415</v>
      </c>
      <c r="B110" s="31">
        <v>1</v>
      </c>
      <c r="C110" s="31">
        <v>1</v>
      </c>
      <c r="D110" s="31">
        <v>1</v>
      </c>
      <c r="E110" s="163">
        <v>120</v>
      </c>
      <c r="F110" s="163">
        <v>2</v>
      </c>
      <c r="G110" s="163">
        <v>2</v>
      </c>
      <c r="H110" s="163">
        <v>1</v>
      </c>
      <c r="I110" s="163">
        <v>1</v>
      </c>
      <c r="J110" s="163">
        <v>1</v>
      </c>
      <c r="K110" s="163">
        <v>1</v>
      </c>
      <c r="L110" s="163">
        <v>1</v>
      </c>
      <c r="M110" s="163">
        <v>1</v>
      </c>
      <c r="N110" s="163">
        <v>1</v>
      </c>
      <c r="O110" s="163">
        <v>1</v>
      </c>
      <c r="P110" s="163">
        <v>1</v>
      </c>
      <c r="Q110" s="163">
        <v>1</v>
      </c>
      <c r="R110" s="163">
        <v>1</v>
      </c>
      <c r="S110" s="163">
        <v>1</v>
      </c>
      <c r="T110" s="163">
        <v>1</v>
      </c>
      <c r="U110" s="163">
        <v>1</v>
      </c>
      <c r="V110" s="163">
        <v>1</v>
      </c>
      <c r="W110" s="163">
        <v>0</v>
      </c>
      <c r="X110" s="163">
        <v>1</v>
      </c>
      <c r="Y110" s="163">
        <v>0</v>
      </c>
      <c r="Z110" s="163">
        <v>1</v>
      </c>
      <c r="AA110" s="163">
        <v>2</v>
      </c>
      <c r="AB110" s="163">
        <v>1</v>
      </c>
      <c r="AC110" s="163">
        <v>1</v>
      </c>
      <c r="AD110" s="163">
        <v>1</v>
      </c>
      <c r="AE110" s="163">
        <v>1</v>
      </c>
      <c r="AF110" s="163">
        <v>1</v>
      </c>
      <c r="AG110" s="163">
        <v>1</v>
      </c>
      <c r="AH110" s="163">
        <v>1</v>
      </c>
      <c r="AI110" s="163">
        <v>1</v>
      </c>
      <c r="AJ110" s="163">
        <v>1</v>
      </c>
      <c r="AK110" s="163">
        <v>0</v>
      </c>
      <c r="AL110" s="163">
        <v>0</v>
      </c>
      <c r="AM110" s="126">
        <v>32</v>
      </c>
      <c r="AN110" s="163">
        <v>3</v>
      </c>
    </row>
    <row r="111" spans="1:40" ht="16" x14ac:dyDescent="0.2">
      <c r="A111" s="139" t="s">
        <v>416</v>
      </c>
      <c r="B111" s="31">
        <v>1</v>
      </c>
      <c r="C111" s="31">
        <v>1</v>
      </c>
      <c r="D111" s="31">
        <v>1</v>
      </c>
      <c r="E111" s="199">
        <v>180</v>
      </c>
      <c r="F111" s="199">
        <v>2</v>
      </c>
      <c r="G111" s="199">
        <v>1</v>
      </c>
      <c r="H111" s="199">
        <v>1</v>
      </c>
      <c r="I111" s="199">
        <v>1</v>
      </c>
      <c r="J111" s="199">
        <v>3</v>
      </c>
      <c r="K111" s="199">
        <v>2</v>
      </c>
      <c r="L111" s="199">
        <v>3</v>
      </c>
      <c r="M111" s="199">
        <v>0</v>
      </c>
      <c r="N111" s="199">
        <v>0</v>
      </c>
      <c r="O111" s="199">
        <v>1</v>
      </c>
      <c r="P111" s="199">
        <v>1</v>
      </c>
      <c r="Q111" s="199">
        <v>1</v>
      </c>
      <c r="R111" s="199">
        <v>1</v>
      </c>
      <c r="S111" s="199">
        <v>0</v>
      </c>
      <c r="T111" s="199">
        <v>0</v>
      </c>
      <c r="U111" s="199">
        <v>1</v>
      </c>
      <c r="V111" s="199">
        <v>1</v>
      </c>
      <c r="W111" s="199">
        <v>2</v>
      </c>
      <c r="X111" s="199">
        <v>3</v>
      </c>
      <c r="Y111" s="199">
        <v>3</v>
      </c>
      <c r="Z111" s="199">
        <v>2</v>
      </c>
      <c r="AA111" s="199">
        <v>1</v>
      </c>
      <c r="AB111" s="199">
        <v>1</v>
      </c>
      <c r="AC111" s="199">
        <v>1</v>
      </c>
      <c r="AD111" s="199">
        <v>1</v>
      </c>
      <c r="AE111" s="199">
        <v>1</v>
      </c>
      <c r="AF111" s="199">
        <v>1</v>
      </c>
      <c r="AG111" s="199">
        <v>1</v>
      </c>
      <c r="AH111" s="199">
        <v>1</v>
      </c>
      <c r="AI111" s="199">
        <v>1</v>
      </c>
      <c r="AJ111" s="199">
        <v>1</v>
      </c>
      <c r="AK111" s="199">
        <v>0</v>
      </c>
      <c r="AL111" s="199">
        <v>1</v>
      </c>
      <c r="AM111" s="129">
        <v>40</v>
      </c>
      <c r="AN111" s="199">
        <v>3</v>
      </c>
    </row>
    <row r="112" spans="1:40" ht="16" x14ac:dyDescent="0.2">
      <c r="A112" s="139" t="s">
        <v>417</v>
      </c>
      <c r="B112" s="31">
        <v>1</v>
      </c>
      <c r="C112" s="31">
        <v>1</v>
      </c>
      <c r="D112" s="31">
        <v>1</v>
      </c>
      <c r="E112" s="199">
        <v>180</v>
      </c>
      <c r="F112" s="199">
        <v>1</v>
      </c>
      <c r="G112" s="199">
        <v>1</v>
      </c>
      <c r="H112" s="199">
        <v>1</v>
      </c>
      <c r="I112" s="199">
        <v>1</v>
      </c>
      <c r="J112" s="199">
        <v>1</v>
      </c>
      <c r="K112" s="199">
        <v>2</v>
      </c>
      <c r="L112" s="199">
        <v>2</v>
      </c>
      <c r="M112" s="199">
        <v>0</v>
      </c>
      <c r="N112" s="199">
        <v>1</v>
      </c>
      <c r="O112" s="199">
        <v>1</v>
      </c>
      <c r="P112" s="199">
        <v>1</v>
      </c>
      <c r="Q112" s="199">
        <v>1</v>
      </c>
      <c r="R112" s="199">
        <v>1</v>
      </c>
      <c r="S112" s="199">
        <v>0</v>
      </c>
      <c r="T112" s="199">
        <v>0</v>
      </c>
      <c r="U112" s="199">
        <v>0</v>
      </c>
      <c r="V112" s="199">
        <v>0</v>
      </c>
      <c r="W112" s="199">
        <v>2</v>
      </c>
      <c r="X112" s="199">
        <v>1</v>
      </c>
      <c r="Y112" s="199">
        <v>0</v>
      </c>
      <c r="Z112" s="199">
        <v>1</v>
      </c>
      <c r="AA112" s="199">
        <v>1</v>
      </c>
      <c r="AB112" s="199">
        <v>1</v>
      </c>
      <c r="AC112" s="199">
        <v>1</v>
      </c>
      <c r="AD112" s="199">
        <v>1</v>
      </c>
      <c r="AE112" s="199">
        <v>1</v>
      </c>
      <c r="AF112" s="199">
        <v>1</v>
      </c>
      <c r="AG112" s="199">
        <v>1</v>
      </c>
      <c r="AH112" s="199">
        <v>1</v>
      </c>
      <c r="AI112" s="199">
        <v>1</v>
      </c>
      <c r="AJ112" s="199">
        <v>1</v>
      </c>
      <c r="AK112" s="199">
        <v>0</v>
      </c>
      <c r="AL112" s="199">
        <v>0</v>
      </c>
      <c r="AM112" s="129">
        <v>28</v>
      </c>
      <c r="AN112" s="199">
        <v>2</v>
      </c>
    </row>
    <row r="113" spans="1:40" ht="16" x14ac:dyDescent="0.2">
      <c r="A113" s="139" t="s">
        <v>418</v>
      </c>
      <c r="B113" s="31">
        <v>1</v>
      </c>
      <c r="C113" s="31">
        <v>1</v>
      </c>
      <c r="D113" s="31">
        <v>1</v>
      </c>
      <c r="E113" s="167">
        <v>60</v>
      </c>
      <c r="F113" s="210">
        <v>1</v>
      </c>
      <c r="G113" s="210">
        <v>0</v>
      </c>
      <c r="H113" s="210">
        <v>1</v>
      </c>
      <c r="I113" s="210">
        <v>1</v>
      </c>
      <c r="J113" s="210">
        <v>1</v>
      </c>
      <c r="K113" s="210">
        <v>2</v>
      </c>
      <c r="L113" s="210">
        <v>2</v>
      </c>
      <c r="M113" s="210">
        <v>2</v>
      </c>
      <c r="N113" s="210">
        <v>3</v>
      </c>
      <c r="O113" s="210">
        <v>2</v>
      </c>
      <c r="P113" s="210">
        <v>3</v>
      </c>
      <c r="Q113" s="210">
        <v>2</v>
      </c>
      <c r="R113" s="210">
        <v>2</v>
      </c>
      <c r="S113" s="210">
        <v>2</v>
      </c>
      <c r="T113" s="210">
        <v>3</v>
      </c>
      <c r="U113" s="210">
        <v>2</v>
      </c>
      <c r="V113" s="210">
        <v>3</v>
      </c>
      <c r="W113" s="210">
        <v>1</v>
      </c>
      <c r="X113" s="210">
        <v>1</v>
      </c>
      <c r="Y113" s="210">
        <v>0</v>
      </c>
      <c r="Z113" s="210">
        <v>1</v>
      </c>
      <c r="AA113" s="210">
        <v>1</v>
      </c>
      <c r="AB113" s="210">
        <v>1</v>
      </c>
      <c r="AC113" s="210">
        <v>1</v>
      </c>
      <c r="AD113" s="210">
        <v>1</v>
      </c>
      <c r="AE113" s="210">
        <v>1</v>
      </c>
      <c r="AF113" s="210">
        <v>1</v>
      </c>
      <c r="AG113" s="210">
        <v>1</v>
      </c>
      <c r="AH113" s="210">
        <v>1</v>
      </c>
      <c r="AI113" s="210">
        <v>1</v>
      </c>
      <c r="AJ113" s="210">
        <v>1</v>
      </c>
      <c r="AK113" s="210">
        <v>0</v>
      </c>
      <c r="AL113" s="210">
        <v>1</v>
      </c>
      <c r="AM113" s="210">
        <v>45</v>
      </c>
      <c r="AN113" s="210">
        <v>3</v>
      </c>
    </row>
    <row r="114" spans="1:40" ht="16" x14ac:dyDescent="0.2">
      <c r="A114" s="139" t="s">
        <v>419</v>
      </c>
      <c r="B114" s="31">
        <v>1</v>
      </c>
      <c r="C114" s="31">
        <v>1</v>
      </c>
      <c r="D114" s="31">
        <v>1</v>
      </c>
      <c r="E114" s="163">
        <v>120</v>
      </c>
      <c r="F114" s="199">
        <v>1</v>
      </c>
      <c r="G114" s="199">
        <v>1</v>
      </c>
      <c r="H114" s="199">
        <v>1</v>
      </c>
      <c r="I114" s="199">
        <v>1</v>
      </c>
      <c r="J114" s="199">
        <v>1</v>
      </c>
      <c r="K114" s="199">
        <v>1</v>
      </c>
      <c r="L114" s="199">
        <v>1</v>
      </c>
      <c r="M114" s="199">
        <v>1</v>
      </c>
      <c r="N114" s="199">
        <v>1</v>
      </c>
      <c r="O114" s="199">
        <v>1</v>
      </c>
      <c r="P114" s="199">
        <v>1</v>
      </c>
      <c r="Q114" s="199">
        <v>1</v>
      </c>
      <c r="R114" s="199">
        <v>1</v>
      </c>
      <c r="S114" s="199">
        <v>1</v>
      </c>
      <c r="T114" s="199">
        <v>1</v>
      </c>
      <c r="U114" s="199">
        <v>1</v>
      </c>
      <c r="V114" s="199">
        <v>1</v>
      </c>
      <c r="W114" s="199">
        <v>2</v>
      </c>
      <c r="X114" s="199">
        <v>1</v>
      </c>
      <c r="Y114" s="199">
        <v>0</v>
      </c>
      <c r="Z114" s="199">
        <v>1</v>
      </c>
      <c r="AA114" s="199">
        <v>2</v>
      </c>
      <c r="AB114" s="199">
        <v>1</v>
      </c>
      <c r="AC114" s="199">
        <v>1</v>
      </c>
      <c r="AD114" s="199">
        <v>1</v>
      </c>
      <c r="AE114" s="199">
        <v>1</v>
      </c>
      <c r="AF114" s="199">
        <v>1</v>
      </c>
      <c r="AG114" s="199">
        <v>1</v>
      </c>
      <c r="AH114" s="199">
        <v>1</v>
      </c>
      <c r="AI114" s="199">
        <v>1</v>
      </c>
      <c r="AJ114" s="199">
        <v>1</v>
      </c>
      <c r="AK114" s="199">
        <v>0</v>
      </c>
      <c r="AL114" s="199">
        <v>1</v>
      </c>
      <c r="AM114" s="199">
        <v>31</v>
      </c>
      <c r="AN114" s="199">
        <v>3</v>
      </c>
    </row>
    <row r="115" spans="1:40" ht="16" x14ac:dyDescent="0.2">
      <c r="A115" s="139" t="s">
        <v>420</v>
      </c>
      <c r="B115" s="31">
        <v>1</v>
      </c>
      <c r="C115" s="31">
        <v>1</v>
      </c>
      <c r="D115" s="31">
        <v>1</v>
      </c>
      <c r="E115" s="199">
        <v>180</v>
      </c>
      <c r="F115" s="129">
        <v>1</v>
      </c>
      <c r="G115" s="129">
        <v>1</v>
      </c>
      <c r="H115" s="129">
        <v>1</v>
      </c>
      <c r="I115" s="129">
        <v>1</v>
      </c>
      <c r="J115" s="129">
        <v>1</v>
      </c>
      <c r="K115" s="129">
        <v>1</v>
      </c>
      <c r="L115" s="129">
        <v>1</v>
      </c>
      <c r="M115" s="129">
        <v>1</v>
      </c>
      <c r="N115" s="129">
        <v>1</v>
      </c>
      <c r="O115" s="129">
        <v>1</v>
      </c>
      <c r="P115" s="129">
        <v>1</v>
      </c>
      <c r="Q115" s="129">
        <v>1</v>
      </c>
      <c r="R115" s="129">
        <v>1</v>
      </c>
      <c r="S115" s="129">
        <v>1</v>
      </c>
      <c r="T115" s="129">
        <v>1</v>
      </c>
      <c r="U115" s="129">
        <v>1</v>
      </c>
      <c r="V115" s="129">
        <v>1</v>
      </c>
      <c r="W115" s="129">
        <v>0</v>
      </c>
      <c r="X115" s="129">
        <v>1</v>
      </c>
      <c r="Y115" s="129">
        <v>0</v>
      </c>
      <c r="Z115" s="129">
        <v>0</v>
      </c>
      <c r="AA115" s="129">
        <v>1</v>
      </c>
      <c r="AB115" s="129">
        <v>1</v>
      </c>
      <c r="AC115" s="129">
        <v>0</v>
      </c>
      <c r="AD115" s="129">
        <v>0</v>
      </c>
      <c r="AE115" s="129">
        <v>0</v>
      </c>
      <c r="AF115" s="129">
        <v>0</v>
      </c>
      <c r="AG115" s="129">
        <v>0</v>
      </c>
      <c r="AH115" s="129">
        <v>0</v>
      </c>
      <c r="AI115" s="129">
        <v>0</v>
      </c>
      <c r="AJ115" s="129">
        <v>0</v>
      </c>
      <c r="AK115" s="129">
        <v>0</v>
      </c>
      <c r="AL115" s="129">
        <v>0</v>
      </c>
      <c r="AM115" s="129">
        <v>20</v>
      </c>
      <c r="AN115" s="129">
        <v>2</v>
      </c>
    </row>
    <row r="116" spans="1:40" ht="16" x14ac:dyDescent="0.2">
      <c r="A116" s="139" t="s">
        <v>421</v>
      </c>
      <c r="B116" s="31">
        <v>1</v>
      </c>
      <c r="C116" s="31">
        <v>1</v>
      </c>
      <c r="D116" s="31">
        <v>1</v>
      </c>
      <c r="E116" s="199">
        <v>180</v>
      </c>
      <c r="F116" s="199">
        <v>1</v>
      </c>
      <c r="G116" s="199">
        <v>1</v>
      </c>
      <c r="H116" s="199">
        <v>1</v>
      </c>
      <c r="I116" s="199">
        <v>1</v>
      </c>
      <c r="J116" s="199">
        <v>1</v>
      </c>
      <c r="K116" s="199">
        <v>2</v>
      </c>
      <c r="L116" s="199">
        <v>2</v>
      </c>
      <c r="M116" s="199">
        <v>1</v>
      </c>
      <c r="N116" s="199">
        <v>1</v>
      </c>
      <c r="O116" s="199">
        <v>1</v>
      </c>
      <c r="P116" s="199">
        <v>1</v>
      </c>
      <c r="Q116" s="199">
        <v>1</v>
      </c>
      <c r="R116" s="199">
        <v>1</v>
      </c>
      <c r="S116" s="199">
        <v>1</v>
      </c>
      <c r="T116" s="199">
        <v>1</v>
      </c>
      <c r="U116" s="199">
        <v>0</v>
      </c>
      <c r="V116" s="199">
        <v>0</v>
      </c>
      <c r="W116" s="199">
        <v>1</v>
      </c>
      <c r="X116" s="199">
        <v>0</v>
      </c>
      <c r="Y116" s="199">
        <v>0</v>
      </c>
      <c r="Z116" s="199">
        <v>0</v>
      </c>
      <c r="AA116" s="199">
        <v>1</v>
      </c>
      <c r="AB116" s="199">
        <v>1</v>
      </c>
      <c r="AC116" s="199">
        <v>0</v>
      </c>
      <c r="AD116" s="199">
        <v>0</v>
      </c>
      <c r="AE116" s="199">
        <v>0</v>
      </c>
      <c r="AF116" s="199">
        <v>0</v>
      </c>
      <c r="AG116" s="199">
        <v>0</v>
      </c>
      <c r="AH116" s="199">
        <v>0</v>
      </c>
      <c r="AI116" s="199">
        <v>0</v>
      </c>
      <c r="AJ116" s="199">
        <v>0</v>
      </c>
      <c r="AK116" s="199">
        <v>0</v>
      </c>
      <c r="AL116" s="199">
        <v>0</v>
      </c>
      <c r="AM116" s="199">
        <v>20</v>
      </c>
      <c r="AN116" s="199">
        <v>3</v>
      </c>
    </row>
    <row r="117" spans="1:40" ht="16" x14ac:dyDescent="0.2">
      <c r="A117" s="139" t="s">
        <v>422</v>
      </c>
      <c r="B117" s="31">
        <v>1</v>
      </c>
      <c r="C117" s="31">
        <v>1</v>
      </c>
      <c r="D117" s="31">
        <v>1</v>
      </c>
      <c r="E117" s="163">
        <v>120</v>
      </c>
      <c r="F117" s="129">
        <v>2</v>
      </c>
      <c r="G117" s="129">
        <v>1</v>
      </c>
      <c r="H117" s="129">
        <v>1</v>
      </c>
      <c r="I117" s="129">
        <v>1</v>
      </c>
      <c r="J117" s="129">
        <v>1</v>
      </c>
      <c r="K117" s="129">
        <v>1</v>
      </c>
      <c r="L117" s="129">
        <v>1</v>
      </c>
      <c r="M117" s="129">
        <v>1</v>
      </c>
      <c r="N117" s="129">
        <v>1</v>
      </c>
      <c r="O117" s="129">
        <v>1</v>
      </c>
      <c r="P117" s="129">
        <v>1</v>
      </c>
      <c r="Q117" s="129">
        <v>1</v>
      </c>
      <c r="R117" s="129">
        <v>1</v>
      </c>
      <c r="S117" s="129">
        <v>1</v>
      </c>
      <c r="T117" s="129">
        <v>1</v>
      </c>
      <c r="U117" s="129">
        <v>1</v>
      </c>
      <c r="V117" s="129">
        <v>1</v>
      </c>
      <c r="W117" s="129">
        <v>1</v>
      </c>
      <c r="X117" s="129">
        <v>1</v>
      </c>
      <c r="Y117" s="129">
        <v>1</v>
      </c>
      <c r="Z117" s="129">
        <v>1</v>
      </c>
      <c r="AA117" s="129">
        <v>1</v>
      </c>
      <c r="AB117" s="129">
        <v>1</v>
      </c>
      <c r="AC117" s="129">
        <v>0</v>
      </c>
      <c r="AD117" s="129">
        <v>0</v>
      </c>
      <c r="AE117" s="129">
        <v>0</v>
      </c>
      <c r="AF117" s="129">
        <v>0</v>
      </c>
      <c r="AG117" s="129">
        <v>0</v>
      </c>
      <c r="AH117" s="129">
        <v>0</v>
      </c>
      <c r="AI117" s="129">
        <v>0</v>
      </c>
      <c r="AJ117" s="129">
        <v>0</v>
      </c>
      <c r="AK117" s="129">
        <v>0</v>
      </c>
      <c r="AL117" s="129">
        <v>0</v>
      </c>
      <c r="AM117" s="129">
        <v>24</v>
      </c>
      <c r="AN117" s="129">
        <v>2</v>
      </c>
    </row>
    <row r="118" spans="1:40" ht="16" x14ac:dyDescent="0.2">
      <c r="A118" s="139" t="s">
        <v>423</v>
      </c>
      <c r="B118" s="31">
        <v>1</v>
      </c>
      <c r="C118" s="31">
        <v>1</v>
      </c>
      <c r="D118" s="31">
        <v>1</v>
      </c>
      <c r="E118" s="163">
        <v>120</v>
      </c>
      <c r="F118" s="129">
        <v>1</v>
      </c>
      <c r="G118" s="129">
        <v>1</v>
      </c>
      <c r="H118" s="129">
        <v>1</v>
      </c>
      <c r="I118" s="129">
        <v>0</v>
      </c>
      <c r="J118" s="129">
        <v>0</v>
      </c>
      <c r="K118" s="129">
        <v>1</v>
      </c>
      <c r="L118" s="129">
        <v>1</v>
      </c>
      <c r="M118" s="129">
        <v>1</v>
      </c>
      <c r="N118" s="129">
        <v>1</v>
      </c>
      <c r="O118" s="129">
        <v>1</v>
      </c>
      <c r="P118" s="129">
        <v>1</v>
      </c>
      <c r="Q118" s="129">
        <v>1</v>
      </c>
      <c r="R118" s="129">
        <v>1</v>
      </c>
      <c r="S118" s="129">
        <v>1</v>
      </c>
      <c r="T118" s="129">
        <v>1</v>
      </c>
      <c r="U118" s="129">
        <v>1</v>
      </c>
      <c r="V118" s="129">
        <v>1</v>
      </c>
      <c r="W118" s="129">
        <v>1</v>
      </c>
      <c r="X118" s="129">
        <v>0</v>
      </c>
      <c r="Y118" s="129">
        <v>0</v>
      </c>
      <c r="Z118" s="129">
        <v>0</v>
      </c>
      <c r="AA118" s="129">
        <v>1</v>
      </c>
      <c r="AB118" s="129">
        <v>1</v>
      </c>
      <c r="AC118" s="129">
        <v>0</v>
      </c>
      <c r="AD118" s="129">
        <v>0</v>
      </c>
      <c r="AE118" s="129">
        <v>0</v>
      </c>
      <c r="AF118" s="129">
        <v>0</v>
      </c>
      <c r="AG118" s="129">
        <v>0</v>
      </c>
      <c r="AH118" s="129">
        <v>0</v>
      </c>
      <c r="AI118" s="129">
        <v>0</v>
      </c>
      <c r="AJ118" s="129">
        <v>0</v>
      </c>
      <c r="AK118" s="129">
        <v>0</v>
      </c>
      <c r="AL118" s="129">
        <v>0</v>
      </c>
      <c r="AM118" s="129">
        <v>18</v>
      </c>
      <c r="AN118" s="129">
        <v>2</v>
      </c>
    </row>
    <row r="119" spans="1:40" ht="16" x14ac:dyDescent="0.2">
      <c r="A119" s="124" t="s">
        <v>424</v>
      </c>
      <c r="B119" s="31">
        <v>1</v>
      </c>
      <c r="C119" s="31">
        <v>1</v>
      </c>
      <c r="D119" s="31">
        <v>1</v>
      </c>
      <c r="E119" s="199">
        <v>180</v>
      </c>
      <c r="F119" s="126">
        <v>2</v>
      </c>
      <c r="G119" s="126">
        <v>1</v>
      </c>
      <c r="H119" s="126">
        <v>2</v>
      </c>
      <c r="I119" s="126">
        <v>2</v>
      </c>
      <c r="J119" s="126">
        <v>2</v>
      </c>
      <c r="K119" s="126">
        <v>2</v>
      </c>
      <c r="L119" s="126">
        <v>2</v>
      </c>
      <c r="M119" s="126">
        <v>2</v>
      </c>
      <c r="N119" s="126">
        <v>2</v>
      </c>
      <c r="O119" s="126">
        <v>2</v>
      </c>
      <c r="P119" s="126">
        <v>2</v>
      </c>
      <c r="Q119" s="126">
        <v>2</v>
      </c>
      <c r="R119" s="126">
        <v>2</v>
      </c>
      <c r="S119" s="126">
        <v>2</v>
      </c>
      <c r="T119" s="126">
        <v>2</v>
      </c>
      <c r="U119" s="126">
        <v>2</v>
      </c>
      <c r="V119" s="126">
        <v>2</v>
      </c>
      <c r="W119" s="126">
        <v>2</v>
      </c>
      <c r="X119" s="126">
        <v>2</v>
      </c>
      <c r="Y119" s="126">
        <v>1</v>
      </c>
      <c r="Z119" s="126">
        <v>2</v>
      </c>
      <c r="AA119" s="126">
        <v>2</v>
      </c>
      <c r="AB119" s="126">
        <v>2</v>
      </c>
      <c r="AC119" s="126">
        <v>1</v>
      </c>
      <c r="AD119" s="126">
        <v>1</v>
      </c>
      <c r="AE119" s="126">
        <v>1</v>
      </c>
      <c r="AF119" s="126">
        <v>1</v>
      </c>
      <c r="AG119" s="126">
        <v>1</v>
      </c>
      <c r="AH119" s="126">
        <v>1</v>
      </c>
      <c r="AI119" s="126">
        <v>1</v>
      </c>
      <c r="AJ119" s="126">
        <v>1</v>
      </c>
      <c r="AK119" s="126">
        <v>0</v>
      </c>
      <c r="AL119" s="126">
        <v>2</v>
      </c>
      <c r="AM119" s="126">
        <v>54</v>
      </c>
      <c r="AN119" s="126">
        <v>3</v>
      </c>
    </row>
    <row r="120" spans="1:40" ht="16" x14ac:dyDescent="0.2">
      <c r="A120" s="139" t="s">
        <v>425</v>
      </c>
      <c r="B120" s="31">
        <v>1</v>
      </c>
      <c r="C120" s="31">
        <v>1</v>
      </c>
      <c r="D120" s="31">
        <v>1</v>
      </c>
      <c r="E120" s="163">
        <v>120</v>
      </c>
      <c r="F120" s="129">
        <v>2</v>
      </c>
      <c r="G120" s="129">
        <v>1</v>
      </c>
      <c r="H120" s="129">
        <v>1</v>
      </c>
      <c r="I120" s="129">
        <v>1</v>
      </c>
      <c r="J120" s="129">
        <v>1</v>
      </c>
      <c r="K120" s="129">
        <v>2</v>
      </c>
      <c r="L120" s="129">
        <v>2</v>
      </c>
      <c r="M120" s="129">
        <v>1</v>
      </c>
      <c r="N120" s="129">
        <v>1</v>
      </c>
      <c r="O120" s="129">
        <v>1</v>
      </c>
      <c r="P120" s="129">
        <v>1</v>
      </c>
      <c r="Q120" s="129">
        <v>1</v>
      </c>
      <c r="R120" s="129">
        <v>1</v>
      </c>
      <c r="S120" s="129">
        <v>1</v>
      </c>
      <c r="T120" s="129">
        <v>1</v>
      </c>
      <c r="U120" s="129">
        <v>1</v>
      </c>
      <c r="V120" s="129">
        <v>1</v>
      </c>
      <c r="W120" s="129">
        <v>0</v>
      </c>
      <c r="X120" s="129">
        <v>1</v>
      </c>
      <c r="Y120" s="129">
        <v>1</v>
      </c>
      <c r="Z120" s="129">
        <v>1</v>
      </c>
      <c r="AA120" s="129">
        <v>1</v>
      </c>
      <c r="AB120" s="129">
        <v>1</v>
      </c>
      <c r="AC120" s="129">
        <v>0</v>
      </c>
      <c r="AD120" s="129">
        <v>0</v>
      </c>
      <c r="AE120" s="129">
        <v>0</v>
      </c>
      <c r="AF120" s="129">
        <v>0</v>
      </c>
      <c r="AG120" s="129">
        <v>0</v>
      </c>
      <c r="AH120" s="129">
        <v>0</v>
      </c>
      <c r="AI120" s="129">
        <v>0</v>
      </c>
      <c r="AJ120" s="129">
        <v>0</v>
      </c>
      <c r="AK120" s="129">
        <v>0</v>
      </c>
      <c r="AL120" s="129">
        <v>0</v>
      </c>
      <c r="AM120" s="129">
        <v>25</v>
      </c>
      <c r="AN120" s="129">
        <v>2</v>
      </c>
    </row>
    <row r="121" spans="1:40" ht="16" x14ac:dyDescent="0.2">
      <c r="A121" s="139" t="s">
        <v>426</v>
      </c>
      <c r="B121" s="31">
        <v>1</v>
      </c>
      <c r="C121" s="31">
        <v>1</v>
      </c>
      <c r="D121" s="31">
        <v>1</v>
      </c>
      <c r="E121" s="163">
        <v>120</v>
      </c>
      <c r="F121" s="129">
        <v>2</v>
      </c>
      <c r="G121" s="129">
        <v>2</v>
      </c>
      <c r="H121" s="129">
        <v>1</v>
      </c>
      <c r="I121" s="129">
        <v>2</v>
      </c>
      <c r="J121" s="129">
        <v>2</v>
      </c>
      <c r="K121" s="129">
        <v>2</v>
      </c>
      <c r="L121" s="129">
        <v>2</v>
      </c>
      <c r="M121" s="129">
        <v>2</v>
      </c>
      <c r="N121" s="129">
        <v>2</v>
      </c>
      <c r="O121" s="129">
        <v>2</v>
      </c>
      <c r="P121" s="129">
        <v>2</v>
      </c>
      <c r="Q121" s="129">
        <v>2</v>
      </c>
      <c r="R121" s="129">
        <v>2</v>
      </c>
      <c r="S121" s="129">
        <v>2</v>
      </c>
      <c r="T121" s="129">
        <v>2</v>
      </c>
      <c r="U121" s="129">
        <v>2</v>
      </c>
      <c r="V121" s="129">
        <v>2</v>
      </c>
      <c r="W121" s="129">
        <v>2</v>
      </c>
      <c r="X121" s="129">
        <v>1</v>
      </c>
      <c r="Y121" s="129">
        <v>1</v>
      </c>
      <c r="Z121" s="129">
        <v>2</v>
      </c>
      <c r="AA121" s="129">
        <v>2</v>
      </c>
      <c r="AB121" s="129">
        <v>2</v>
      </c>
      <c r="AC121" s="129">
        <v>0</v>
      </c>
      <c r="AD121" s="129">
        <v>0</v>
      </c>
      <c r="AE121" s="129">
        <v>0</v>
      </c>
      <c r="AF121" s="129">
        <v>0</v>
      </c>
      <c r="AG121" s="129">
        <v>0</v>
      </c>
      <c r="AH121" s="129">
        <v>0</v>
      </c>
      <c r="AI121" s="129">
        <v>0</v>
      </c>
      <c r="AJ121" s="129">
        <v>0</v>
      </c>
      <c r="AK121" s="129">
        <v>0</v>
      </c>
      <c r="AL121" s="129">
        <v>0</v>
      </c>
      <c r="AM121" s="129">
        <v>43</v>
      </c>
      <c r="AN121" s="129">
        <v>3</v>
      </c>
    </row>
    <row r="122" spans="1:40" ht="16" x14ac:dyDescent="0.2">
      <c r="A122" s="149" t="s">
        <v>427</v>
      </c>
      <c r="B122" s="31">
        <v>1</v>
      </c>
      <c r="C122" s="31">
        <v>1</v>
      </c>
      <c r="D122" s="31">
        <v>1</v>
      </c>
      <c r="E122" s="163">
        <v>120</v>
      </c>
      <c r="F122" s="129">
        <v>1</v>
      </c>
      <c r="G122" s="129">
        <v>1</v>
      </c>
      <c r="H122" s="129">
        <v>2</v>
      </c>
      <c r="I122" s="129">
        <v>2</v>
      </c>
      <c r="J122" s="129">
        <v>2</v>
      </c>
      <c r="K122" s="129">
        <v>1</v>
      </c>
      <c r="L122" s="129">
        <v>1</v>
      </c>
      <c r="M122" s="129">
        <v>1</v>
      </c>
      <c r="N122" s="129">
        <v>1</v>
      </c>
      <c r="O122" s="129">
        <v>1</v>
      </c>
      <c r="P122" s="129">
        <v>1</v>
      </c>
      <c r="Q122" s="129">
        <v>1</v>
      </c>
      <c r="R122" s="129">
        <v>1</v>
      </c>
      <c r="S122" s="129">
        <v>1</v>
      </c>
      <c r="T122" s="129">
        <v>1</v>
      </c>
      <c r="U122" s="129">
        <v>1</v>
      </c>
      <c r="V122" s="129">
        <v>1</v>
      </c>
      <c r="W122" s="129">
        <v>1</v>
      </c>
      <c r="X122" s="129">
        <v>1</v>
      </c>
      <c r="Y122" s="129">
        <v>1</v>
      </c>
      <c r="Z122" s="129">
        <v>1</v>
      </c>
      <c r="AA122" s="129">
        <v>1</v>
      </c>
      <c r="AB122" s="129">
        <v>1</v>
      </c>
      <c r="AC122" s="129">
        <v>0</v>
      </c>
      <c r="AD122" s="129">
        <v>0</v>
      </c>
      <c r="AE122" s="129">
        <v>0</v>
      </c>
      <c r="AF122" s="129">
        <v>0</v>
      </c>
      <c r="AG122" s="129">
        <v>0</v>
      </c>
      <c r="AH122" s="129">
        <v>0</v>
      </c>
      <c r="AI122" s="129">
        <v>0</v>
      </c>
      <c r="AJ122" s="129">
        <v>0</v>
      </c>
      <c r="AK122" s="129">
        <v>0</v>
      </c>
      <c r="AL122" s="129">
        <v>0</v>
      </c>
      <c r="AM122" s="129">
        <v>26</v>
      </c>
      <c r="AN122" s="129">
        <v>2</v>
      </c>
    </row>
    <row r="123" spans="1:40" ht="16" x14ac:dyDescent="0.2">
      <c r="A123" s="151" t="s">
        <v>428</v>
      </c>
      <c r="B123" s="31">
        <v>1</v>
      </c>
      <c r="C123" s="31">
        <v>1</v>
      </c>
      <c r="D123" s="31">
        <v>1</v>
      </c>
      <c r="E123" s="199">
        <v>180</v>
      </c>
      <c r="F123" s="126">
        <v>1</v>
      </c>
      <c r="G123" s="126">
        <v>0</v>
      </c>
      <c r="H123" s="126">
        <v>1</v>
      </c>
      <c r="I123" s="126">
        <v>1</v>
      </c>
      <c r="J123" s="126">
        <v>1</v>
      </c>
      <c r="K123" s="126">
        <v>1</v>
      </c>
      <c r="L123" s="126">
        <v>0</v>
      </c>
      <c r="M123" s="126">
        <v>1</v>
      </c>
      <c r="N123" s="126">
        <v>1</v>
      </c>
      <c r="O123" s="126">
        <v>1</v>
      </c>
      <c r="P123" s="126">
        <v>1</v>
      </c>
      <c r="Q123" s="126">
        <v>1</v>
      </c>
      <c r="R123" s="126">
        <v>1</v>
      </c>
      <c r="S123" s="126">
        <v>1</v>
      </c>
      <c r="T123" s="126">
        <v>1</v>
      </c>
      <c r="U123" s="126">
        <v>1</v>
      </c>
      <c r="V123" s="126">
        <v>1</v>
      </c>
      <c r="W123" s="126">
        <v>0</v>
      </c>
      <c r="X123" s="126">
        <v>0</v>
      </c>
      <c r="Y123" s="126">
        <v>0</v>
      </c>
      <c r="Z123" s="126">
        <v>0</v>
      </c>
      <c r="AA123" s="126">
        <v>1</v>
      </c>
      <c r="AB123" s="126">
        <v>1</v>
      </c>
      <c r="AC123" s="126">
        <v>0</v>
      </c>
      <c r="AD123" s="126">
        <v>0</v>
      </c>
      <c r="AE123" s="126">
        <v>0</v>
      </c>
      <c r="AF123" s="126">
        <v>0</v>
      </c>
      <c r="AG123" s="126">
        <v>0</v>
      </c>
      <c r="AH123" s="126">
        <v>0</v>
      </c>
      <c r="AI123" s="126">
        <v>0</v>
      </c>
      <c r="AJ123" s="126">
        <v>0</v>
      </c>
      <c r="AK123" s="126">
        <v>0</v>
      </c>
      <c r="AL123" s="126">
        <v>0</v>
      </c>
      <c r="AM123" s="126">
        <v>17</v>
      </c>
      <c r="AN123" s="126">
        <v>2</v>
      </c>
    </row>
    <row r="124" spans="1:40" ht="16" x14ac:dyDescent="0.2">
      <c r="A124" s="151" t="s">
        <v>429</v>
      </c>
      <c r="B124" s="31">
        <v>1</v>
      </c>
      <c r="C124" s="31">
        <v>1</v>
      </c>
      <c r="D124" s="31">
        <v>1</v>
      </c>
      <c r="E124" s="199">
        <v>180</v>
      </c>
      <c r="F124" s="129">
        <v>1</v>
      </c>
      <c r="G124" s="129">
        <v>1</v>
      </c>
      <c r="H124" s="129">
        <v>1</v>
      </c>
      <c r="I124" s="129">
        <v>0</v>
      </c>
      <c r="J124" s="129">
        <v>0</v>
      </c>
      <c r="K124" s="129">
        <v>1</v>
      </c>
      <c r="L124" s="129">
        <v>1</v>
      </c>
      <c r="M124" s="129">
        <v>1</v>
      </c>
      <c r="N124" s="129">
        <v>1</v>
      </c>
      <c r="O124" s="129">
        <v>1</v>
      </c>
      <c r="P124" s="129">
        <v>1</v>
      </c>
      <c r="Q124" s="129">
        <v>1</v>
      </c>
      <c r="R124" s="129">
        <v>1</v>
      </c>
      <c r="S124" s="129">
        <v>1</v>
      </c>
      <c r="T124" s="129">
        <v>1</v>
      </c>
      <c r="U124" s="129">
        <v>1</v>
      </c>
      <c r="V124" s="129">
        <v>1</v>
      </c>
      <c r="W124" s="129">
        <v>0</v>
      </c>
      <c r="X124" s="129">
        <v>0</v>
      </c>
      <c r="Y124" s="129">
        <v>0</v>
      </c>
      <c r="Z124" s="129">
        <v>0</v>
      </c>
      <c r="AA124" s="129">
        <v>1</v>
      </c>
      <c r="AB124" s="129">
        <v>1</v>
      </c>
      <c r="AC124" s="129">
        <v>0</v>
      </c>
      <c r="AD124" s="129">
        <v>0</v>
      </c>
      <c r="AE124" s="129">
        <v>0</v>
      </c>
      <c r="AF124" s="129">
        <v>0</v>
      </c>
      <c r="AG124" s="129">
        <v>0</v>
      </c>
      <c r="AH124" s="129">
        <v>0</v>
      </c>
      <c r="AI124" s="129">
        <v>0</v>
      </c>
      <c r="AJ124" s="129">
        <v>0</v>
      </c>
      <c r="AK124" s="129">
        <v>0</v>
      </c>
      <c r="AL124" s="129">
        <v>0</v>
      </c>
      <c r="AM124" s="129">
        <v>17</v>
      </c>
      <c r="AN124" s="129">
        <v>2</v>
      </c>
    </row>
    <row r="125" spans="1:40" ht="16" x14ac:dyDescent="0.2">
      <c r="A125" s="152" t="s">
        <v>430</v>
      </c>
      <c r="B125" s="31">
        <v>1</v>
      </c>
      <c r="C125" s="31">
        <v>1</v>
      </c>
      <c r="D125" s="31">
        <v>1</v>
      </c>
      <c r="E125" s="199">
        <v>180</v>
      </c>
      <c r="F125" s="154">
        <v>1</v>
      </c>
      <c r="G125" s="154">
        <v>1</v>
      </c>
      <c r="H125" s="154">
        <v>1</v>
      </c>
      <c r="I125" s="154">
        <v>1</v>
      </c>
      <c r="J125" s="154">
        <v>1</v>
      </c>
      <c r="K125" s="154">
        <v>1</v>
      </c>
      <c r="L125" s="154">
        <v>1</v>
      </c>
      <c r="M125" s="154">
        <v>1</v>
      </c>
      <c r="N125" s="154">
        <v>1</v>
      </c>
      <c r="O125" s="154">
        <v>1</v>
      </c>
      <c r="P125" s="154">
        <v>1</v>
      </c>
      <c r="Q125" s="154">
        <v>1</v>
      </c>
      <c r="R125" s="154">
        <v>1</v>
      </c>
      <c r="S125" s="154">
        <v>1</v>
      </c>
      <c r="T125" s="154">
        <v>1</v>
      </c>
      <c r="U125" s="154">
        <v>1</v>
      </c>
      <c r="V125" s="154">
        <v>1</v>
      </c>
      <c r="W125" s="154">
        <v>0</v>
      </c>
      <c r="X125" s="154">
        <v>0</v>
      </c>
      <c r="Y125" s="154">
        <v>0</v>
      </c>
      <c r="Z125" s="154">
        <v>1</v>
      </c>
      <c r="AA125" s="154">
        <v>1</v>
      </c>
      <c r="AB125" s="154">
        <v>1</v>
      </c>
      <c r="AC125" s="154">
        <v>0</v>
      </c>
      <c r="AD125" s="154">
        <v>0</v>
      </c>
      <c r="AE125" s="154">
        <v>0</v>
      </c>
      <c r="AF125" s="154">
        <v>0</v>
      </c>
      <c r="AG125" s="154">
        <v>0</v>
      </c>
      <c r="AH125" s="154">
        <v>0</v>
      </c>
      <c r="AI125" s="154">
        <v>0</v>
      </c>
      <c r="AJ125" s="154">
        <v>0</v>
      </c>
      <c r="AK125" s="154">
        <v>0</v>
      </c>
      <c r="AL125" s="154">
        <v>0</v>
      </c>
      <c r="AM125" s="154">
        <v>20</v>
      </c>
      <c r="AN125" s="154">
        <v>2</v>
      </c>
    </row>
    <row r="126" spans="1:40" ht="16" x14ac:dyDescent="0.2">
      <c r="A126" s="152" t="s">
        <v>431</v>
      </c>
      <c r="B126" s="31">
        <v>1</v>
      </c>
      <c r="C126" s="31">
        <v>1</v>
      </c>
      <c r="D126" s="31">
        <v>1</v>
      </c>
      <c r="E126" s="199">
        <v>180</v>
      </c>
      <c r="F126" s="129">
        <v>1</v>
      </c>
      <c r="G126" s="129">
        <v>0</v>
      </c>
      <c r="H126" s="129">
        <v>1</v>
      </c>
      <c r="I126" s="129">
        <v>1</v>
      </c>
      <c r="J126" s="129">
        <v>1</v>
      </c>
      <c r="K126" s="129">
        <v>1</v>
      </c>
      <c r="L126" s="129">
        <v>1</v>
      </c>
      <c r="M126" s="129">
        <v>1</v>
      </c>
      <c r="N126" s="129">
        <v>1</v>
      </c>
      <c r="O126" s="129">
        <v>1</v>
      </c>
      <c r="P126" s="129">
        <v>1</v>
      </c>
      <c r="Q126" s="129">
        <v>1</v>
      </c>
      <c r="R126" s="129">
        <v>1</v>
      </c>
      <c r="S126" s="129">
        <v>1</v>
      </c>
      <c r="T126" s="129">
        <v>1</v>
      </c>
      <c r="U126" s="129">
        <v>1</v>
      </c>
      <c r="V126" s="129">
        <v>1</v>
      </c>
      <c r="W126" s="129">
        <v>1</v>
      </c>
      <c r="X126" s="129">
        <v>0</v>
      </c>
      <c r="Y126" s="129">
        <v>0</v>
      </c>
      <c r="Z126" s="129">
        <v>1</v>
      </c>
      <c r="AA126" s="129">
        <v>1</v>
      </c>
      <c r="AB126" s="129">
        <v>1</v>
      </c>
      <c r="AC126" s="129">
        <v>0</v>
      </c>
      <c r="AD126" s="129">
        <v>0</v>
      </c>
      <c r="AE126" s="129">
        <v>0</v>
      </c>
      <c r="AF126" s="129">
        <v>0</v>
      </c>
      <c r="AG126" s="129">
        <v>0</v>
      </c>
      <c r="AH126" s="129">
        <v>0</v>
      </c>
      <c r="AI126" s="129">
        <v>0</v>
      </c>
      <c r="AJ126" s="129">
        <v>0</v>
      </c>
      <c r="AK126" s="129">
        <v>0</v>
      </c>
      <c r="AL126" s="129">
        <v>0</v>
      </c>
      <c r="AM126" s="129">
        <v>20</v>
      </c>
      <c r="AN126" s="129">
        <v>2</v>
      </c>
    </row>
    <row r="127" spans="1:40" ht="16" x14ac:dyDescent="0.2">
      <c r="A127" s="136" t="s">
        <v>432</v>
      </c>
      <c r="B127" s="31">
        <v>1</v>
      </c>
      <c r="C127" s="31">
        <v>1</v>
      </c>
      <c r="D127" s="31">
        <v>1</v>
      </c>
      <c r="E127" s="199">
        <v>180</v>
      </c>
      <c r="F127" s="129">
        <v>2</v>
      </c>
      <c r="G127" s="129">
        <v>1</v>
      </c>
      <c r="H127" s="129">
        <v>1</v>
      </c>
      <c r="I127" s="129">
        <v>1</v>
      </c>
      <c r="J127" s="129">
        <v>1</v>
      </c>
      <c r="K127" s="129">
        <v>2</v>
      </c>
      <c r="L127" s="129">
        <v>2</v>
      </c>
      <c r="M127" s="129">
        <v>2</v>
      </c>
      <c r="N127" s="129">
        <v>2</v>
      </c>
      <c r="O127" s="129">
        <v>2</v>
      </c>
      <c r="P127" s="129">
        <v>2</v>
      </c>
      <c r="Q127" s="129">
        <v>2</v>
      </c>
      <c r="R127" s="129">
        <v>2</v>
      </c>
      <c r="S127" s="129">
        <v>2</v>
      </c>
      <c r="T127" s="129">
        <v>2</v>
      </c>
      <c r="U127" s="129">
        <v>2</v>
      </c>
      <c r="V127" s="129">
        <v>2</v>
      </c>
      <c r="W127" s="129">
        <v>1</v>
      </c>
      <c r="X127" s="129">
        <v>1</v>
      </c>
      <c r="Y127" s="129">
        <v>1</v>
      </c>
      <c r="Z127" s="129">
        <v>1</v>
      </c>
      <c r="AA127" s="129">
        <v>2</v>
      </c>
      <c r="AB127" s="129">
        <v>2</v>
      </c>
      <c r="AC127" s="129">
        <v>0</v>
      </c>
      <c r="AD127" s="129">
        <v>0</v>
      </c>
      <c r="AE127" s="129">
        <v>0</v>
      </c>
      <c r="AF127" s="129">
        <v>0</v>
      </c>
      <c r="AG127" s="129">
        <v>0</v>
      </c>
      <c r="AH127" s="129">
        <v>0</v>
      </c>
      <c r="AI127" s="129">
        <v>0</v>
      </c>
      <c r="AJ127" s="129">
        <v>0</v>
      </c>
      <c r="AK127" s="129">
        <v>0</v>
      </c>
      <c r="AL127" s="129">
        <v>0</v>
      </c>
      <c r="AM127" s="129">
        <v>38</v>
      </c>
      <c r="AN127" s="129">
        <v>3</v>
      </c>
    </row>
    <row r="128" spans="1:40" ht="16" x14ac:dyDescent="0.2">
      <c r="A128" s="136" t="s">
        <v>433</v>
      </c>
      <c r="B128" s="31">
        <v>1</v>
      </c>
      <c r="C128" s="31">
        <v>1</v>
      </c>
      <c r="D128" s="31">
        <v>1</v>
      </c>
      <c r="E128" s="199">
        <v>180</v>
      </c>
      <c r="F128" s="126">
        <v>3</v>
      </c>
      <c r="G128" s="126">
        <v>2</v>
      </c>
      <c r="H128" s="126">
        <v>1</v>
      </c>
      <c r="I128" s="126">
        <v>2</v>
      </c>
      <c r="J128" s="126">
        <v>2</v>
      </c>
      <c r="K128" s="126">
        <v>2</v>
      </c>
      <c r="L128" s="126">
        <v>2</v>
      </c>
      <c r="M128" s="126">
        <v>1</v>
      </c>
      <c r="N128" s="126">
        <v>2</v>
      </c>
      <c r="O128" s="126">
        <v>2</v>
      </c>
      <c r="P128" s="126">
        <v>2</v>
      </c>
      <c r="Q128" s="126">
        <v>2</v>
      </c>
      <c r="R128" s="126">
        <v>2</v>
      </c>
      <c r="S128" s="126">
        <v>2</v>
      </c>
      <c r="T128" s="126">
        <v>2</v>
      </c>
      <c r="U128" s="126">
        <v>2</v>
      </c>
      <c r="V128" s="126">
        <v>2</v>
      </c>
      <c r="W128" s="126">
        <v>2</v>
      </c>
      <c r="X128" s="126">
        <v>1</v>
      </c>
      <c r="Y128" s="126">
        <v>1</v>
      </c>
      <c r="Z128" s="126">
        <v>1</v>
      </c>
      <c r="AA128" s="126">
        <v>1</v>
      </c>
      <c r="AB128" s="126">
        <v>2</v>
      </c>
      <c r="AC128" s="126">
        <v>0</v>
      </c>
      <c r="AD128" s="126">
        <v>0</v>
      </c>
      <c r="AE128" s="126">
        <v>0</v>
      </c>
      <c r="AF128" s="126">
        <v>0</v>
      </c>
      <c r="AG128" s="126">
        <v>0</v>
      </c>
      <c r="AH128" s="126">
        <v>0</v>
      </c>
      <c r="AI128" s="126">
        <v>0</v>
      </c>
      <c r="AJ128" s="126">
        <v>0</v>
      </c>
      <c r="AK128" s="126">
        <v>0</v>
      </c>
      <c r="AL128" s="126">
        <v>0</v>
      </c>
      <c r="AM128" s="126">
        <v>41</v>
      </c>
      <c r="AN128" s="126">
        <v>3</v>
      </c>
    </row>
    <row r="129" spans="1:40" ht="16" x14ac:dyDescent="0.2">
      <c r="A129" s="136" t="s">
        <v>434</v>
      </c>
      <c r="B129" s="31">
        <v>1</v>
      </c>
      <c r="C129" s="31">
        <v>1</v>
      </c>
      <c r="D129" s="31">
        <v>1</v>
      </c>
      <c r="E129" s="163">
        <v>120</v>
      </c>
      <c r="F129" s="129">
        <v>2</v>
      </c>
      <c r="G129" s="129">
        <v>1</v>
      </c>
      <c r="H129" s="129">
        <v>1</v>
      </c>
      <c r="I129" s="129">
        <v>1</v>
      </c>
      <c r="J129" s="129">
        <v>1</v>
      </c>
      <c r="K129" s="129">
        <v>2</v>
      </c>
      <c r="L129" s="129">
        <v>2</v>
      </c>
      <c r="M129" s="129">
        <v>2</v>
      </c>
      <c r="N129" s="129">
        <v>2</v>
      </c>
      <c r="O129" s="129">
        <v>2</v>
      </c>
      <c r="P129" s="129">
        <v>2</v>
      </c>
      <c r="Q129" s="129">
        <v>2</v>
      </c>
      <c r="R129" s="129">
        <v>2</v>
      </c>
      <c r="S129" s="129">
        <v>2</v>
      </c>
      <c r="T129" s="129">
        <v>2</v>
      </c>
      <c r="U129" s="129">
        <v>2</v>
      </c>
      <c r="V129" s="129">
        <v>2</v>
      </c>
      <c r="W129" s="129">
        <v>2</v>
      </c>
      <c r="X129" s="129">
        <v>1</v>
      </c>
      <c r="Y129" s="129">
        <v>0</v>
      </c>
      <c r="Z129" s="129">
        <v>1</v>
      </c>
      <c r="AA129" s="129">
        <v>2</v>
      </c>
      <c r="AB129" s="129">
        <v>2</v>
      </c>
      <c r="AC129" s="129">
        <v>1</v>
      </c>
      <c r="AD129" s="129">
        <v>1</v>
      </c>
      <c r="AE129" s="129">
        <v>1</v>
      </c>
      <c r="AF129" s="129">
        <v>1</v>
      </c>
      <c r="AG129" s="129">
        <v>1</v>
      </c>
      <c r="AH129" s="129">
        <v>1</v>
      </c>
      <c r="AI129" s="129">
        <v>1</v>
      </c>
      <c r="AJ129" s="129">
        <v>1</v>
      </c>
      <c r="AK129" s="129">
        <v>0</v>
      </c>
      <c r="AL129" s="129">
        <v>0</v>
      </c>
      <c r="AM129" s="129">
        <v>46</v>
      </c>
      <c r="AN129" s="129">
        <v>3</v>
      </c>
    </row>
    <row r="130" spans="1:40" ht="16" x14ac:dyDescent="0.2">
      <c r="A130" s="136" t="s">
        <v>435</v>
      </c>
      <c r="B130" s="31">
        <v>1</v>
      </c>
      <c r="C130" s="31">
        <v>1</v>
      </c>
      <c r="D130" s="31">
        <v>1</v>
      </c>
      <c r="E130" s="163">
        <v>120</v>
      </c>
      <c r="F130" s="129">
        <v>3</v>
      </c>
      <c r="G130" s="129">
        <v>2</v>
      </c>
      <c r="H130" s="129">
        <v>2</v>
      </c>
      <c r="I130" s="129">
        <v>1</v>
      </c>
      <c r="J130" s="129">
        <v>1</v>
      </c>
      <c r="K130" s="129">
        <v>2</v>
      </c>
      <c r="L130" s="129">
        <v>2</v>
      </c>
      <c r="M130" s="129">
        <v>1</v>
      </c>
      <c r="N130" s="129">
        <v>1</v>
      </c>
      <c r="O130" s="129">
        <v>2</v>
      </c>
      <c r="P130" s="129">
        <v>2</v>
      </c>
      <c r="Q130" s="129">
        <v>2</v>
      </c>
      <c r="R130" s="129">
        <v>2</v>
      </c>
      <c r="S130" s="129">
        <v>2</v>
      </c>
      <c r="T130" s="129">
        <v>2</v>
      </c>
      <c r="U130" s="129">
        <v>2</v>
      </c>
      <c r="V130" s="129">
        <v>2</v>
      </c>
      <c r="W130" s="129">
        <v>2</v>
      </c>
      <c r="X130" s="129">
        <v>1</v>
      </c>
      <c r="Y130" s="129">
        <v>1</v>
      </c>
      <c r="Z130" s="129">
        <v>2</v>
      </c>
      <c r="AA130" s="129">
        <v>2</v>
      </c>
      <c r="AB130" s="129">
        <v>2</v>
      </c>
      <c r="AC130" s="129">
        <v>0</v>
      </c>
      <c r="AD130" s="129">
        <v>0</v>
      </c>
      <c r="AE130" s="129">
        <v>0</v>
      </c>
      <c r="AF130" s="129">
        <v>0</v>
      </c>
      <c r="AG130" s="129">
        <v>0</v>
      </c>
      <c r="AH130" s="129">
        <v>0</v>
      </c>
      <c r="AI130" s="129">
        <v>0</v>
      </c>
      <c r="AJ130" s="129">
        <v>0</v>
      </c>
      <c r="AK130" s="129">
        <v>0</v>
      </c>
      <c r="AL130" s="129">
        <v>0</v>
      </c>
      <c r="AM130" s="129">
        <v>41</v>
      </c>
      <c r="AN130" s="129">
        <v>3</v>
      </c>
    </row>
    <row r="131" spans="1:40" ht="16" x14ac:dyDescent="0.2">
      <c r="A131" s="136" t="s">
        <v>436</v>
      </c>
      <c r="B131" s="31">
        <v>1</v>
      </c>
      <c r="C131" s="31">
        <v>1</v>
      </c>
      <c r="D131" s="31">
        <v>1</v>
      </c>
      <c r="E131" s="163">
        <v>120</v>
      </c>
      <c r="F131" s="129">
        <v>2</v>
      </c>
      <c r="G131" s="129">
        <v>1</v>
      </c>
      <c r="H131" s="129">
        <v>1</v>
      </c>
      <c r="I131" s="129">
        <v>1</v>
      </c>
      <c r="J131" s="129">
        <v>1</v>
      </c>
      <c r="K131" s="129">
        <v>1</v>
      </c>
      <c r="L131" s="129">
        <v>1</v>
      </c>
      <c r="M131" s="129">
        <v>1</v>
      </c>
      <c r="N131" s="129">
        <v>1</v>
      </c>
      <c r="O131" s="129">
        <v>2</v>
      </c>
      <c r="P131" s="129">
        <v>2</v>
      </c>
      <c r="Q131" s="129">
        <v>2</v>
      </c>
      <c r="R131" s="129">
        <v>2</v>
      </c>
      <c r="S131" s="129">
        <v>2</v>
      </c>
      <c r="T131" s="129">
        <v>2</v>
      </c>
      <c r="U131" s="129">
        <v>2</v>
      </c>
      <c r="V131" s="129">
        <v>2</v>
      </c>
      <c r="W131" s="129">
        <v>1</v>
      </c>
      <c r="X131" s="129">
        <v>1</v>
      </c>
      <c r="Y131" s="129">
        <v>0</v>
      </c>
      <c r="Z131" s="129">
        <v>1</v>
      </c>
      <c r="AA131" s="129">
        <v>1</v>
      </c>
      <c r="AB131" s="129">
        <v>2</v>
      </c>
      <c r="AC131" s="129">
        <v>0</v>
      </c>
      <c r="AD131" s="129">
        <v>0</v>
      </c>
      <c r="AE131" s="129">
        <v>0</v>
      </c>
      <c r="AF131" s="129">
        <v>0</v>
      </c>
      <c r="AG131" s="129">
        <v>0</v>
      </c>
      <c r="AH131" s="129">
        <v>0</v>
      </c>
      <c r="AI131" s="129">
        <v>0</v>
      </c>
      <c r="AJ131" s="129">
        <v>0</v>
      </c>
      <c r="AK131" s="129">
        <v>0</v>
      </c>
      <c r="AL131" s="129">
        <v>0</v>
      </c>
      <c r="AM131" s="129">
        <v>32</v>
      </c>
      <c r="AN131" s="129">
        <v>2</v>
      </c>
    </row>
    <row r="132" spans="1:40" ht="16" x14ac:dyDescent="0.2">
      <c r="A132" s="136" t="s">
        <v>437</v>
      </c>
      <c r="B132" s="31">
        <v>1</v>
      </c>
      <c r="C132" s="31">
        <v>1</v>
      </c>
      <c r="D132" s="31">
        <v>1</v>
      </c>
      <c r="E132" s="163">
        <v>120</v>
      </c>
      <c r="F132" s="129">
        <v>2</v>
      </c>
      <c r="G132" s="129">
        <v>1</v>
      </c>
      <c r="H132" s="129">
        <v>1</v>
      </c>
      <c r="I132" s="129">
        <v>2</v>
      </c>
      <c r="J132" s="129">
        <v>2</v>
      </c>
      <c r="K132" s="129">
        <v>2</v>
      </c>
      <c r="L132" s="129">
        <v>2</v>
      </c>
      <c r="M132" s="129">
        <v>1</v>
      </c>
      <c r="N132" s="129">
        <v>1</v>
      </c>
      <c r="O132" s="129">
        <v>2</v>
      </c>
      <c r="P132" s="129">
        <v>2</v>
      </c>
      <c r="Q132" s="129">
        <v>2</v>
      </c>
      <c r="R132" s="129">
        <v>2</v>
      </c>
      <c r="S132" s="129">
        <v>2</v>
      </c>
      <c r="T132" s="129">
        <v>2</v>
      </c>
      <c r="U132" s="129">
        <v>2</v>
      </c>
      <c r="V132" s="129">
        <v>2</v>
      </c>
      <c r="W132" s="129">
        <v>2</v>
      </c>
      <c r="X132" s="129">
        <v>2</v>
      </c>
      <c r="Y132" s="129">
        <v>1</v>
      </c>
      <c r="Z132" s="129">
        <v>2</v>
      </c>
      <c r="AA132" s="129">
        <v>1</v>
      </c>
      <c r="AB132" s="129">
        <v>2</v>
      </c>
      <c r="AC132" s="129">
        <v>0</v>
      </c>
      <c r="AD132" s="129">
        <v>0</v>
      </c>
      <c r="AE132" s="129">
        <v>0</v>
      </c>
      <c r="AF132" s="129">
        <v>0</v>
      </c>
      <c r="AG132" s="129">
        <v>0</v>
      </c>
      <c r="AH132" s="129">
        <v>0</v>
      </c>
      <c r="AI132" s="129">
        <v>0</v>
      </c>
      <c r="AJ132" s="129">
        <v>0</v>
      </c>
      <c r="AK132" s="129">
        <v>0</v>
      </c>
      <c r="AL132" s="129">
        <v>0</v>
      </c>
      <c r="AM132" s="129">
        <v>40</v>
      </c>
      <c r="AN132" s="129">
        <v>2</v>
      </c>
    </row>
    <row r="133" spans="1:40" ht="16" x14ac:dyDescent="0.2">
      <c r="A133" s="136" t="s">
        <v>438</v>
      </c>
      <c r="B133" s="31">
        <v>1</v>
      </c>
      <c r="C133" s="31">
        <v>1</v>
      </c>
      <c r="D133" s="31">
        <v>1</v>
      </c>
      <c r="E133" s="163">
        <v>120</v>
      </c>
      <c r="F133" s="131">
        <v>2</v>
      </c>
      <c r="G133" s="131">
        <v>2</v>
      </c>
      <c r="H133" s="131">
        <v>1</v>
      </c>
      <c r="I133" s="131">
        <v>1</v>
      </c>
      <c r="J133" s="131">
        <v>1</v>
      </c>
      <c r="K133" s="131">
        <v>1</v>
      </c>
      <c r="L133" s="131">
        <v>1</v>
      </c>
      <c r="M133" s="131">
        <v>1</v>
      </c>
      <c r="N133" s="131">
        <v>1</v>
      </c>
      <c r="O133" s="131">
        <v>2</v>
      </c>
      <c r="P133" s="131">
        <v>2</v>
      </c>
      <c r="Q133" s="131">
        <v>2</v>
      </c>
      <c r="R133" s="131">
        <v>2</v>
      </c>
      <c r="S133" s="131">
        <v>2</v>
      </c>
      <c r="T133" s="131">
        <v>2</v>
      </c>
      <c r="U133" s="131">
        <v>2</v>
      </c>
      <c r="V133" s="131">
        <v>2</v>
      </c>
      <c r="W133" s="131">
        <v>1</v>
      </c>
      <c r="X133" s="131">
        <v>1</v>
      </c>
      <c r="Y133" s="131">
        <v>0</v>
      </c>
      <c r="Z133" s="131">
        <v>1</v>
      </c>
      <c r="AA133" s="131">
        <v>1</v>
      </c>
      <c r="AB133" s="131">
        <v>2</v>
      </c>
      <c r="AC133" s="131">
        <v>0</v>
      </c>
      <c r="AD133" s="131">
        <v>0</v>
      </c>
      <c r="AE133" s="131">
        <v>0</v>
      </c>
      <c r="AF133" s="131">
        <v>0</v>
      </c>
      <c r="AG133" s="131">
        <v>0</v>
      </c>
      <c r="AH133" s="131">
        <v>0</v>
      </c>
      <c r="AI133" s="131">
        <v>0</v>
      </c>
      <c r="AJ133" s="131">
        <v>0</v>
      </c>
      <c r="AK133" s="131">
        <v>0</v>
      </c>
      <c r="AL133" s="131">
        <v>0</v>
      </c>
      <c r="AM133" s="131">
        <v>33</v>
      </c>
      <c r="AN133" s="131">
        <v>3</v>
      </c>
    </row>
    <row r="134" spans="1:40" ht="16" x14ac:dyDescent="0.2">
      <c r="A134" s="157" t="s">
        <v>439</v>
      </c>
      <c r="B134" s="31">
        <v>1</v>
      </c>
      <c r="C134" s="31">
        <v>1</v>
      </c>
      <c r="D134" s="31">
        <v>1</v>
      </c>
      <c r="E134" s="163">
        <v>120</v>
      </c>
      <c r="F134" s="126">
        <v>1</v>
      </c>
      <c r="G134" s="126">
        <v>1</v>
      </c>
      <c r="H134" s="126">
        <v>2</v>
      </c>
      <c r="I134" s="126">
        <v>1</v>
      </c>
      <c r="J134" s="126">
        <v>1</v>
      </c>
      <c r="K134" s="126">
        <v>1</v>
      </c>
      <c r="L134" s="126">
        <v>1</v>
      </c>
      <c r="M134" s="126">
        <v>2</v>
      </c>
      <c r="N134" s="126">
        <v>1</v>
      </c>
      <c r="O134" s="126">
        <v>1</v>
      </c>
      <c r="P134" s="126">
        <v>1</v>
      </c>
      <c r="Q134" s="126">
        <v>1</v>
      </c>
      <c r="R134" s="126">
        <v>1</v>
      </c>
      <c r="S134" s="126">
        <v>1</v>
      </c>
      <c r="T134" s="126">
        <v>1</v>
      </c>
      <c r="U134" s="126">
        <v>1</v>
      </c>
      <c r="V134" s="126">
        <v>1</v>
      </c>
      <c r="W134" s="126">
        <v>1</v>
      </c>
      <c r="X134" s="126">
        <v>1</v>
      </c>
      <c r="Y134" s="126">
        <v>0</v>
      </c>
      <c r="Z134" s="126">
        <v>1</v>
      </c>
      <c r="AA134" s="126">
        <v>0</v>
      </c>
      <c r="AB134" s="126">
        <v>0</v>
      </c>
      <c r="AC134" s="126">
        <v>0</v>
      </c>
      <c r="AD134" s="126">
        <v>0</v>
      </c>
      <c r="AE134" s="126">
        <v>1</v>
      </c>
      <c r="AF134" s="126">
        <v>1</v>
      </c>
      <c r="AG134" s="126">
        <v>0</v>
      </c>
      <c r="AH134" s="126">
        <v>0</v>
      </c>
      <c r="AI134" s="126">
        <v>0</v>
      </c>
      <c r="AJ134" s="126">
        <v>0</v>
      </c>
      <c r="AK134" s="126">
        <v>0</v>
      </c>
      <c r="AL134" s="126">
        <v>0</v>
      </c>
      <c r="AM134" s="126">
        <v>24</v>
      </c>
      <c r="AN134" s="126">
        <v>2</v>
      </c>
    </row>
    <row r="135" spans="1:40" ht="16" x14ac:dyDescent="0.2">
      <c r="A135" s="132" t="s">
        <v>440</v>
      </c>
      <c r="B135" s="31">
        <v>1</v>
      </c>
      <c r="C135" s="31">
        <v>1</v>
      </c>
      <c r="D135" s="31">
        <v>1</v>
      </c>
      <c r="E135" s="199">
        <v>180</v>
      </c>
      <c r="F135" s="129">
        <v>1</v>
      </c>
      <c r="G135" s="129">
        <v>0</v>
      </c>
      <c r="H135" s="129">
        <v>1</v>
      </c>
      <c r="I135" s="129">
        <v>1</v>
      </c>
      <c r="J135" s="129">
        <v>1</v>
      </c>
      <c r="K135" s="129">
        <v>1</v>
      </c>
      <c r="L135" s="129">
        <v>1</v>
      </c>
      <c r="M135" s="129">
        <v>1</v>
      </c>
      <c r="N135" s="129">
        <v>1</v>
      </c>
      <c r="O135" s="129">
        <v>0</v>
      </c>
      <c r="P135" s="129">
        <v>0</v>
      </c>
      <c r="Q135" s="129">
        <v>0</v>
      </c>
      <c r="R135" s="129">
        <v>0</v>
      </c>
      <c r="S135" s="129">
        <v>1</v>
      </c>
      <c r="T135" s="129">
        <v>1</v>
      </c>
      <c r="U135" s="129">
        <v>1</v>
      </c>
      <c r="V135" s="129">
        <v>1</v>
      </c>
      <c r="W135" s="129">
        <v>0</v>
      </c>
      <c r="X135" s="129">
        <v>1</v>
      </c>
      <c r="Y135" s="129">
        <v>0</v>
      </c>
      <c r="Z135" s="129">
        <v>1</v>
      </c>
      <c r="AA135" s="129">
        <v>1</v>
      </c>
      <c r="AB135" s="129">
        <v>1</v>
      </c>
      <c r="AC135" s="129">
        <v>1</v>
      </c>
      <c r="AD135" s="129">
        <v>1</v>
      </c>
      <c r="AE135" s="129">
        <v>1</v>
      </c>
      <c r="AF135" s="129">
        <v>1</v>
      </c>
      <c r="AG135" s="129">
        <v>1</v>
      </c>
      <c r="AH135" s="129">
        <v>1</v>
      </c>
      <c r="AI135" s="129">
        <v>0</v>
      </c>
      <c r="AJ135" s="129">
        <v>0</v>
      </c>
      <c r="AK135" s="129">
        <v>0</v>
      </c>
      <c r="AL135" s="129">
        <v>1</v>
      </c>
      <c r="AM135" s="129">
        <v>23</v>
      </c>
      <c r="AN135" s="129">
        <v>2</v>
      </c>
    </row>
    <row r="136" spans="1:40" ht="16" x14ac:dyDescent="0.2">
      <c r="A136" s="136" t="s">
        <v>441</v>
      </c>
      <c r="B136" s="31">
        <v>1</v>
      </c>
      <c r="C136" s="31">
        <v>1</v>
      </c>
      <c r="D136" s="31">
        <v>1</v>
      </c>
      <c r="E136" s="199">
        <v>180</v>
      </c>
      <c r="F136" s="221">
        <v>1</v>
      </c>
      <c r="G136" s="28">
        <v>0</v>
      </c>
      <c r="H136" s="28">
        <v>1</v>
      </c>
      <c r="I136" s="28">
        <v>1</v>
      </c>
      <c r="J136" s="28">
        <v>1</v>
      </c>
      <c r="K136" s="28">
        <v>1</v>
      </c>
      <c r="L136" s="28">
        <v>1</v>
      </c>
      <c r="M136" s="28">
        <v>1</v>
      </c>
      <c r="N136" s="28">
        <v>0</v>
      </c>
      <c r="O136" s="28">
        <v>1</v>
      </c>
      <c r="P136" s="28">
        <v>0</v>
      </c>
      <c r="Q136" s="28">
        <v>1</v>
      </c>
      <c r="R136" s="28">
        <v>0</v>
      </c>
      <c r="S136" s="28">
        <v>1</v>
      </c>
      <c r="T136" s="28">
        <v>0</v>
      </c>
      <c r="U136" s="28">
        <v>1</v>
      </c>
      <c r="V136" s="28">
        <v>0</v>
      </c>
      <c r="W136" s="28">
        <v>1</v>
      </c>
      <c r="X136" s="28">
        <v>1</v>
      </c>
      <c r="Y136" s="28">
        <v>0</v>
      </c>
      <c r="Z136" s="28">
        <v>1</v>
      </c>
      <c r="AA136" s="28">
        <v>1</v>
      </c>
      <c r="AB136" s="28">
        <v>1</v>
      </c>
      <c r="AC136" s="28">
        <v>0</v>
      </c>
      <c r="AD136" s="28">
        <v>0</v>
      </c>
      <c r="AE136" s="28">
        <v>0</v>
      </c>
      <c r="AF136" s="28">
        <v>0</v>
      </c>
      <c r="AG136" s="28">
        <v>0</v>
      </c>
      <c r="AH136" s="28">
        <v>0</v>
      </c>
      <c r="AI136" s="28">
        <v>0</v>
      </c>
      <c r="AJ136" s="28">
        <v>0</v>
      </c>
      <c r="AK136" s="28">
        <v>0</v>
      </c>
      <c r="AL136" s="28">
        <v>0</v>
      </c>
      <c r="AM136" s="28">
        <v>16</v>
      </c>
      <c r="AN136" s="28">
        <v>2</v>
      </c>
    </row>
    <row r="137" spans="1:40" ht="16" x14ac:dyDescent="0.2">
      <c r="A137" s="136" t="s">
        <v>442</v>
      </c>
      <c r="B137" s="31">
        <v>1</v>
      </c>
      <c r="C137" s="31">
        <v>1</v>
      </c>
      <c r="D137" s="31">
        <v>1</v>
      </c>
      <c r="E137" s="199">
        <v>180</v>
      </c>
      <c r="F137" s="200">
        <v>1</v>
      </c>
      <c r="G137" s="200">
        <v>1</v>
      </c>
      <c r="H137" s="200">
        <v>1</v>
      </c>
      <c r="I137" s="200">
        <v>1</v>
      </c>
      <c r="J137" s="200">
        <v>1</v>
      </c>
      <c r="K137" s="200">
        <v>1</v>
      </c>
      <c r="L137" s="200">
        <v>1</v>
      </c>
      <c r="M137" s="200">
        <v>1</v>
      </c>
      <c r="N137" s="200">
        <v>2</v>
      </c>
      <c r="O137" s="200">
        <v>0</v>
      </c>
      <c r="P137" s="200">
        <v>1</v>
      </c>
      <c r="Q137" s="200">
        <v>1</v>
      </c>
      <c r="R137" s="200">
        <v>1</v>
      </c>
      <c r="S137" s="200">
        <v>1</v>
      </c>
      <c r="T137" s="200">
        <v>1</v>
      </c>
      <c r="U137" s="200">
        <v>1</v>
      </c>
      <c r="V137" s="200">
        <v>1</v>
      </c>
      <c r="W137" s="200">
        <v>1</v>
      </c>
      <c r="X137" s="200">
        <v>1</v>
      </c>
      <c r="Y137" s="200">
        <v>0</v>
      </c>
      <c r="Z137" s="200">
        <v>1</v>
      </c>
      <c r="AA137" s="200">
        <v>1</v>
      </c>
      <c r="AB137" s="200">
        <v>1</v>
      </c>
      <c r="AC137" s="200">
        <v>1</v>
      </c>
      <c r="AD137" s="200">
        <v>1</v>
      </c>
      <c r="AE137" s="200">
        <v>1</v>
      </c>
      <c r="AF137" s="200">
        <v>1</v>
      </c>
      <c r="AG137" s="200">
        <v>1</v>
      </c>
      <c r="AH137" s="200">
        <v>1</v>
      </c>
      <c r="AI137" s="200">
        <v>0</v>
      </c>
      <c r="AJ137" s="200">
        <v>0</v>
      </c>
      <c r="AK137" s="200">
        <v>0</v>
      </c>
      <c r="AL137" s="200">
        <v>1</v>
      </c>
      <c r="AM137" s="28">
        <v>29</v>
      </c>
      <c r="AN137" s="200">
        <v>2</v>
      </c>
    </row>
    <row r="138" spans="1:40" ht="16" x14ac:dyDescent="0.2">
      <c r="A138" s="136" t="s">
        <v>443</v>
      </c>
      <c r="B138" s="31">
        <v>1</v>
      </c>
      <c r="C138" s="31">
        <v>1</v>
      </c>
      <c r="D138" s="31">
        <v>1</v>
      </c>
      <c r="E138" s="199">
        <v>180</v>
      </c>
      <c r="F138" s="28">
        <v>0</v>
      </c>
      <c r="G138" s="28">
        <v>1</v>
      </c>
      <c r="H138" s="28">
        <v>1</v>
      </c>
      <c r="I138" s="28">
        <v>1</v>
      </c>
      <c r="J138" s="28">
        <v>1</v>
      </c>
      <c r="K138" s="28">
        <v>1</v>
      </c>
      <c r="L138" s="28">
        <v>1</v>
      </c>
      <c r="M138" s="28">
        <v>1</v>
      </c>
      <c r="N138" s="28">
        <v>1</v>
      </c>
      <c r="O138" s="28">
        <v>1</v>
      </c>
      <c r="P138" s="28">
        <v>1</v>
      </c>
      <c r="Q138" s="28">
        <v>1</v>
      </c>
      <c r="R138" s="28">
        <v>1</v>
      </c>
      <c r="S138" s="28">
        <v>1</v>
      </c>
      <c r="T138" s="28">
        <v>1</v>
      </c>
      <c r="U138" s="28">
        <v>1</v>
      </c>
      <c r="V138" s="28">
        <v>1</v>
      </c>
      <c r="W138" s="28">
        <v>1</v>
      </c>
      <c r="X138" s="28">
        <v>1</v>
      </c>
      <c r="Y138" s="28">
        <v>0</v>
      </c>
      <c r="Z138" s="28">
        <v>1</v>
      </c>
      <c r="AA138" s="28">
        <v>1</v>
      </c>
      <c r="AB138" s="28">
        <v>1</v>
      </c>
      <c r="AC138" s="28">
        <v>2</v>
      </c>
      <c r="AD138" s="28">
        <v>0</v>
      </c>
      <c r="AE138" s="28">
        <v>1</v>
      </c>
      <c r="AF138" s="28">
        <v>0</v>
      </c>
      <c r="AG138" s="28">
        <v>1</v>
      </c>
      <c r="AH138" s="28">
        <v>0</v>
      </c>
      <c r="AI138" s="28">
        <v>0</v>
      </c>
      <c r="AJ138" s="28">
        <v>0</v>
      </c>
      <c r="AK138" s="28">
        <v>0</v>
      </c>
      <c r="AL138" s="28">
        <v>1</v>
      </c>
      <c r="AM138" s="28">
        <v>26</v>
      </c>
      <c r="AN138" s="28">
        <v>1</v>
      </c>
    </row>
    <row r="139" spans="1:40" x14ac:dyDescent="0.2">
      <c r="A139" s="136" t="s">
        <v>444</v>
      </c>
      <c r="B139" s="31">
        <v>1</v>
      </c>
      <c r="C139" s="31">
        <v>1</v>
      </c>
      <c r="D139" s="31">
        <v>1</v>
      </c>
      <c r="E139" s="221">
        <v>300</v>
      </c>
      <c r="F139" s="28">
        <v>1</v>
      </c>
      <c r="G139" s="28">
        <v>1</v>
      </c>
      <c r="H139" s="28">
        <v>1</v>
      </c>
      <c r="I139" s="28">
        <v>1</v>
      </c>
      <c r="J139" s="28">
        <v>1</v>
      </c>
      <c r="K139" s="28">
        <v>1</v>
      </c>
      <c r="L139" s="28">
        <v>1</v>
      </c>
      <c r="M139" s="28">
        <v>1</v>
      </c>
      <c r="N139" s="28">
        <v>1</v>
      </c>
      <c r="O139" s="28">
        <v>1</v>
      </c>
      <c r="P139" s="28">
        <v>1</v>
      </c>
      <c r="Q139" s="28">
        <v>1</v>
      </c>
      <c r="R139" s="28">
        <v>1</v>
      </c>
      <c r="S139" s="28">
        <v>1</v>
      </c>
      <c r="T139" s="28">
        <v>1</v>
      </c>
      <c r="U139" s="28">
        <v>1</v>
      </c>
      <c r="V139" s="28">
        <v>1</v>
      </c>
      <c r="W139" s="28">
        <v>1</v>
      </c>
      <c r="X139" s="28">
        <v>1</v>
      </c>
      <c r="Y139" s="28">
        <v>0</v>
      </c>
      <c r="Z139" s="28">
        <v>1</v>
      </c>
      <c r="AA139" s="28">
        <v>1</v>
      </c>
      <c r="AB139" s="28">
        <v>1</v>
      </c>
      <c r="AC139" s="28">
        <v>1</v>
      </c>
      <c r="AD139" s="28">
        <v>1</v>
      </c>
      <c r="AE139" s="28">
        <v>1</v>
      </c>
      <c r="AF139" s="28">
        <v>1</v>
      </c>
      <c r="AG139" s="28">
        <v>1</v>
      </c>
      <c r="AH139" s="28">
        <v>1</v>
      </c>
      <c r="AI139" s="28">
        <v>0</v>
      </c>
      <c r="AJ139" s="28">
        <v>0</v>
      </c>
      <c r="AK139" s="28">
        <v>0</v>
      </c>
      <c r="AL139" s="28">
        <v>1</v>
      </c>
      <c r="AM139" s="28">
        <v>29</v>
      </c>
      <c r="AN139" s="28">
        <v>1</v>
      </c>
    </row>
    <row r="140" spans="1:40" x14ac:dyDescent="0.2">
      <c r="A140" s="136" t="s">
        <v>445</v>
      </c>
      <c r="B140" s="31">
        <v>1</v>
      </c>
      <c r="C140" s="31">
        <v>1</v>
      </c>
      <c r="D140" s="31">
        <v>1</v>
      </c>
      <c r="E140" s="221">
        <v>300</v>
      </c>
      <c r="F140" s="28">
        <v>1</v>
      </c>
      <c r="G140" s="28">
        <v>1</v>
      </c>
      <c r="H140" s="28">
        <v>1</v>
      </c>
      <c r="I140" s="28">
        <v>1</v>
      </c>
      <c r="J140" s="28">
        <v>1</v>
      </c>
      <c r="K140" s="28">
        <v>1</v>
      </c>
      <c r="L140" s="28">
        <v>1</v>
      </c>
      <c r="M140" s="28">
        <v>1</v>
      </c>
      <c r="N140" s="28">
        <v>1</v>
      </c>
      <c r="O140" s="28">
        <v>1</v>
      </c>
      <c r="P140" s="28">
        <v>1</v>
      </c>
      <c r="Q140" s="28">
        <v>1</v>
      </c>
      <c r="R140" s="28">
        <v>1</v>
      </c>
      <c r="S140" s="28">
        <v>1</v>
      </c>
      <c r="T140" s="28">
        <v>1</v>
      </c>
      <c r="U140" s="28">
        <v>1</v>
      </c>
      <c r="V140" s="28">
        <v>1</v>
      </c>
      <c r="W140" s="28">
        <v>1</v>
      </c>
      <c r="X140" s="28">
        <v>1</v>
      </c>
      <c r="Y140" s="28">
        <v>0</v>
      </c>
      <c r="Z140" s="28">
        <v>1</v>
      </c>
      <c r="AA140" s="28">
        <v>0</v>
      </c>
      <c r="AB140" s="28">
        <v>1</v>
      </c>
      <c r="AC140" s="28">
        <v>1</v>
      </c>
      <c r="AD140" s="28">
        <v>1</v>
      </c>
      <c r="AE140" s="28">
        <v>1</v>
      </c>
      <c r="AF140" s="28">
        <v>1</v>
      </c>
      <c r="AG140" s="28">
        <v>1</v>
      </c>
      <c r="AH140" s="28">
        <v>1</v>
      </c>
      <c r="AI140" s="28">
        <v>0</v>
      </c>
      <c r="AJ140" s="28">
        <v>0</v>
      </c>
      <c r="AK140" s="28">
        <v>0</v>
      </c>
      <c r="AL140" s="28">
        <v>1</v>
      </c>
      <c r="AM140" s="28">
        <v>28</v>
      </c>
      <c r="AN140" s="28">
        <v>1</v>
      </c>
    </row>
    <row r="141" spans="1:40" ht="16" x14ac:dyDescent="0.2">
      <c r="A141" s="132" t="s">
        <v>446</v>
      </c>
      <c r="B141" s="31">
        <v>1</v>
      </c>
      <c r="C141" s="31">
        <v>1</v>
      </c>
      <c r="D141" s="31">
        <v>1</v>
      </c>
      <c r="E141" s="199">
        <v>180</v>
      </c>
      <c r="F141" s="154">
        <v>0</v>
      </c>
      <c r="G141" s="154">
        <v>0</v>
      </c>
      <c r="H141" s="154">
        <v>2</v>
      </c>
      <c r="I141" s="154">
        <v>2</v>
      </c>
      <c r="J141" s="154">
        <v>1</v>
      </c>
      <c r="K141" s="154">
        <v>1</v>
      </c>
      <c r="L141" s="154">
        <v>1</v>
      </c>
      <c r="M141" s="154">
        <v>2</v>
      </c>
      <c r="N141" s="154">
        <v>2</v>
      </c>
      <c r="O141" s="154">
        <v>1</v>
      </c>
      <c r="P141" s="154">
        <v>1</v>
      </c>
      <c r="Q141" s="154">
        <v>1</v>
      </c>
      <c r="R141" s="154">
        <v>1</v>
      </c>
      <c r="S141" s="154">
        <v>1</v>
      </c>
      <c r="T141" s="154">
        <v>1</v>
      </c>
      <c r="U141" s="154">
        <v>1</v>
      </c>
      <c r="V141" s="154">
        <v>1</v>
      </c>
      <c r="W141" s="154">
        <v>1</v>
      </c>
      <c r="X141" s="154">
        <v>0</v>
      </c>
      <c r="Y141" s="154">
        <v>0</v>
      </c>
      <c r="Z141" s="154">
        <v>0</v>
      </c>
      <c r="AA141" s="154">
        <v>1</v>
      </c>
      <c r="AB141" s="154">
        <v>0</v>
      </c>
      <c r="AC141" s="154">
        <v>1</v>
      </c>
      <c r="AD141" s="154">
        <v>1</v>
      </c>
      <c r="AE141" s="154">
        <v>1</v>
      </c>
      <c r="AF141" s="154">
        <v>1</v>
      </c>
      <c r="AG141" s="154">
        <v>1</v>
      </c>
      <c r="AH141" s="154">
        <v>1</v>
      </c>
      <c r="AI141" s="154">
        <v>0</v>
      </c>
      <c r="AJ141" s="154">
        <v>0</v>
      </c>
      <c r="AK141" s="154">
        <v>0</v>
      </c>
      <c r="AL141" s="154">
        <v>0</v>
      </c>
      <c r="AM141" s="154">
        <v>27</v>
      </c>
      <c r="AN141" s="154">
        <v>2</v>
      </c>
    </row>
    <row r="142" spans="1:40" x14ac:dyDescent="0.2">
      <c r="A142" s="127" t="s">
        <v>447</v>
      </c>
      <c r="B142" s="31">
        <v>1</v>
      </c>
      <c r="C142" s="31">
        <v>1</v>
      </c>
      <c r="D142" s="31">
        <v>1</v>
      </c>
      <c r="E142" s="154">
        <v>300</v>
      </c>
      <c r="F142" s="154">
        <v>1</v>
      </c>
      <c r="G142" s="154">
        <v>0</v>
      </c>
      <c r="H142" s="154">
        <v>1</v>
      </c>
      <c r="I142" s="154">
        <v>1</v>
      </c>
      <c r="J142" s="154">
        <v>1</v>
      </c>
      <c r="K142" s="154">
        <v>1</v>
      </c>
      <c r="L142" s="154">
        <v>1</v>
      </c>
      <c r="M142" s="154">
        <v>3</v>
      </c>
      <c r="N142" s="154">
        <v>3</v>
      </c>
      <c r="O142" s="154">
        <v>0</v>
      </c>
      <c r="P142" s="154">
        <v>0</v>
      </c>
      <c r="Q142" s="154">
        <v>0</v>
      </c>
      <c r="R142" s="154">
        <v>0</v>
      </c>
      <c r="S142" s="154">
        <v>3</v>
      </c>
      <c r="T142" s="154">
        <v>3</v>
      </c>
      <c r="U142" s="154">
        <v>1</v>
      </c>
      <c r="V142" s="154">
        <v>1</v>
      </c>
      <c r="W142" s="154">
        <v>1</v>
      </c>
      <c r="X142" s="154">
        <v>1</v>
      </c>
      <c r="Y142" s="154">
        <v>0</v>
      </c>
      <c r="Z142" s="154">
        <v>1</v>
      </c>
      <c r="AA142" s="154">
        <v>1</v>
      </c>
      <c r="AB142" s="154">
        <v>1</v>
      </c>
      <c r="AC142" s="154">
        <v>0</v>
      </c>
      <c r="AD142" s="154">
        <v>0</v>
      </c>
      <c r="AE142" s="154">
        <v>1</v>
      </c>
      <c r="AF142" s="154">
        <v>1</v>
      </c>
      <c r="AG142" s="154">
        <v>0</v>
      </c>
      <c r="AH142" s="154">
        <v>0</v>
      </c>
      <c r="AI142" s="154">
        <v>0</v>
      </c>
      <c r="AJ142" s="154">
        <v>0</v>
      </c>
      <c r="AK142" s="154">
        <v>0</v>
      </c>
      <c r="AL142" s="154">
        <v>0</v>
      </c>
      <c r="AM142" s="154">
        <v>27</v>
      </c>
      <c r="AN142" s="154">
        <v>2</v>
      </c>
    </row>
    <row r="143" spans="1:40" ht="16" x14ac:dyDescent="0.2">
      <c r="A143" s="127" t="s">
        <v>448</v>
      </c>
      <c r="B143" s="31">
        <v>1</v>
      </c>
      <c r="C143" s="31">
        <v>1</v>
      </c>
      <c r="D143" s="31">
        <v>1</v>
      </c>
      <c r="E143" s="199">
        <v>180</v>
      </c>
      <c r="F143" s="154">
        <v>1</v>
      </c>
      <c r="G143" s="154">
        <v>1</v>
      </c>
      <c r="H143" s="154">
        <v>1</v>
      </c>
      <c r="I143" s="154">
        <v>1</v>
      </c>
      <c r="J143" s="154">
        <v>1</v>
      </c>
      <c r="K143" s="154">
        <v>1</v>
      </c>
      <c r="L143" s="154">
        <v>1</v>
      </c>
      <c r="M143" s="154">
        <v>1</v>
      </c>
      <c r="N143" s="154">
        <v>0</v>
      </c>
      <c r="O143" s="154">
        <v>1</v>
      </c>
      <c r="P143" s="154">
        <v>0</v>
      </c>
      <c r="Q143" s="154">
        <v>1</v>
      </c>
      <c r="R143" s="154">
        <v>0</v>
      </c>
      <c r="S143" s="154">
        <v>1</v>
      </c>
      <c r="T143" s="154">
        <v>0</v>
      </c>
      <c r="U143" s="154">
        <v>1</v>
      </c>
      <c r="V143" s="154">
        <v>0</v>
      </c>
      <c r="W143" s="154">
        <v>0</v>
      </c>
      <c r="X143" s="154">
        <v>1</v>
      </c>
      <c r="Y143" s="154">
        <v>0</v>
      </c>
      <c r="Z143" s="154">
        <v>1</v>
      </c>
      <c r="AA143" s="154">
        <v>1</v>
      </c>
      <c r="AB143" s="154">
        <v>0</v>
      </c>
      <c r="AC143" s="154">
        <v>0</v>
      </c>
      <c r="AD143" s="154">
        <v>0</v>
      </c>
      <c r="AE143" s="154">
        <v>0</v>
      </c>
      <c r="AF143" s="154">
        <v>0</v>
      </c>
      <c r="AG143" s="154">
        <v>0</v>
      </c>
      <c r="AH143" s="154">
        <v>0</v>
      </c>
      <c r="AI143" s="154">
        <v>0</v>
      </c>
      <c r="AJ143" s="154">
        <v>0</v>
      </c>
      <c r="AK143" s="154">
        <v>0</v>
      </c>
      <c r="AL143" s="154">
        <v>0</v>
      </c>
      <c r="AM143" s="154">
        <v>15</v>
      </c>
      <c r="AN143" s="154">
        <v>2</v>
      </c>
    </row>
    <row r="144" spans="1:40" ht="16" x14ac:dyDescent="0.2">
      <c r="A144" s="127" t="s">
        <v>449</v>
      </c>
      <c r="B144" s="31">
        <v>1</v>
      </c>
      <c r="C144" s="31">
        <v>1</v>
      </c>
      <c r="D144" s="31">
        <v>1</v>
      </c>
      <c r="E144" s="199">
        <v>180</v>
      </c>
      <c r="F144" s="115">
        <v>0</v>
      </c>
      <c r="G144" s="115">
        <v>1</v>
      </c>
      <c r="H144" s="115">
        <v>1</v>
      </c>
      <c r="I144" s="115">
        <v>1</v>
      </c>
      <c r="J144" s="115">
        <v>1</v>
      </c>
      <c r="K144" s="115">
        <v>0</v>
      </c>
      <c r="L144" s="115">
        <v>0</v>
      </c>
      <c r="M144" s="115">
        <v>2</v>
      </c>
      <c r="N144" s="115">
        <v>2</v>
      </c>
      <c r="O144" s="115">
        <v>1</v>
      </c>
      <c r="P144" s="115">
        <v>1</v>
      </c>
      <c r="Q144" s="115">
        <v>0</v>
      </c>
      <c r="R144" s="115">
        <v>0</v>
      </c>
      <c r="S144" s="115">
        <v>1</v>
      </c>
      <c r="T144" s="115">
        <v>1</v>
      </c>
      <c r="U144" s="115">
        <v>1</v>
      </c>
      <c r="V144" s="115">
        <v>1</v>
      </c>
      <c r="W144" s="115">
        <v>0</v>
      </c>
      <c r="X144" s="115">
        <v>0</v>
      </c>
      <c r="Y144" s="115">
        <v>0</v>
      </c>
      <c r="Z144" s="115">
        <v>0</v>
      </c>
      <c r="AA144" s="115">
        <v>1</v>
      </c>
      <c r="AB144" s="115">
        <v>0</v>
      </c>
      <c r="AC144" s="115">
        <v>1</v>
      </c>
      <c r="AD144" s="115">
        <v>0</v>
      </c>
      <c r="AE144" s="115">
        <v>0</v>
      </c>
      <c r="AF144" s="115">
        <v>0</v>
      </c>
      <c r="AG144" s="115">
        <v>1</v>
      </c>
      <c r="AH144" s="115">
        <v>0</v>
      </c>
      <c r="AI144" s="115">
        <v>0</v>
      </c>
      <c r="AJ144" s="115">
        <v>0</v>
      </c>
      <c r="AK144" s="115">
        <v>0</v>
      </c>
      <c r="AL144" s="115">
        <v>1</v>
      </c>
      <c r="AM144" s="115">
        <v>18</v>
      </c>
      <c r="AN144" s="115">
        <v>1</v>
      </c>
    </row>
    <row r="145" spans="1:40" ht="16" x14ac:dyDescent="0.2">
      <c r="A145" s="161" t="s">
        <v>450</v>
      </c>
      <c r="B145" s="31">
        <v>1</v>
      </c>
      <c r="C145" s="31">
        <v>1</v>
      </c>
      <c r="D145" s="31">
        <v>1</v>
      </c>
      <c r="E145" s="199">
        <v>240</v>
      </c>
      <c r="F145" s="154">
        <v>1</v>
      </c>
      <c r="G145" s="154">
        <v>0</v>
      </c>
      <c r="H145" s="154">
        <v>1</v>
      </c>
      <c r="I145" s="154">
        <v>1</v>
      </c>
      <c r="J145" s="154">
        <v>1</v>
      </c>
      <c r="K145" s="154">
        <v>1</v>
      </c>
      <c r="L145" s="154">
        <v>1</v>
      </c>
      <c r="M145" s="154">
        <v>1</v>
      </c>
      <c r="N145" s="154">
        <v>1</v>
      </c>
      <c r="O145" s="154">
        <v>0</v>
      </c>
      <c r="P145" s="154">
        <v>0</v>
      </c>
      <c r="Q145" s="154">
        <v>0</v>
      </c>
      <c r="R145" s="154">
        <v>0</v>
      </c>
      <c r="S145" s="154">
        <v>1</v>
      </c>
      <c r="T145" s="154">
        <v>1</v>
      </c>
      <c r="U145" s="154">
        <v>1</v>
      </c>
      <c r="V145" s="154">
        <v>1</v>
      </c>
      <c r="W145" s="154">
        <v>2</v>
      </c>
      <c r="X145" s="154">
        <v>2</v>
      </c>
      <c r="Y145" s="154">
        <v>0</v>
      </c>
      <c r="Z145" s="154">
        <v>2</v>
      </c>
      <c r="AA145" s="154">
        <v>2</v>
      </c>
      <c r="AB145" s="154">
        <v>1</v>
      </c>
      <c r="AC145" s="154">
        <v>0</v>
      </c>
      <c r="AD145" s="154">
        <v>0</v>
      </c>
      <c r="AE145" s="154">
        <v>0</v>
      </c>
      <c r="AF145" s="154">
        <v>0</v>
      </c>
      <c r="AG145" s="154">
        <v>0</v>
      </c>
      <c r="AH145" s="154">
        <v>0</v>
      </c>
      <c r="AI145" s="154">
        <v>0</v>
      </c>
      <c r="AJ145" s="154">
        <v>0</v>
      </c>
      <c r="AK145" s="154">
        <v>0</v>
      </c>
      <c r="AL145" s="154">
        <v>0</v>
      </c>
      <c r="AM145" s="154">
        <v>21</v>
      </c>
      <c r="AN145" s="154">
        <v>3</v>
      </c>
    </row>
    <row r="146" spans="1:40" ht="16" x14ac:dyDescent="0.2">
      <c r="A146" s="161" t="s">
        <v>451</v>
      </c>
      <c r="B146" s="31">
        <v>1</v>
      </c>
      <c r="C146" s="31">
        <v>1</v>
      </c>
      <c r="D146" s="31">
        <v>1</v>
      </c>
      <c r="E146" s="163">
        <v>120</v>
      </c>
      <c r="F146" s="222">
        <v>0</v>
      </c>
      <c r="G146" s="222">
        <v>1</v>
      </c>
      <c r="H146" s="222">
        <v>0</v>
      </c>
      <c r="I146" s="222">
        <v>0</v>
      </c>
      <c r="J146" s="222">
        <v>1</v>
      </c>
      <c r="K146" s="222">
        <v>0</v>
      </c>
      <c r="L146" s="222">
        <v>1</v>
      </c>
      <c r="M146" s="222">
        <v>0</v>
      </c>
      <c r="N146" s="222">
        <v>1</v>
      </c>
      <c r="O146" s="222">
        <v>0</v>
      </c>
      <c r="P146" s="222">
        <v>1</v>
      </c>
      <c r="Q146" s="222">
        <v>0</v>
      </c>
      <c r="R146" s="222">
        <v>1</v>
      </c>
      <c r="S146" s="222">
        <v>0</v>
      </c>
      <c r="T146" s="222">
        <v>1</v>
      </c>
      <c r="U146" s="222">
        <v>0</v>
      </c>
      <c r="V146" s="222">
        <v>1</v>
      </c>
      <c r="W146" s="222">
        <v>1</v>
      </c>
      <c r="X146" s="222">
        <v>0</v>
      </c>
      <c r="Y146" s="222">
        <v>0</v>
      </c>
      <c r="Z146" s="222">
        <v>1</v>
      </c>
      <c r="AA146" s="222">
        <v>1</v>
      </c>
      <c r="AB146" s="222">
        <v>1</v>
      </c>
      <c r="AC146" s="222">
        <v>0</v>
      </c>
      <c r="AD146" s="222">
        <v>2</v>
      </c>
      <c r="AE146" s="222">
        <v>0</v>
      </c>
      <c r="AF146" s="222">
        <v>2</v>
      </c>
      <c r="AG146" s="222">
        <v>0</v>
      </c>
      <c r="AH146" s="222">
        <v>2</v>
      </c>
      <c r="AI146" s="222">
        <v>0</v>
      </c>
      <c r="AJ146" s="222">
        <v>1</v>
      </c>
      <c r="AK146" s="222">
        <v>1</v>
      </c>
      <c r="AL146" s="222">
        <v>1</v>
      </c>
      <c r="AM146" s="115">
        <v>21</v>
      </c>
      <c r="AN146" s="222">
        <v>2</v>
      </c>
    </row>
    <row r="147" spans="1:40" ht="16" x14ac:dyDescent="0.2">
      <c r="A147" s="161" t="s">
        <v>452</v>
      </c>
      <c r="B147" s="31">
        <v>1</v>
      </c>
      <c r="C147" s="31">
        <v>1</v>
      </c>
      <c r="D147" s="31">
        <v>1</v>
      </c>
      <c r="E147" s="163">
        <v>120</v>
      </c>
      <c r="F147" s="154">
        <v>1</v>
      </c>
      <c r="G147" s="154">
        <v>1</v>
      </c>
      <c r="H147" s="154">
        <v>1</v>
      </c>
      <c r="I147" s="154">
        <v>1</v>
      </c>
      <c r="J147" s="154">
        <v>0</v>
      </c>
      <c r="K147" s="154">
        <v>1</v>
      </c>
      <c r="L147" s="154">
        <v>0</v>
      </c>
      <c r="M147" s="154">
        <v>1</v>
      </c>
      <c r="N147" s="154">
        <v>0</v>
      </c>
      <c r="O147" s="154">
        <v>0</v>
      </c>
      <c r="P147" s="154">
        <v>0</v>
      </c>
      <c r="Q147" s="154">
        <v>0</v>
      </c>
      <c r="R147" s="154">
        <v>0</v>
      </c>
      <c r="S147" s="154">
        <v>1</v>
      </c>
      <c r="T147" s="154">
        <v>0</v>
      </c>
      <c r="U147" s="154">
        <v>1</v>
      </c>
      <c r="V147" s="154">
        <v>0</v>
      </c>
      <c r="W147" s="154">
        <v>0</v>
      </c>
      <c r="X147" s="154">
        <v>1</v>
      </c>
      <c r="Y147" s="154">
        <v>0</v>
      </c>
      <c r="Z147" s="154">
        <v>1</v>
      </c>
      <c r="AA147" s="154">
        <v>1</v>
      </c>
      <c r="AB147" s="154">
        <v>1</v>
      </c>
      <c r="AC147" s="154">
        <v>1</v>
      </c>
      <c r="AD147" s="154">
        <v>0</v>
      </c>
      <c r="AE147" s="154">
        <v>0</v>
      </c>
      <c r="AF147" s="154">
        <v>0</v>
      </c>
      <c r="AG147" s="154">
        <v>0</v>
      </c>
      <c r="AH147" s="154">
        <v>0</v>
      </c>
      <c r="AI147" s="154">
        <v>0</v>
      </c>
      <c r="AJ147" s="154">
        <v>0</v>
      </c>
      <c r="AK147" s="154">
        <v>0</v>
      </c>
      <c r="AL147" s="154">
        <v>0</v>
      </c>
      <c r="AM147" s="154">
        <v>13</v>
      </c>
      <c r="AN147" s="154">
        <v>1</v>
      </c>
    </row>
    <row r="148" spans="1:40" ht="16" x14ac:dyDescent="0.2">
      <c r="A148" s="161" t="s">
        <v>453</v>
      </c>
      <c r="B148" s="31">
        <v>1</v>
      </c>
      <c r="C148" s="31">
        <v>1</v>
      </c>
      <c r="D148" s="31">
        <v>1</v>
      </c>
      <c r="E148" s="199">
        <v>240</v>
      </c>
      <c r="F148" s="115">
        <v>1</v>
      </c>
      <c r="G148" s="115">
        <v>1</v>
      </c>
      <c r="H148" s="115">
        <v>2</v>
      </c>
      <c r="I148" s="115">
        <v>1</v>
      </c>
      <c r="J148" s="115">
        <v>2</v>
      </c>
      <c r="K148" s="115">
        <v>1</v>
      </c>
      <c r="L148" s="115">
        <v>2</v>
      </c>
      <c r="M148" s="115">
        <v>2</v>
      </c>
      <c r="N148" s="115">
        <v>3</v>
      </c>
      <c r="O148" s="115">
        <v>2</v>
      </c>
      <c r="P148" s="115">
        <v>2</v>
      </c>
      <c r="Q148" s="115">
        <v>1</v>
      </c>
      <c r="R148" s="115">
        <v>1</v>
      </c>
      <c r="S148" s="115">
        <v>1</v>
      </c>
      <c r="T148" s="115">
        <v>1</v>
      </c>
      <c r="U148" s="115">
        <v>2</v>
      </c>
      <c r="V148" s="115">
        <v>2</v>
      </c>
      <c r="W148" s="115">
        <v>2</v>
      </c>
      <c r="X148" s="115">
        <v>2</v>
      </c>
      <c r="Y148" s="115">
        <v>2</v>
      </c>
      <c r="Z148" s="115">
        <v>2</v>
      </c>
      <c r="AA148" s="115">
        <v>2</v>
      </c>
      <c r="AB148" s="115">
        <v>2</v>
      </c>
      <c r="AC148" s="115">
        <v>0</v>
      </c>
      <c r="AD148" s="115">
        <v>2</v>
      </c>
      <c r="AE148" s="115">
        <v>0</v>
      </c>
      <c r="AF148" s="115">
        <v>2</v>
      </c>
      <c r="AG148" s="115">
        <v>0</v>
      </c>
      <c r="AH148" s="115">
        <v>2</v>
      </c>
      <c r="AI148" s="115">
        <v>0</v>
      </c>
      <c r="AJ148" s="115">
        <v>1</v>
      </c>
      <c r="AK148" s="115">
        <v>0</v>
      </c>
      <c r="AL148" s="115">
        <v>2</v>
      </c>
      <c r="AM148" s="115">
        <v>48</v>
      </c>
      <c r="AN148" s="115">
        <v>3</v>
      </c>
    </row>
    <row r="149" spans="1:40" ht="16" x14ac:dyDescent="0.2">
      <c r="A149" s="161" t="s">
        <v>454</v>
      </c>
      <c r="B149" s="31">
        <v>1</v>
      </c>
      <c r="C149" s="31">
        <v>1</v>
      </c>
      <c r="D149" s="31">
        <v>1</v>
      </c>
      <c r="E149" s="199">
        <v>240</v>
      </c>
      <c r="F149" s="167">
        <v>0</v>
      </c>
      <c r="G149" s="167">
        <v>0</v>
      </c>
      <c r="H149" s="167">
        <v>1</v>
      </c>
      <c r="I149" s="167">
        <v>1</v>
      </c>
      <c r="J149" s="167">
        <v>1</v>
      </c>
      <c r="K149" s="167">
        <v>1</v>
      </c>
      <c r="L149" s="167">
        <v>1</v>
      </c>
      <c r="M149" s="167">
        <v>0</v>
      </c>
      <c r="N149" s="167">
        <v>0</v>
      </c>
      <c r="O149" s="167">
        <v>0</v>
      </c>
      <c r="P149" s="167">
        <v>0</v>
      </c>
      <c r="Q149" s="167">
        <v>0</v>
      </c>
      <c r="R149" s="167">
        <v>0</v>
      </c>
      <c r="S149" s="167">
        <v>1</v>
      </c>
      <c r="T149" s="167">
        <v>1</v>
      </c>
      <c r="U149" s="167">
        <v>1</v>
      </c>
      <c r="V149" s="167">
        <v>1</v>
      </c>
      <c r="W149" s="167">
        <v>0</v>
      </c>
      <c r="X149" s="167">
        <v>0</v>
      </c>
      <c r="Y149" s="167">
        <v>0</v>
      </c>
      <c r="Z149" s="167">
        <v>0</v>
      </c>
      <c r="AA149" s="167">
        <v>1</v>
      </c>
      <c r="AB149" s="167">
        <v>0</v>
      </c>
      <c r="AC149" s="167">
        <v>1</v>
      </c>
      <c r="AD149" s="167">
        <v>0</v>
      </c>
      <c r="AE149" s="167">
        <v>1</v>
      </c>
      <c r="AF149" s="167">
        <v>0</v>
      </c>
      <c r="AG149" s="167">
        <v>1</v>
      </c>
      <c r="AH149" s="167">
        <v>0</v>
      </c>
      <c r="AI149" s="167">
        <v>1</v>
      </c>
      <c r="AJ149" s="167">
        <v>0</v>
      </c>
      <c r="AK149" s="167">
        <v>0</v>
      </c>
      <c r="AL149" s="167">
        <v>1</v>
      </c>
      <c r="AM149" s="167">
        <v>15</v>
      </c>
      <c r="AN149" s="167">
        <v>1</v>
      </c>
    </row>
    <row r="150" spans="1:40" ht="16" x14ac:dyDescent="0.2">
      <c r="A150" s="168" t="s">
        <v>455</v>
      </c>
      <c r="B150" s="31">
        <v>1</v>
      </c>
      <c r="C150" s="31">
        <v>1</v>
      </c>
      <c r="D150" s="31">
        <v>1</v>
      </c>
      <c r="E150" s="163">
        <v>120</v>
      </c>
      <c r="F150" s="224">
        <v>2</v>
      </c>
      <c r="G150" s="224">
        <v>2</v>
      </c>
      <c r="H150" s="224">
        <v>2</v>
      </c>
      <c r="I150" s="224">
        <v>1</v>
      </c>
      <c r="J150" s="224">
        <v>1</v>
      </c>
      <c r="K150" s="224">
        <v>1</v>
      </c>
      <c r="L150" s="224">
        <v>1</v>
      </c>
      <c r="M150" s="224">
        <v>0</v>
      </c>
      <c r="N150" s="224">
        <v>0</v>
      </c>
      <c r="O150" s="224">
        <v>0</v>
      </c>
      <c r="P150" s="224">
        <v>0</v>
      </c>
      <c r="Q150" s="224">
        <v>0</v>
      </c>
      <c r="R150" s="224">
        <v>0</v>
      </c>
      <c r="S150" s="224">
        <v>2</v>
      </c>
      <c r="T150" s="224">
        <v>2</v>
      </c>
      <c r="U150" s="224">
        <v>2</v>
      </c>
      <c r="V150" s="224">
        <v>2</v>
      </c>
      <c r="W150" s="224">
        <v>1</v>
      </c>
      <c r="X150" s="224">
        <v>1</v>
      </c>
      <c r="Y150" s="224">
        <v>0</v>
      </c>
      <c r="Z150" s="224">
        <v>2</v>
      </c>
      <c r="AA150" s="224">
        <v>1</v>
      </c>
      <c r="AB150" s="224">
        <v>1</v>
      </c>
      <c r="AC150" s="224">
        <v>0</v>
      </c>
      <c r="AD150" s="224">
        <v>0</v>
      </c>
      <c r="AE150" s="224">
        <v>0</v>
      </c>
      <c r="AF150" s="224">
        <v>0</v>
      </c>
      <c r="AG150" s="224">
        <v>0</v>
      </c>
      <c r="AH150" s="224">
        <v>0</v>
      </c>
      <c r="AI150" s="224">
        <v>0</v>
      </c>
      <c r="AJ150" s="224">
        <v>0</v>
      </c>
      <c r="AK150" s="224">
        <v>0</v>
      </c>
      <c r="AL150" s="224">
        <v>0</v>
      </c>
      <c r="AM150" s="224">
        <v>24</v>
      </c>
      <c r="AN150" s="224">
        <v>3</v>
      </c>
    </row>
    <row r="151" spans="1:40" ht="16" x14ac:dyDescent="0.2">
      <c r="A151" s="168" t="s">
        <v>456</v>
      </c>
      <c r="B151" s="31">
        <v>1</v>
      </c>
      <c r="C151" s="31">
        <v>1</v>
      </c>
      <c r="D151" s="31">
        <v>1</v>
      </c>
      <c r="E151" s="163">
        <v>120</v>
      </c>
      <c r="F151" s="223">
        <v>0</v>
      </c>
      <c r="G151" s="223">
        <v>1</v>
      </c>
      <c r="H151" s="223">
        <v>0</v>
      </c>
      <c r="I151" s="223">
        <v>0</v>
      </c>
      <c r="J151" s="223">
        <v>0</v>
      </c>
      <c r="K151" s="223">
        <v>0</v>
      </c>
      <c r="L151" s="223">
        <v>0</v>
      </c>
      <c r="M151" s="223">
        <v>0</v>
      </c>
      <c r="N151" s="223">
        <v>0</v>
      </c>
      <c r="O151" s="223">
        <v>0</v>
      </c>
      <c r="P151" s="223">
        <v>0</v>
      </c>
      <c r="Q151" s="223">
        <v>0</v>
      </c>
      <c r="R151" s="223">
        <v>0</v>
      </c>
      <c r="S151" s="223">
        <v>1</v>
      </c>
      <c r="T151" s="223">
        <v>0</v>
      </c>
      <c r="U151" s="223">
        <v>1</v>
      </c>
      <c r="V151" s="223">
        <v>0</v>
      </c>
      <c r="W151" s="223">
        <v>0</v>
      </c>
      <c r="X151" s="223">
        <v>0</v>
      </c>
      <c r="Y151" s="223">
        <v>0</v>
      </c>
      <c r="Z151" s="223">
        <v>0</v>
      </c>
      <c r="AA151" s="223">
        <v>1</v>
      </c>
      <c r="AB151" s="223">
        <v>1</v>
      </c>
      <c r="AC151" s="223">
        <v>1</v>
      </c>
      <c r="AD151" s="223">
        <v>0</v>
      </c>
      <c r="AE151" s="223">
        <v>1</v>
      </c>
      <c r="AF151" s="223">
        <v>0</v>
      </c>
      <c r="AG151" s="223">
        <v>1</v>
      </c>
      <c r="AH151" s="223">
        <v>0</v>
      </c>
      <c r="AI151" s="223">
        <v>0</v>
      </c>
      <c r="AJ151" s="223">
        <v>0</v>
      </c>
      <c r="AK151" s="223">
        <v>0</v>
      </c>
      <c r="AL151" s="223">
        <v>1</v>
      </c>
      <c r="AM151" s="223">
        <v>9</v>
      </c>
      <c r="AN151" s="223">
        <v>1</v>
      </c>
    </row>
    <row r="152" spans="1:40" ht="16" x14ac:dyDescent="0.2">
      <c r="A152" s="168" t="s">
        <v>457</v>
      </c>
      <c r="B152" s="31">
        <v>1</v>
      </c>
      <c r="C152" s="31">
        <v>1</v>
      </c>
      <c r="D152" s="31">
        <v>1</v>
      </c>
      <c r="E152" s="199">
        <v>240</v>
      </c>
      <c r="F152" s="223">
        <v>1</v>
      </c>
      <c r="G152" s="223">
        <v>1</v>
      </c>
      <c r="H152" s="223">
        <v>2</v>
      </c>
      <c r="I152" s="223">
        <v>1</v>
      </c>
      <c r="J152" s="223">
        <v>1</v>
      </c>
      <c r="K152" s="223">
        <v>1</v>
      </c>
      <c r="L152" s="223">
        <v>1</v>
      </c>
      <c r="M152" s="223">
        <v>1</v>
      </c>
      <c r="N152" s="223">
        <v>1</v>
      </c>
      <c r="O152" s="223">
        <v>1</v>
      </c>
      <c r="P152" s="223">
        <v>1</v>
      </c>
      <c r="Q152" s="223">
        <v>1</v>
      </c>
      <c r="R152" s="223">
        <v>1</v>
      </c>
      <c r="S152" s="223">
        <v>1</v>
      </c>
      <c r="T152" s="223">
        <v>2</v>
      </c>
      <c r="U152" s="223">
        <v>1</v>
      </c>
      <c r="V152" s="223">
        <v>2</v>
      </c>
      <c r="W152" s="223">
        <v>2</v>
      </c>
      <c r="X152" s="223">
        <v>2</v>
      </c>
      <c r="Y152" s="223">
        <v>1</v>
      </c>
      <c r="Z152" s="223">
        <v>2</v>
      </c>
      <c r="AA152" s="223">
        <v>3</v>
      </c>
      <c r="AB152" s="223">
        <v>1</v>
      </c>
      <c r="AC152" s="223">
        <v>1</v>
      </c>
      <c r="AD152" s="223">
        <v>1</v>
      </c>
      <c r="AE152" s="223">
        <v>2</v>
      </c>
      <c r="AF152" s="223">
        <v>2</v>
      </c>
      <c r="AG152" s="223">
        <v>1</v>
      </c>
      <c r="AH152" s="223">
        <v>1</v>
      </c>
      <c r="AI152" s="223">
        <v>0</v>
      </c>
      <c r="AJ152" s="223">
        <v>0</v>
      </c>
      <c r="AK152" s="223">
        <v>0</v>
      </c>
      <c r="AL152" s="223">
        <v>1</v>
      </c>
      <c r="AM152" s="223">
        <v>40</v>
      </c>
      <c r="AN152" s="223">
        <v>3</v>
      </c>
    </row>
    <row r="153" spans="1:40" ht="16" x14ac:dyDescent="0.2">
      <c r="A153" s="168" t="s">
        <v>458</v>
      </c>
      <c r="B153" s="31">
        <v>1</v>
      </c>
      <c r="C153" s="31">
        <v>1</v>
      </c>
      <c r="D153" s="31">
        <v>1</v>
      </c>
      <c r="E153" s="199">
        <v>240</v>
      </c>
      <c r="F153" s="167">
        <v>1</v>
      </c>
      <c r="G153" s="167">
        <v>0</v>
      </c>
      <c r="H153" s="167">
        <v>1</v>
      </c>
      <c r="I153" s="167">
        <v>2</v>
      </c>
      <c r="J153" s="167">
        <v>2</v>
      </c>
      <c r="K153" s="167">
        <v>1</v>
      </c>
      <c r="L153" s="167">
        <v>1</v>
      </c>
      <c r="M153" s="167">
        <v>0</v>
      </c>
      <c r="N153" s="167">
        <v>0</v>
      </c>
      <c r="O153" s="167">
        <v>0</v>
      </c>
      <c r="P153" s="167">
        <v>0</v>
      </c>
      <c r="Q153" s="167">
        <v>0</v>
      </c>
      <c r="R153" s="167">
        <v>0</v>
      </c>
      <c r="S153" s="167">
        <v>0</v>
      </c>
      <c r="T153" s="167">
        <v>0</v>
      </c>
      <c r="U153" s="167">
        <v>0</v>
      </c>
      <c r="V153" s="167">
        <v>0</v>
      </c>
      <c r="W153" s="167">
        <v>0</v>
      </c>
      <c r="X153" s="167">
        <v>1</v>
      </c>
      <c r="Y153" s="167">
        <v>0</v>
      </c>
      <c r="Z153" s="167">
        <v>1</v>
      </c>
      <c r="AA153" s="167">
        <v>1</v>
      </c>
      <c r="AB153" s="167">
        <v>1</v>
      </c>
      <c r="AC153" s="167">
        <v>1</v>
      </c>
      <c r="AD153" s="167">
        <v>0</v>
      </c>
      <c r="AE153" s="167">
        <v>1</v>
      </c>
      <c r="AF153" s="167">
        <v>0</v>
      </c>
      <c r="AG153" s="167">
        <v>1</v>
      </c>
      <c r="AH153" s="167">
        <v>0</v>
      </c>
      <c r="AI153" s="167">
        <v>1</v>
      </c>
      <c r="AJ153" s="167">
        <v>0</v>
      </c>
      <c r="AK153" s="167">
        <v>0</v>
      </c>
      <c r="AL153" s="167">
        <v>1</v>
      </c>
      <c r="AM153" s="167">
        <v>17</v>
      </c>
      <c r="AN153" s="167">
        <v>2</v>
      </c>
    </row>
    <row r="154" spans="1:40" ht="16" x14ac:dyDescent="0.2">
      <c r="A154" s="168" t="s">
        <v>459</v>
      </c>
      <c r="B154" s="31">
        <v>1</v>
      </c>
      <c r="C154" s="31">
        <v>1</v>
      </c>
      <c r="D154" s="31">
        <v>1</v>
      </c>
      <c r="E154" s="199">
        <v>240</v>
      </c>
      <c r="F154" s="224">
        <v>1</v>
      </c>
      <c r="G154" s="224">
        <v>2</v>
      </c>
      <c r="H154" s="224">
        <v>2</v>
      </c>
      <c r="I154" s="224">
        <v>0</v>
      </c>
      <c r="J154" s="224">
        <v>0</v>
      </c>
      <c r="K154" s="224">
        <v>1</v>
      </c>
      <c r="L154" s="224">
        <v>1</v>
      </c>
      <c r="M154" s="224">
        <v>2</v>
      </c>
      <c r="N154" s="224">
        <v>2</v>
      </c>
      <c r="O154" s="224">
        <v>2</v>
      </c>
      <c r="P154" s="224">
        <v>2</v>
      </c>
      <c r="Q154" s="224">
        <v>1</v>
      </c>
      <c r="R154" s="224">
        <v>1</v>
      </c>
      <c r="S154" s="224">
        <v>1</v>
      </c>
      <c r="T154" s="224">
        <v>1</v>
      </c>
      <c r="U154" s="224">
        <v>1</v>
      </c>
      <c r="V154" s="224">
        <v>1</v>
      </c>
      <c r="W154" s="224">
        <v>1</v>
      </c>
      <c r="X154" s="224">
        <v>2</v>
      </c>
      <c r="Y154" s="224">
        <v>1</v>
      </c>
      <c r="Z154" s="224">
        <v>1</v>
      </c>
      <c r="AA154" s="224">
        <v>2</v>
      </c>
      <c r="AB154" s="224">
        <v>1</v>
      </c>
      <c r="AC154" s="224">
        <v>1</v>
      </c>
      <c r="AD154" s="224">
        <v>0</v>
      </c>
      <c r="AE154" s="224">
        <v>1</v>
      </c>
      <c r="AF154" s="224">
        <v>0</v>
      </c>
      <c r="AG154" s="224">
        <v>1</v>
      </c>
      <c r="AH154" s="224">
        <v>0</v>
      </c>
      <c r="AI154" s="224">
        <v>0</v>
      </c>
      <c r="AJ154" s="224">
        <v>0</v>
      </c>
      <c r="AK154" s="224">
        <v>0</v>
      </c>
      <c r="AL154" s="224">
        <v>1</v>
      </c>
      <c r="AM154" s="224">
        <v>33</v>
      </c>
      <c r="AN154" s="224">
        <v>2</v>
      </c>
    </row>
    <row r="155" spans="1:40" ht="16" x14ac:dyDescent="0.2">
      <c r="A155" s="168" t="s">
        <v>460</v>
      </c>
      <c r="B155" s="31">
        <v>1</v>
      </c>
      <c r="C155" s="31">
        <v>1</v>
      </c>
      <c r="D155" s="31">
        <v>1</v>
      </c>
      <c r="E155" s="223">
        <v>150</v>
      </c>
      <c r="F155" s="223">
        <v>1</v>
      </c>
      <c r="G155" s="223">
        <v>0</v>
      </c>
      <c r="H155" s="223">
        <v>1</v>
      </c>
      <c r="I155" s="223">
        <v>1</v>
      </c>
      <c r="J155" s="223">
        <v>1</v>
      </c>
      <c r="K155" s="223">
        <v>1</v>
      </c>
      <c r="L155" s="223">
        <v>1</v>
      </c>
      <c r="M155" s="223">
        <v>0</v>
      </c>
      <c r="N155" s="223">
        <v>0</v>
      </c>
      <c r="O155" s="223">
        <v>0</v>
      </c>
      <c r="P155" s="223">
        <v>0</v>
      </c>
      <c r="Q155" s="223">
        <v>0</v>
      </c>
      <c r="R155" s="223">
        <v>0</v>
      </c>
      <c r="S155" s="223">
        <v>0</v>
      </c>
      <c r="T155" s="223">
        <v>0</v>
      </c>
      <c r="U155" s="223">
        <v>0</v>
      </c>
      <c r="V155" s="223">
        <v>0</v>
      </c>
      <c r="W155" s="223">
        <v>1</v>
      </c>
      <c r="X155" s="223">
        <v>2</v>
      </c>
      <c r="Y155" s="223">
        <v>1</v>
      </c>
      <c r="Z155" s="223">
        <v>1</v>
      </c>
      <c r="AA155" s="223">
        <v>1</v>
      </c>
      <c r="AB155" s="223">
        <v>1</v>
      </c>
      <c r="AC155" s="223">
        <v>0</v>
      </c>
      <c r="AD155" s="223">
        <v>0</v>
      </c>
      <c r="AE155" s="223">
        <v>0</v>
      </c>
      <c r="AF155" s="223">
        <v>0</v>
      </c>
      <c r="AG155" s="223">
        <v>0</v>
      </c>
      <c r="AH155" s="223">
        <v>0</v>
      </c>
      <c r="AI155" s="223">
        <v>0</v>
      </c>
      <c r="AJ155" s="223">
        <v>0</v>
      </c>
      <c r="AK155" s="223">
        <v>0</v>
      </c>
      <c r="AL155" s="223">
        <v>0</v>
      </c>
      <c r="AM155" s="223">
        <v>13</v>
      </c>
      <c r="AN155" s="223">
        <v>2</v>
      </c>
    </row>
    <row r="156" spans="1:40" ht="17" thickBot="1" x14ac:dyDescent="0.25">
      <c r="A156" s="169" t="s">
        <v>461</v>
      </c>
      <c r="B156" s="31">
        <v>1</v>
      </c>
      <c r="C156" s="31">
        <v>1</v>
      </c>
      <c r="D156" s="31">
        <v>1</v>
      </c>
      <c r="E156" s="226">
        <v>60</v>
      </c>
      <c r="F156" s="226">
        <v>2</v>
      </c>
      <c r="G156" s="226">
        <v>1</v>
      </c>
      <c r="H156" s="226">
        <v>2</v>
      </c>
      <c r="I156" s="226">
        <v>2</v>
      </c>
      <c r="J156" s="226">
        <v>2</v>
      </c>
      <c r="K156" s="226">
        <v>2</v>
      </c>
      <c r="L156" s="226">
        <v>2</v>
      </c>
      <c r="M156" s="226">
        <v>2</v>
      </c>
      <c r="N156" s="226">
        <v>2</v>
      </c>
      <c r="O156" s="226">
        <v>1</v>
      </c>
      <c r="P156" s="226">
        <v>1</v>
      </c>
      <c r="Q156" s="226">
        <v>1</v>
      </c>
      <c r="R156" s="226">
        <v>1</v>
      </c>
      <c r="S156" s="226">
        <v>2</v>
      </c>
      <c r="T156" s="226">
        <v>2</v>
      </c>
      <c r="U156" s="226">
        <v>2</v>
      </c>
      <c r="V156" s="226">
        <v>2</v>
      </c>
      <c r="W156" s="226">
        <v>1</v>
      </c>
      <c r="X156" s="226">
        <v>1</v>
      </c>
      <c r="Y156" s="226">
        <v>1</v>
      </c>
      <c r="Z156" s="226">
        <v>1</v>
      </c>
      <c r="AA156" s="226">
        <v>2</v>
      </c>
      <c r="AB156" s="226">
        <v>1</v>
      </c>
      <c r="AC156" s="226">
        <v>1</v>
      </c>
      <c r="AD156" s="226">
        <v>1</v>
      </c>
      <c r="AE156" s="226">
        <v>0</v>
      </c>
      <c r="AF156" s="226">
        <v>0</v>
      </c>
      <c r="AG156" s="226">
        <v>1</v>
      </c>
      <c r="AH156" s="226">
        <v>1</v>
      </c>
      <c r="AI156" s="226">
        <v>0</v>
      </c>
      <c r="AJ156" s="226">
        <v>0</v>
      </c>
      <c r="AK156" s="226">
        <v>0</v>
      </c>
      <c r="AL156" s="226">
        <v>1</v>
      </c>
      <c r="AM156" s="226">
        <v>41</v>
      </c>
      <c r="AN156" s="226">
        <v>3</v>
      </c>
    </row>
    <row r="157" spans="1:40" ht="16" x14ac:dyDescent="0.2">
      <c r="A157" s="172" t="s">
        <v>462</v>
      </c>
      <c r="B157" s="31">
        <v>1</v>
      </c>
      <c r="C157" s="31">
        <v>1</v>
      </c>
      <c r="D157" s="31">
        <v>1</v>
      </c>
      <c r="E157" s="199">
        <v>180</v>
      </c>
      <c r="F157" s="154">
        <v>0</v>
      </c>
      <c r="G157" s="154">
        <v>0</v>
      </c>
      <c r="H157" s="154">
        <v>1</v>
      </c>
      <c r="I157" s="154">
        <v>1</v>
      </c>
      <c r="J157" s="154">
        <v>0</v>
      </c>
      <c r="K157" s="154">
        <v>1</v>
      </c>
      <c r="L157" s="154">
        <v>0</v>
      </c>
      <c r="M157" s="154">
        <v>2</v>
      </c>
      <c r="N157" s="154">
        <v>2</v>
      </c>
      <c r="O157" s="154">
        <v>0</v>
      </c>
      <c r="P157" s="154">
        <v>0</v>
      </c>
      <c r="Q157" s="154">
        <v>0</v>
      </c>
      <c r="R157" s="154">
        <v>0</v>
      </c>
      <c r="S157" s="154">
        <v>2</v>
      </c>
      <c r="T157" s="154">
        <v>1</v>
      </c>
      <c r="U157" s="154">
        <v>1</v>
      </c>
      <c r="V157" s="154">
        <v>0</v>
      </c>
      <c r="W157" s="154">
        <v>1</v>
      </c>
      <c r="X157" s="154">
        <v>1</v>
      </c>
      <c r="Y157" s="154">
        <v>1</v>
      </c>
      <c r="Z157" s="154">
        <v>0</v>
      </c>
      <c r="AA157" s="154">
        <v>1</v>
      </c>
      <c r="AB157" s="154">
        <v>0</v>
      </c>
      <c r="AC157" s="154">
        <v>1</v>
      </c>
      <c r="AD157" s="154">
        <v>0</v>
      </c>
      <c r="AE157" s="154">
        <v>1</v>
      </c>
      <c r="AF157" s="154">
        <v>0</v>
      </c>
      <c r="AG157" s="154">
        <v>1</v>
      </c>
      <c r="AH157" s="154">
        <v>0</v>
      </c>
      <c r="AI157" s="154">
        <v>0</v>
      </c>
      <c r="AJ157" s="154">
        <v>0</v>
      </c>
      <c r="AK157" s="154">
        <v>0</v>
      </c>
      <c r="AL157" s="154">
        <v>1</v>
      </c>
      <c r="AM157" s="227">
        <v>19</v>
      </c>
      <c r="AN157" s="154">
        <v>2</v>
      </c>
    </row>
    <row r="158" spans="1:40" ht="16" x14ac:dyDescent="0.2">
      <c r="A158" s="132" t="s">
        <v>463</v>
      </c>
      <c r="B158" s="31">
        <v>1</v>
      </c>
      <c r="C158" s="31">
        <v>1</v>
      </c>
      <c r="D158" s="31">
        <v>1</v>
      </c>
      <c r="E158" s="199">
        <v>240</v>
      </c>
      <c r="F158" s="227">
        <v>1</v>
      </c>
      <c r="G158" s="227">
        <v>1</v>
      </c>
      <c r="H158" s="227">
        <v>0</v>
      </c>
      <c r="I158" s="227">
        <v>0</v>
      </c>
      <c r="J158" s="227">
        <v>0</v>
      </c>
      <c r="K158" s="227">
        <v>0</v>
      </c>
      <c r="L158" s="227">
        <v>0</v>
      </c>
      <c r="M158" s="227">
        <v>1</v>
      </c>
      <c r="N158" s="227">
        <v>2</v>
      </c>
      <c r="O158" s="227">
        <v>1</v>
      </c>
      <c r="P158" s="227">
        <v>2</v>
      </c>
      <c r="Q158" s="227">
        <v>1</v>
      </c>
      <c r="R158" s="227">
        <v>2</v>
      </c>
      <c r="S158" s="227">
        <v>1</v>
      </c>
      <c r="T158" s="227">
        <v>2</v>
      </c>
      <c r="U158" s="227">
        <v>1</v>
      </c>
      <c r="V158" s="227">
        <v>2</v>
      </c>
      <c r="W158" s="227">
        <v>2</v>
      </c>
      <c r="X158" s="227">
        <v>1</v>
      </c>
      <c r="Y158" s="227">
        <v>1</v>
      </c>
      <c r="Z158" s="227">
        <v>1</v>
      </c>
      <c r="AA158" s="227">
        <v>1</v>
      </c>
      <c r="AB158" s="227">
        <v>1</v>
      </c>
      <c r="AC158" s="227">
        <v>0</v>
      </c>
      <c r="AD158" s="227">
        <v>0</v>
      </c>
      <c r="AE158" s="227">
        <v>0</v>
      </c>
      <c r="AF158" s="227">
        <v>0</v>
      </c>
      <c r="AG158" s="227">
        <v>0</v>
      </c>
      <c r="AH158" s="227">
        <v>1</v>
      </c>
      <c r="AI158" s="227">
        <v>1</v>
      </c>
      <c r="AJ158" s="227">
        <v>1</v>
      </c>
      <c r="AK158" s="227">
        <v>0</v>
      </c>
      <c r="AL158" s="227">
        <v>0</v>
      </c>
      <c r="AM158" s="227">
        <v>27</v>
      </c>
      <c r="AN158" s="227">
        <v>2</v>
      </c>
    </row>
    <row r="159" spans="1:40" ht="17" thickBot="1" x14ac:dyDescent="0.25">
      <c r="A159" s="132" t="s">
        <v>464</v>
      </c>
      <c r="B159" s="31">
        <v>1</v>
      </c>
      <c r="C159" s="31">
        <v>1</v>
      </c>
      <c r="D159" s="31">
        <v>1</v>
      </c>
      <c r="E159" s="199">
        <v>180</v>
      </c>
      <c r="F159" s="138">
        <v>2</v>
      </c>
      <c r="G159" s="138">
        <v>1</v>
      </c>
      <c r="H159" s="138">
        <v>0</v>
      </c>
      <c r="I159" s="138">
        <v>0</v>
      </c>
      <c r="J159" s="138">
        <v>0</v>
      </c>
      <c r="K159" s="138">
        <v>0</v>
      </c>
      <c r="L159" s="138">
        <v>0</v>
      </c>
      <c r="M159" s="138">
        <v>0</v>
      </c>
      <c r="N159" s="138">
        <v>0</v>
      </c>
      <c r="O159" s="138">
        <v>0</v>
      </c>
      <c r="P159" s="138">
        <v>0</v>
      </c>
      <c r="Q159" s="138">
        <v>0</v>
      </c>
      <c r="R159" s="138">
        <v>0</v>
      </c>
      <c r="S159" s="138">
        <v>0</v>
      </c>
      <c r="T159" s="138">
        <v>0</v>
      </c>
      <c r="U159" s="138">
        <v>0</v>
      </c>
      <c r="V159" s="138">
        <v>0</v>
      </c>
      <c r="W159" s="138">
        <v>0</v>
      </c>
      <c r="X159" s="138">
        <v>0</v>
      </c>
      <c r="Y159" s="138">
        <v>2</v>
      </c>
      <c r="Z159" s="138">
        <v>2</v>
      </c>
      <c r="AA159" s="138">
        <v>1</v>
      </c>
      <c r="AB159" s="138">
        <v>2</v>
      </c>
      <c r="AC159" s="138">
        <v>0</v>
      </c>
      <c r="AD159" s="138">
        <v>0</v>
      </c>
      <c r="AE159" s="138">
        <v>0</v>
      </c>
      <c r="AF159" s="138">
        <v>0</v>
      </c>
      <c r="AG159" s="138">
        <v>0</v>
      </c>
      <c r="AH159" s="138">
        <v>0</v>
      </c>
      <c r="AI159" s="138">
        <v>0</v>
      </c>
      <c r="AJ159" s="138">
        <v>0</v>
      </c>
      <c r="AK159" s="138">
        <v>0</v>
      </c>
      <c r="AL159" s="138">
        <v>0</v>
      </c>
      <c r="AM159" s="138">
        <v>10</v>
      </c>
      <c r="AN159" s="138">
        <v>1</v>
      </c>
    </row>
    <row r="160" spans="1:40" ht="16" x14ac:dyDescent="0.2">
      <c r="A160" s="127" t="s">
        <v>465</v>
      </c>
      <c r="B160" s="31">
        <v>1</v>
      </c>
      <c r="C160" s="31">
        <v>1</v>
      </c>
      <c r="D160" s="31">
        <v>1</v>
      </c>
      <c r="E160" s="199">
        <v>180</v>
      </c>
      <c r="F160" s="228">
        <v>1</v>
      </c>
      <c r="G160" s="228">
        <v>0</v>
      </c>
      <c r="H160" s="228">
        <v>1</v>
      </c>
      <c r="I160" s="228">
        <v>0</v>
      </c>
      <c r="J160" s="228">
        <v>1</v>
      </c>
      <c r="K160" s="228">
        <v>0</v>
      </c>
      <c r="L160" s="228">
        <v>1</v>
      </c>
      <c r="M160" s="228">
        <v>0</v>
      </c>
      <c r="N160" s="228">
        <v>1</v>
      </c>
      <c r="O160" s="228">
        <v>0</v>
      </c>
      <c r="P160" s="228">
        <v>0</v>
      </c>
      <c r="Q160" s="228">
        <v>0</v>
      </c>
      <c r="R160" s="228">
        <v>0</v>
      </c>
      <c r="S160" s="228">
        <v>0</v>
      </c>
      <c r="T160" s="228">
        <v>0</v>
      </c>
      <c r="U160" s="228">
        <v>0</v>
      </c>
      <c r="V160" s="228">
        <v>0</v>
      </c>
      <c r="W160" s="228">
        <v>0</v>
      </c>
      <c r="X160" s="228">
        <v>0</v>
      </c>
      <c r="Y160" s="228">
        <v>0</v>
      </c>
      <c r="Z160" s="228">
        <v>0</v>
      </c>
      <c r="AA160" s="228">
        <v>0</v>
      </c>
      <c r="AB160" s="228">
        <v>0</v>
      </c>
      <c r="AC160" s="228">
        <v>0</v>
      </c>
      <c r="AD160" s="228">
        <v>0</v>
      </c>
      <c r="AE160" s="228">
        <v>0</v>
      </c>
      <c r="AF160" s="228">
        <v>0</v>
      </c>
      <c r="AG160" s="228">
        <v>0</v>
      </c>
      <c r="AH160" s="228">
        <v>0</v>
      </c>
      <c r="AI160" s="228">
        <v>0</v>
      </c>
      <c r="AJ160" s="228">
        <v>0</v>
      </c>
      <c r="AK160" s="228">
        <v>0</v>
      </c>
      <c r="AL160" s="228">
        <v>0</v>
      </c>
      <c r="AM160" s="227">
        <v>5</v>
      </c>
      <c r="AN160" s="228">
        <v>1</v>
      </c>
    </row>
    <row r="161" spans="1:40" ht="16" x14ac:dyDescent="0.2">
      <c r="A161" s="127" t="s">
        <v>466</v>
      </c>
      <c r="B161" s="31">
        <v>1</v>
      </c>
      <c r="C161" s="31">
        <v>1</v>
      </c>
      <c r="D161" s="31">
        <v>1</v>
      </c>
      <c r="E161" s="189">
        <v>190</v>
      </c>
      <c r="F161" s="189">
        <v>1</v>
      </c>
      <c r="G161" s="189">
        <v>0</v>
      </c>
      <c r="H161" s="189">
        <v>0</v>
      </c>
      <c r="I161" s="189">
        <v>1</v>
      </c>
      <c r="J161" s="189">
        <v>1</v>
      </c>
      <c r="K161" s="189">
        <v>1</v>
      </c>
      <c r="L161" s="189">
        <v>1</v>
      </c>
      <c r="M161" s="189">
        <v>1</v>
      </c>
      <c r="N161" s="189">
        <v>1</v>
      </c>
      <c r="O161" s="189">
        <v>0</v>
      </c>
      <c r="P161" s="189">
        <v>0</v>
      </c>
      <c r="Q161" s="189">
        <v>0</v>
      </c>
      <c r="R161" s="189">
        <v>0</v>
      </c>
      <c r="S161" s="189">
        <v>1</v>
      </c>
      <c r="T161" s="189">
        <v>1</v>
      </c>
      <c r="U161" s="189">
        <v>0</v>
      </c>
      <c r="V161" s="189">
        <v>1</v>
      </c>
      <c r="W161" s="189">
        <v>1</v>
      </c>
      <c r="X161" s="189">
        <v>1</v>
      </c>
      <c r="Y161" s="189">
        <v>0</v>
      </c>
      <c r="Z161" s="189">
        <v>1</v>
      </c>
      <c r="AA161" s="189">
        <v>1</v>
      </c>
      <c r="AB161" s="189">
        <v>1</v>
      </c>
      <c r="AC161" s="189">
        <v>0</v>
      </c>
      <c r="AD161" s="189">
        <v>1</v>
      </c>
      <c r="AE161" s="189">
        <v>0</v>
      </c>
      <c r="AF161" s="189">
        <v>0</v>
      </c>
      <c r="AG161" s="189">
        <v>0</v>
      </c>
      <c r="AH161" s="189">
        <v>1</v>
      </c>
      <c r="AI161" s="189">
        <v>0</v>
      </c>
      <c r="AJ161" s="189">
        <v>0</v>
      </c>
      <c r="AK161" s="189">
        <v>0</v>
      </c>
      <c r="AL161" s="189">
        <v>0</v>
      </c>
      <c r="AM161" s="222">
        <v>17</v>
      </c>
      <c r="AN161" s="189">
        <v>1</v>
      </c>
    </row>
    <row r="162" spans="1:40" ht="16" x14ac:dyDescent="0.2">
      <c r="A162" s="132" t="s">
        <v>467</v>
      </c>
      <c r="B162" s="31">
        <v>1</v>
      </c>
      <c r="C162" s="31">
        <v>1</v>
      </c>
      <c r="D162" s="31">
        <v>1</v>
      </c>
      <c r="E162" s="154">
        <v>180</v>
      </c>
      <c r="F162" s="154">
        <v>0</v>
      </c>
      <c r="G162" s="154">
        <v>0</v>
      </c>
      <c r="H162" s="154">
        <v>0</v>
      </c>
      <c r="I162" s="154">
        <v>0</v>
      </c>
      <c r="J162" s="154">
        <v>0</v>
      </c>
      <c r="K162" s="154">
        <v>0</v>
      </c>
      <c r="L162" s="154">
        <v>0</v>
      </c>
      <c r="M162" s="154">
        <v>1</v>
      </c>
      <c r="N162" s="154">
        <v>0</v>
      </c>
      <c r="O162" s="154">
        <v>1</v>
      </c>
      <c r="P162" s="154">
        <v>0</v>
      </c>
      <c r="Q162" s="154">
        <v>0</v>
      </c>
      <c r="R162" s="154">
        <v>0</v>
      </c>
      <c r="S162" s="154">
        <v>1</v>
      </c>
      <c r="T162" s="154">
        <v>0</v>
      </c>
      <c r="U162" s="154">
        <v>1</v>
      </c>
      <c r="V162" s="154">
        <v>0</v>
      </c>
      <c r="W162" s="154">
        <v>0</v>
      </c>
      <c r="X162" s="154">
        <v>1</v>
      </c>
      <c r="Y162" s="154">
        <v>0</v>
      </c>
      <c r="Z162" s="154">
        <v>1</v>
      </c>
      <c r="AA162" s="154">
        <v>1</v>
      </c>
      <c r="AB162" s="154">
        <v>1</v>
      </c>
      <c r="AC162" s="154">
        <v>1</v>
      </c>
      <c r="AD162" s="154">
        <v>0</v>
      </c>
      <c r="AE162" s="154">
        <v>0</v>
      </c>
      <c r="AF162" s="154">
        <v>0</v>
      </c>
      <c r="AG162" s="154">
        <v>1</v>
      </c>
      <c r="AH162" s="154">
        <v>0</v>
      </c>
      <c r="AI162" s="154">
        <v>0</v>
      </c>
      <c r="AJ162" s="154">
        <v>0</v>
      </c>
      <c r="AK162" s="154">
        <v>0</v>
      </c>
      <c r="AL162" s="154">
        <v>1</v>
      </c>
      <c r="AM162" s="227">
        <v>11</v>
      </c>
      <c r="AN162" s="154">
        <v>1</v>
      </c>
    </row>
    <row r="163" spans="1:40" ht="16" x14ac:dyDescent="0.2">
      <c r="A163" s="132" t="s">
        <v>468</v>
      </c>
      <c r="B163" s="31">
        <v>1</v>
      </c>
      <c r="C163" s="31">
        <v>1</v>
      </c>
      <c r="D163" s="31">
        <v>1</v>
      </c>
      <c r="E163" s="216">
        <v>120</v>
      </c>
      <c r="F163" s="216">
        <v>2</v>
      </c>
      <c r="G163" s="216">
        <v>2</v>
      </c>
      <c r="H163" s="216">
        <v>2</v>
      </c>
      <c r="I163" s="216">
        <v>2</v>
      </c>
      <c r="J163" s="216">
        <v>2</v>
      </c>
      <c r="K163" s="216">
        <v>2</v>
      </c>
      <c r="L163" s="216">
        <v>2</v>
      </c>
      <c r="M163" s="216">
        <v>2</v>
      </c>
      <c r="N163" s="216">
        <v>2</v>
      </c>
      <c r="O163" s="216">
        <v>2</v>
      </c>
      <c r="P163" s="216">
        <v>2</v>
      </c>
      <c r="Q163" s="216">
        <v>2</v>
      </c>
      <c r="R163" s="216">
        <v>2</v>
      </c>
      <c r="S163" s="216">
        <v>2</v>
      </c>
      <c r="T163" s="216">
        <v>2</v>
      </c>
      <c r="U163" s="216">
        <v>2</v>
      </c>
      <c r="V163" s="216">
        <v>2</v>
      </c>
      <c r="W163" s="216">
        <v>3</v>
      </c>
      <c r="X163" s="216">
        <v>3</v>
      </c>
      <c r="Y163" s="216">
        <v>3</v>
      </c>
      <c r="Z163" s="216">
        <v>3</v>
      </c>
      <c r="AA163" s="216">
        <v>3</v>
      </c>
      <c r="AB163" s="216">
        <v>2</v>
      </c>
      <c r="AC163" s="216">
        <v>0</v>
      </c>
      <c r="AD163" s="216">
        <v>0</v>
      </c>
      <c r="AE163" s="216">
        <v>1</v>
      </c>
      <c r="AF163" s="216">
        <v>1</v>
      </c>
      <c r="AG163" s="216">
        <v>0</v>
      </c>
      <c r="AH163" s="216">
        <v>0</v>
      </c>
      <c r="AI163" s="216">
        <v>0</v>
      </c>
      <c r="AJ163" s="216">
        <v>0</v>
      </c>
      <c r="AK163" s="216">
        <v>0</v>
      </c>
      <c r="AL163" s="216">
        <v>0</v>
      </c>
      <c r="AM163" s="227">
        <v>53</v>
      </c>
      <c r="AN163" s="216">
        <v>3</v>
      </c>
    </row>
    <row r="164" spans="1:40" ht="16" x14ac:dyDescent="0.2">
      <c r="A164" s="132" t="s">
        <v>469</v>
      </c>
      <c r="B164" s="31">
        <v>1</v>
      </c>
      <c r="C164" s="31">
        <v>1</v>
      </c>
      <c r="D164" s="31">
        <v>1</v>
      </c>
      <c r="E164" s="154">
        <v>120</v>
      </c>
      <c r="F164" s="154">
        <v>1</v>
      </c>
      <c r="G164" s="154">
        <v>1</v>
      </c>
      <c r="H164" s="154">
        <v>3</v>
      </c>
      <c r="I164" s="154">
        <v>1</v>
      </c>
      <c r="J164" s="154">
        <v>1</v>
      </c>
      <c r="K164" s="154">
        <v>2</v>
      </c>
      <c r="L164" s="154">
        <v>2</v>
      </c>
      <c r="M164" s="154">
        <v>1</v>
      </c>
      <c r="N164" s="154">
        <v>1</v>
      </c>
      <c r="O164" s="154">
        <v>1</v>
      </c>
      <c r="P164" s="154">
        <v>1</v>
      </c>
      <c r="Q164" s="154">
        <v>0</v>
      </c>
      <c r="R164" s="154">
        <v>0</v>
      </c>
      <c r="S164" s="154">
        <v>2</v>
      </c>
      <c r="T164" s="154">
        <v>2</v>
      </c>
      <c r="U164" s="154">
        <v>1</v>
      </c>
      <c r="V164" s="154">
        <v>1</v>
      </c>
      <c r="W164" s="154">
        <v>2</v>
      </c>
      <c r="X164" s="154">
        <v>2</v>
      </c>
      <c r="Y164" s="154">
        <v>2</v>
      </c>
      <c r="Z164" s="154">
        <v>2</v>
      </c>
      <c r="AA164" s="154">
        <v>2</v>
      </c>
      <c r="AB164" s="154">
        <v>1</v>
      </c>
      <c r="AC164" s="154">
        <v>1</v>
      </c>
      <c r="AD164" s="154">
        <v>1</v>
      </c>
      <c r="AE164" s="154">
        <v>1</v>
      </c>
      <c r="AF164" s="154">
        <v>1</v>
      </c>
      <c r="AG164" s="154">
        <v>1</v>
      </c>
      <c r="AH164" s="154">
        <v>1</v>
      </c>
      <c r="AI164" s="154">
        <v>0</v>
      </c>
      <c r="AJ164" s="154">
        <v>0</v>
      </c>
      <c r="AK164" s="154">
        <v>0</v>
      </c>
      <c r="AL164" s="154">
        <v>1</v>
      </c>
      <c r="AM164" s="227">
        <v>39</v>
      </c>
      <c r="AN164" s="154">
        <v>3</v>
      </c>
    </row>
    <row r="165" spans="1:40" ht="16" x14ac:dyDescent="0.2">
      <c r="A165" s="132" t="s">
        <v>470</v>
      </c>
      <c r="B165" s="31">
        <v>1</v>
      </c>
      <c r="C165" s="31">
        <v>1</v>
      </c>
      <c r="D165" s="31">
        <v>1</v>
      </c>
      <c r="E165" s="163">
        <v>120</v>
      </c>
      <c r="F165" s="115">
        <v>2</v>
      </c>
      <c r="G165" s="115">
        <v>2</v>
      </c>
      <c r="H165" s="115">
        <v>1</v>
      </c>
      <c r="I165" s="115">
        <v>0</v>
      </c>
      <c r="J165" s="115">
        <v>0</v>
      </c>
      <c r="K165" s="115">
        <v>1</v>
      </c>
      <c r="L165" s="115">
        <v>1</v>
      </c>
      <c r="M165" s="115">
        <v>1</v>
      </c>
      <c r="N165" s="115">
        <v>1</v>
      </c>
      <c r="O165" s="115">
        <v>0</v>
      </c>
      <c r="P165" s="115">
        <v>0</v>
      </c>
      <c r="Q165" s="115">
        <v>0</v>
      </c>
      <c r="R165" s="115">
        <v>0</v>
      </c>
      <c r="S165" s="115">
        <v>1</v>
      </c>
      <c r="T165" s="115">
        <v>1</v>
      </c>
      <c r="U165" s="115">
        <v>1</v>
      </c>
      <c r="V165" s="115">
        <v>1</v>
      </c>
      <c r="W165" s="115">
        <v>1</v>
      </c>
      <c r="X165" s="115">
        <v>1</v>
      </c>
      <c r="Y165" s="115">
        <v>0</v>
      </c>
      <c r="Z165" s="115">
        <v>1</v>
      </c>
      <c r="AA165" s="115">
        <v>1</v>
      </c>
      <c r="AB165" s="115">
        <v>1</v>
      </c>
      <c r="AC165" s="115">
        <v>0</v>
      </c>
      <c r="AD165" s="115">
        <v>1</v>
      </c>
      <c r="AE165" s="115">
        <v>0</v>
      </c>
      <c r="AF165" s="115">
        <v>0</v>
      </c>
      <c r="AG165" s="115">
        <v>0</v>
      </c>
      <c r="AH165" s="115">
        <v>1</v>
      </c>
      <c r="AI165" s="115">
        <v>0</v>
      </c>
      <c r="AJ165" s="115">
        <v>0</v>
      </c>
      <c r="AK165" s="115">
        <v>0</v>
      </c>
      <c r="AL165" s="115">
        <v>1</v>
      </c>
      <c r="AM165" s="222">
        <v>21</v>
      </c>
      <c r="AN165" s="115">
        <v>2</v>
      </c>
    </row>
    <row r="166" spans="1:40" ht="16" x14ac:dyDescent="0.2">
      <c r="A166" s="132" t="s">
        <v>471</v>
      </c>
      <c r="B166" s="31">
        <v>1</v>
      </c>
      <c r="C166" s="31">
        <v>1</v>
      </c>
      <c r="D166" s="31">
        <v>1</v>
      </c>
      <c r="E166" s="167">
        <v>60</v>
      </c>
      <c r="F166" s="115">
        <v>2</v>
      </c>
      <c r="G166" s="115">
        <v>1</v>
      </c>
      <c r="H166" s="115">
        <v>1</v>
      </c>
      <c r="I166" s="115">
        <v>2</v>
      </c>
      <c r="J166" s="115">
        <v>2</v>
      </c>
      <c r="K166" s="115">
        <v>2</v>
      </c>
      <c r="L166" s="115">
        <v>2</v>
      </c>
      <c r="M166" s="115">
        <v>2</v>
      </c>
      <c r="N166" s="115">
        <v>2</v>
      </c>
      <c r="O166" s="115">
        <v>1</v>
      </c>
      <c r="P166" s="115">
        <v>1</v>
      </c>
      <c r="Q166" s="115">
        <v>2</v>
      </c>
      <c r="R166" s="115">
        <v>2</v>
      </c>
      <c r="S166" s="115">
        <v>2</v>
      </c>
      <c r="T166" s="115">
        <v>2</v>
      </c>
      <c r="U166" s="115">
        <v>1</v>
      </c>
      <c r="V166" s="115">
        <v>1</v>
      </c>
      <c r="W166" s="115">
        <v>2</v>
      </c>
      <c r="X166" s="115">
        <v>2</v>
      </c>
      <c r="Y166" s="115">
        <v>2</v>
      </c>
      <c r="Z166" s="115">
        <v>2</v>
      </c>
      <c r="AA166" s="115">
        <v>2</v>
      </c>
      <c r="AB166" s="115">
        <v>2</v>
      </c>
      <c r="AC166" s="115">
        <v>1</v>
      </c>
      <c r="AD166" s="115">
        <v>1</v>
      </c>
      <c r="AE166" s="115">
        <v>1</v>
      </c>
      <c r="AF166" s="115">
        <v>1</v>
      </c>
      <c r="AG166" s="115">
        <v>1</v>
      </c>
      <c r="AH166" s="115">
        <v>1</v>
      </c>
      <c r="AI166" s="115">
        <v>0</v>
      </c>
      <c r="AJ166" s="115">
        <v>0</v>
      </c>
      <c r="AK166" s="115">
        <v>0</v>
      </c>
      <c r="AL166" s="115">
        <v>0</v>
      </c>
      <c r="AM166" s="222">
        <v>46</v>
      </c>
      <c r="AN166" s="115">
        <v>3</v>
      </c>
    </row>
    <row r="167" spans="1:40" ht="16" x14ac:dyDescent="0.2">
      <c r="A167" s="132" t="s">
        <v>472</v>
      </c>
      <c r="B167" s="31">
        <v>1</v>
      </c>
      <c r="C167" s="31">
        <v>1</v>
      </c>
      <c r="D167" s="31">
        <v>1</v>
      </c>
      <c r="E167" s="167">
        <v>60</v>
      </c>
      <c r="F167" s="115">
        <v>0</v>
      </c>
      <c r="G167" s="115">
        <v>1</v>
      </c>
      <c r="H167" s="115">
        <v>1</v>
      </c>
      <c r="I167" s="115">
        <v>0</v>
      </c>
      <c r="J167" s="115">
        <v>0</v>
      </c>
      <c r="K167" s="115">
        <v>0</v>
      </c>
      <c r="L167" s="115">
        <v>0</v>
      </c>
      <c r="M167" s="115">
        <v>1</v>
      </c>
      <c r="N167" s="115">
        <v>1</v>
      </c>
      <c r="O167" s="115">
        <v>0</v>
      </c>
      <c r="P167" s="115">
        <v>0</v>
      </c>
      <c r="Q167" s="115">
        <v>0</v>
      </c>
      <c r="R167" s="115">
        <v>0</v>
      </c>
      <c r="S167" s="115">
        <v>1</v>
      </c>
      <c r="T167" s="115">
        <v>1</v>
      </c>
      <c r="U167" s="115">
        <v>0</v>
      </c>
      <c r="V167" s="115">
        <v>0</v>
      </c>
      <c r="W167" s="115">
        <v>1</v>
      </c>
      <c r="X167" s="115">
        <v>0</v>
      </c>
      <c r="Y167" s="115">
        <v>0</v>
      </c>
      <c r="Z167" s="115">
        <v>0</v>
      </c>
      <c r="AA167" s="115">
        <v>1</v>
      </c>
      <c r="AB167" s="115">
        <v>0</v>
      </c>
      <c r="AC167" s="115">
        <v>1</v>
      </c>
      <c r="AD167" s="115">
        <v>1</v>
      </c>
      <c r="AE167" s="115">
        <v>1</v>
      </c>
      <c r="AF167" s="115">
        <v>1</v>
      </c>
      <c r="AG167" s="115">
        <v>1</v>
      </c>
      <c r="AH167" s="115">
        <v>1</v>
      </c>
      <c r="AI167" s="115">
        <v>0</v>
      </c>
      <c r="AJ167" s="115">
        <v>0</v>
      </c>
      <c r="AK167" s="115">
        <v>0</v>
      </c>
      <c r="AL167" s="115">
        <v>1</v>
      </c>
      <c r="AM167" s="222">
        <v>15</v>
      </c>
      <c r="AN167" s="115">
        <v>1</v>
      </c>
    </row>
    <row r="168" spans="1:40" ht="16" x14ac:dyDescent="0.2">
      <c r="A168" s="132" t="s">
        <v>473</v>
      </c>
      <c r="B168" s="31">
        <v>1</v>
      </c>
      <c r="C168" s="31">
        <v>1</v>
      </c>
      <c r="D168" s="31">
        <v>1</v>
      </c>
      <c r="E168" s="167">
        <v>60</v>
      </c>
      <c r="F168" s="115">
        <v>2</v>
      </c>
      <c r="G168" s="115">
        <v>1</v>
      </c>
      <c r="H168" s="115">
        <v>1</v>
      </c>
      <c r="I168" s="115">
        <v>1</v>
      </c>
      <c r="J168" s="115">
        <v>1</v>
      </c>
      <c r="K168" s="115">
        <v>1</v>
      </c>
      <c r="L168" s="115">
        <v>1</v>
      </c>
      <c r="M168" s="115">
        <v>0</v>
      </c>
      <c r="N168" s="115">
        <v>0</v>
      </c>
      <c r="O168" s="115">
        <v>0</v>
      </c>
      <c r="P168" s="115">
        <v>0</v>
      </c>
      <c r="Q168" s="115">
        <v>0</v>
      </c>
      <c r="R168" s="115">
        <v>0</v>
      </c>
      <c r="S168" s="115">
        <v>0</v>
      </c>
      <c r="T168" s="115">
        <v>0</v>
      </c>
      <c r="U168" s="115">
        <v>0</v>
      </c>
      <c r="V168" s="115">
        <v>0</v>
      </c>
      <c r="W168" s="115">
        <v>1</v>
      </c>
      <c r="X168" s="115">
        <v>1</v>
      </c>
      <c r="Y168" s="115">
        <v>0</v>
      </c>
      <c r="Z168" s="115">
        <v>1</v>
      </c>
      <c r="AA168" s="115">
        <v>0</v>
      </c>
      <c r="AB168" s="115">
        <v>0</v>
      </c>
      <c r="AC168" s="115">
        <v>0</v>
      </c>
      <c r="AD168" s="115">
        <v>0</v>
      </c>
      <c r="AE168" s="115">
        <v>0</v>
      </c>
      <c r="AF168" s="115">
        <v>0</v>
      </c>
      <c r="AG168" s="115">
        <v>0</v>
      </c>
      <c r="AH168" s="115">
        <v>0</v>
      </c>
      <c r="AI168" s="115">
        <v>1</v>
      </c>
      <c r="AJ168" s="115">
        <v>0</v>
      </c>
      <c r="AK168" s="115">
        <v>0</v>
      </c>
      <c r="AL168" s="115">
        <v>1</v>
      </c>
      <c r="AM168" s="222">
        <v>13</v>
      </c>
      <c r="AN168" s="115">
        <v>2</v>
      </c>
    </row>
    <row r="169" spans="1:40" ht="16" x14ac:dyDescent="0.2">
      <c r="A169" s="132" t="s">
        <v>474</v>
      </c>
      <c r="B169" s="31">
        <v>1</v>
      </c>
      <c r="C169" s="31">
        <v>1</v>
      </c>
      <c r="D169" s="31">
        <v>1</v>
      </c>
      <c r="E169" s="163">
        <v>120</v>
      </c>
      <c r="F169" s="115">
        <v>1</v>
      </c>
      <c r="G169" s="115">
        <v>1</v>
      </c>
      <c r="H169" s="115">
        <v>1</v>
      </c>
      <c r="I169" s="115">
        <v>1</v>
      </c>
      <c r="J169" s="115">
        <v>1</v>
      </c>
      <c r="K169" s="115">
        <v>1</v>
      </c>
      <c r="L169" s="115">
        <v>1</v>
      </c>
      <c r="M169" s="115">
        <v>0</v>
      </c>
      <c r="N169" s="115">
        <v>0</v>
      </c>
      <c r="O169" s="115">
        <v>0</v>
      </c>
      <c r="P169" s="115">
        <v>0</v>
      </c>
      <c r="Q169" s="115">
        <v>0</v>
      </c>
      <c r="R169" s="115">
        <v>0</v>
      </c>
      <c r="S169" s="115">
        <v>0</v>
      </c>
      <c r="T169" s="115">
        <v>0</v>
      </c>
      <c r="U169" s="115">
        <v>0</v>
      </c>
      <c r="V169" s="115">
        <v>0</v>
      </c>
      <c r="W169" s="115">
        <v>1</v>
      </c>
      <c r="X169" s="115">
        <v>2</v>
      </c>
      <c r="Y169" s="115">
        <v>1</v>
      </c>
      <c r="Z169" s="115">
        <v>2</v>
      </c>
      <c r="AA169" s="115">
        <v>2</v>
      </c>
      <c r="AB169" s="115">
        <v>0</v>
      </c>
      <c r="AC169" s="115">
        <v>0</v>
      </c>
      <c r="AD169" s="115">
        <v>0</v>
      </c>
      <c r="AE169" s="115">
        <v>2</v>
      </c>
      <c r="AF169" s="115">
        <v>0</v>
      </c>
      <c r="AG169" s="115">
        <v>0</v>
      </c>
      <c r="AH169" s="115">
        <v>0</v>
      </c>
      <c r="AI169" s="115">
        <v>0</v>
      </c>
      <c r="AJ169" s="115">
        <v>0</v>
      </c>
      <c r="AK169" s="115">
        <v>0</v>
      </c>
      <c r="AL169" s="115">
        <v>0</v>
      </c>
      <c r="AM169" s="222">
        <v>17</v>
      </c>
      <c r="AN169" s="115">
        <v>3</v>
      </c>
    </row>
    <row r="170" spans="1:40" ht="16" x14ac:dyDescent="0.2">
      <c r="A170" s="175" t="s">
        <v>475</v>
      </c>
      <c r="B170" s="31">
        <v>1</v>
      </c>
      <c r="C170" s="31">
        <v>1</v>
      </c>
      <c r="D170" s="31">
        <v>1</v>
      </c>
      <c r="E170" s="115">
        <v>90</v>
      </c>
      <c r="F170" s="115">
        <v>2</v>
      </c>
      <c r="G170" s="115">
        <v>2</v>
      </c>
      <c r="H170" s="115">
        <v>2</v>
      </c>
      <c r="I170" s="115">
        <v>2</v>
      </c>
      <c r="J170" s="115">
        <v>2</v>
      </c>
      <c r="K170" s="115">
        <v>2</v>
      </c>
      <c r="L170" s="115">
        <v>2</v>
      </c>
      <c r="M170" s="115">
        <v>2</v>
      </c>
      <c r="N170" s="115">
        <v>2</v>
      </c>
      <c r="O170" s="115">
        <v>1</v>
      </c>
      <c r="P170" s="115">
        <v>1</v>
      </c>
      <c r="Q170" s="115">
        <v>1</v>
      </c>
      <c r="R170" s="115">
        <v>1</v>
      </c>
      <c r="S170" s="115">
        <v>3</v>
      </c>
      <c r="T170" s="115">
        <v>3</v>
      </c>
      <c r="U170" s="115">
        <v>2</v>
      </c>
      <c r="V170" s="115">
        <v>2</v>
      </c>
      <c r="W170" s="115">
        <v>3</v>
      </c>
      <c r="X170" s="115">
        <v>3</v>
      </c>
      <c r="Y170" s="115">
        <v>1</v>
      </c>
      <c r="Z170" s="115">
        <v>2</v>
      </c>
      <c r="AA170" s="115">
        <v>2</v>
      </c>
      <c r="AB170" s="115">
        <v>2</v>
      </c>
      <c r="AC170" s="115">
        <v>0</v>
      </c>
      <c r="AD170" s="115">
        <v>0</v>
      </c>
      <c r="AE170" s="115">
        <v>0</v>
      </c>
      <c r="AF170" s="115">
        <v>0</v>
      </c>
      <c r="AG170" s="115">
        <v>0</v>
      </c>
      <c r="AH170" s="115">
        <v>0</v>
      </c>
      <c r="AI170" s="115">
        <v>0</v>
      </c>
      <c r="AJ170" s="115">
        <v>0</v>
      </c>
      <c r="AK170" s="115">
        <v>0</v>
      </c>
      <c r="AL170" s="115">
        <v>0</v>
      </c>
      <c r="AM170" s="222">
        <v>45</v>
      </c>
      <c r="AN170" s="115">
        <v>3</v>
      </c>
    </row>
    <row r="171" spans="1:40" ht="16" x14ac:dyDescent="0.2">
      <c r="A171" s="168" t="s">
        <v>476</v>
      </c>
      <c r="B171" s="31">
        <v>1</v>
      </c>
      <c r="C171" s="31">
        <v>1</v>
      </c>
      <c r="D171" s="31">
        <v>1</v>
      </c>
      <c r="E171" s="115">
        <v>300</v>
      </c>
      <c r="F171" s="115">
        <v>1</v>
      </c>
      <c r="G171" s="115">
        <v>1</v>
      </c>
      <c r="H171" s="115">
        <v>2</v>
      </c>
      <c r="I171" s="115">
        <v>2</v>
      </c>
      <c r="J171" s="115">
        <v>2</v>
      </c>
      <c r="K171" s="115">
        <v>0</v>
      </c>
      <c r="L171" s="115">
        <v>0</v>
      </c>
      <c r="M171" s="115">
        <v>2</v>
      </c>
      <c r="N171" s="115">
        <v>1</v>
      </c>
      <c r="O171" s="115">
        <v>1</v>
      </c>
      <c r="P171" s="115">
        <v>0</v>
      </c>
      <c r="Q171" s="115">
        <v>0</v>
      </c>
      <c r="R171" s="115">
        <v>0</v>
      </c>
      <c r="S171" s="115">
        <v>0</v>
      </c>
      <c r="T171" s="115">
        <v>0</v>
      </c>
      <c r="U171" s="115">
        <v>0</v>
      </c>
      <c r="V171" s="115">
        <v>0</v>
      </c>
      <c r="W171" s="115">
        <v>0</v>
      </c>
      <c r="X171" s="115">
        <v>1</v>
      </c>
      <c r="Y171" s="115">
        <v>0</v>
      </c>
      <c r="Z171" s="115">
        <v>1</v>
      </c>
      <c r="AA171" s="115">
        <v>1</v>
      </c>
      <c r="AB171" s="115">
        <v>0</v>
      </c>
      <c r="AC171" s="115">
        <v>0</v>
      </c>
      <c r="AD171" s="115">
        <v>0</v>
      </c>
      <c r="AE171" s="115">
        <v>0</v>
      </c>
      <c r="AF171" s="115">
        <v>0</v>
      </c>
      <c r="AG171" s="115">
        <v>0</v>
      </c>
      <c r="AH171" s="115">
        <v>0</v>
      </c>
      <c r="AI171" s="115">
        <v>0</v>
      </c>
      <c r="AJ171" s="115">
        <v>0</v>
      </c>
      <c r="AK171" s="115">
        <v>1</v>
      </c>
      <c r="AL171" s="115">
        <v>0</v>
      </c>
      <c r="AM171" s="222">
        <v>16</v>
      </c>
      <c r="AN171" s="115">
        <v>2</v>
      </c>
    </row>
    <row r="172" spans="1:40" ht="16" x14ac:dyDescent="0.2">
      <c r="A172" s="168" t="s">
        <v>477</v>
      </c>
      <c r="B172" s="31">
        <v>1</v>
      </c>
      <c r="C172" s="31">
        <v>1</v>
      </c>
      <c r="D172" s="31">
        <v>1</v>
      </c>
      <c r="E172" s="404">
        <v>180</v>
      </c>
      <c r="F172" s="115">
        <v>1</v>
      </c>
      <c r="G172" s="115">
        <v>2</v>
      </c>
      <c r="H172" s="115">
        <v>1</v>
      </c>
      <c r="I172" s="115">
        <v>1</v>
      </c>
      <c r="J172" s="115">
        <v>1</v>
      </c>
      <c r="K172" s="115">
        <v>1</v>
      </c>
      <c r="L172" s="115">
        <v>1</v>
      </c>
      <c r="M172" s="115">
        <v>2</v>
      </c>
      <c r="N172" s="115">
        <v>2</v>
      </c>
      <c r="O172" s="115">
        <v>1</v>
      </c>
      <c r="P172" s="115">
        <v>1</v>
      </c>
      <c r="Q172" s="115">
        <v>0</v>
      </c>
      <c r="R172" s="115">
        <v>0</v>
      </c>
      <c r="S172" s="115">
        <v>1</v>
      </c>
      <c r="T172" s="115">
        <v>1</v>
      </c>
      <c r="U172" s="115">
        <v>0</v>
      </c>
      <c r="V172" s="115">
        <v>0</v>
      </c>
      <c r="W172" s="115">
        <v>0</v>
      </c>
      <c r="X172" s="115">
        <v>1</v>
      </c>
      <c r="Y172" s="115">
        <v>0</v>
      </c>
      <c r="Z172" s="115">
        <v>1</v>
      </c>
      <c r="AA172" s="115">
        <v>1</v>
      </c>
      <c r="AB172" s="115">
        <v>0</v>
      </c>
      <c r="AC172" s="115">
        <v>1</v>
      </c>
      <c r="AD172" s="115">
        <v>1</v>
      </c>
      <c r="AE172" s="115">
        <v>1</v>
      </c>
      <c r="AF172" s="115">
        <v>1</v>
      </c>
      <c r="AG172" s="115">
        <v>1</v>
      </c>
      <c r="AH172" s="115">
        <v>1</v>
      </c>
      <c r="AI172" s="115">
        <v>0</v>
      </c>
      <c r="AJ172" s="115">
        <v>0</v>
      </c>
      <c r="AK172" s="115">
        <v>0</v>
      </c>
      <c r="AL172" s="115">
        <v>1</v>
      </c>
      <c r="AM172" s="222">
        <v>26</v>
      </c>
      <c r="AN172" s="115">
        <v>2</v>
      </c>
    </row>
    <row r="173" spans="1:40" ht="16" x14ac:dyDescent="0.2">
      <c r="A173" s="168" t="s">
        <v>478</v>
      </c>
      <c r="B173" s="31">
        <v>1</v>
      </c>
      <c r="C173" s="31">
        <v>1</v>
      </c>
      <c r="D173" s="31">
        <v>1</v>
      </c>
      <c r="E173" s="163">
        <v>120</v>
      </c>
      <c r="F173" s="115">
        <v>3</v>
      </c>
      <c r="G173" s="115">
        <v>2</v>
      </c>
      <c r="H173" s="115">
        <v>3</v>
      </c>
      <c r="I173" s="115">
        <v>2</v>
      </c>
      <c r="J173" s="115">
        <v>2</v>
      </c>
      <c r="K173" s="115">
        <v>2</v>
      </c>
      <c r="L173" s="115">
        <v>2</v>
      </c>
      <c r="M173" s="115">
        <v>1</v>
      </c>
      <c r="N173" s="115">
        <v>1</v>
      </c>
      <c r="O173" s="115">
        <v>0</v>
      </c>
      <c r="P173" s="115">
        <v>0</v>
      </c>
      <c r="Q173" s="115">
        <v>0</v>
      </c>
      <c r="R173" s="115">
        <v>0</v>
      </c>
      <c r="S173" s="115">
        <v>2</v>
      </c>
      <c r="T173" s="115">
        <v>2</v>
      </c>
      <c r="U173" s="115">
        <v>2</v>
      </c>
      <c r="V173" s="115">
        <v>2</v>
      </c>
      <c r="W173" s="115">
        <v>2</v>
      </c>
      <c r="X173" s="115">
        <v>2</v>
      </c>
      <c r="Y173" s="115">
        <v>2</v>
      </c>
      <c r="Z173" s="115">
        <v>2</v>
      </c>
      <c r="AA173" s="115">
        <v>2</v>
      </c>
      <c r="AB173" s="115">
        <v>2</v>
      </c>
      <c r="AC173" s="115">
        <v>1</v>
      </c>
      <c r="AD173" s="115">
        <v>1</v>
      </c>
      <c r="AE173" s="115">
        <v>0</v>
      </c>
      <c r="AF173" s="115">
        <v>0</v>
      </c>
      <c r="AG173" s="115">
        <v>1</v>
      </c>
      <c r="AH173" s="115">
        <v>1</v>
      </c>
      <c r="AI173" s="115">
        <v>0</v>
      </c>
      <c r="AJ173" s="115">
        <v>0</v>
      </c>
      <c r="AK173" s="115">
        <v>0</v>
      </c>
      <c r="AL173" s="115">
        <v>1</v>
      </c>
      <c r="AM173" s="222">
        <v>43</v>
      </c>
      <c r="AN173" s="115">
        <v>3</v>
      </c>
    </row>
    <row r="174" spans="1:40" ht="16" x14ac:dyDescent="0.2">
      <c r="A174" s="168" t="s">
        <v>479</v>
      </c>
      <c r="B174" s="31">
        <v>1</v>
      </c>
      <c r="C174" s="31">
        <v>1</v>
      </c>
      <c r="D174" s="31">
        <v>1</v>
      </c>
      <c r="E174" s="404">
        <v>180</v>
      </c>
      <c r="F174" s="115">
        <v>2</v>
      </c>
      <c r="G174" s="115">
        <v>2</v>
      </c>
      <c r="H174" s="115">
        <v>1</v>
      </c>
      <c r="I174" s="115">
        <v>1</v>
      </c>
      <c r="J174" s="115">
        <v>1</v>
      </c>
      <c r="K174" s="115">
        <v>1</v>
      </c>
      <c r="L174" s="115">
        <v>1</v>
      </c>
      <c r="M174" s="115">
        <v>2</v>
      </c>
      <c r="N174" s="115">
        <v>2</v>
      </c>
      <c r="O174" s="115">
        <v>1</v>
      </c>
      <c r="P174" s="115">
        <v>1</v>
      </c>
      <c r="Q174" s="115">
        <v>1</v>
      </c>
      <c r="R174" s="115">
        <v>1</v>
      </c>
      <c r="S174" s="115">
        <v>2</v>
      </c>
      <c r="T174" s="115">
        <v>2</v>
      </c>
      <c r="U174" s="115">
        <v>2</v>
      </c>
      <c r="V174" s="115">
        <v>2</v>
      </c>
      <c r="W174" s="115">
        <v>2</v>
      </c>
      <c r="X174" s="115">
        <v>2</v>
      </c>
      <c r="Y174" s="115">
        <v>2</v>
      </c>
      <c r="Z174" s="115">
        <v>2</v>
      </c>
      <c r="AA174" s="115">
        <v>2</v>
      </c>
      <c r="AB174" s="115">
        <v>2</v>
      </c>
      <c r="AC174" s="115">
        <v>0</v>
      </c>
      <c r="AD174" s="115">
        <v>0</v>
      </c>
      <c r="AE174" s="115">
        <v>0</v>
      </c>
      <c r="AF174" s="115">
        <v>0</v>
      </c>
      <c r="AG174" s="115">
        <v>0</v>
      </c>
      <c r="AH174" s="115">
        <v>0</v>
      </c>
      <c r="AI174" s="115">
        <v>0</v>
      </c>
      <c r="AJ174" s="115">
        <v>0</v>
      </c>
      <c r="AK174" s="115">
        <v>0</v>
      </c>
      <c r="AL174" s="115">
        <v>0</v>
      </c>
      <c r="AM174" s="222">
        <v>37</v>
      </c>
      <c r="AN174" s="115">
        <v>3</v>
      </c>
    </row>
    <row r="175" spans="1:40" ht="16" x14ac:dyDescent="0.2">
      <c r="A175" s="168" t="s">
        <v>480</v>
      </c>
      <c r="B175" s="31">
        <v>1</v>
      </c>
      <c r="C175" s="31">
        <v>1</v>
      </c>
      <c r="D175" s="31">
        <v>1</v>
      </c>
      <c r="E175" s="163">
        <v>120</v>
      </c>
      <c r="F175" s="115">
        <v>1</v>
      </c>
      <c r="G175" s="115">
        <v>1</v>
      </c>
      <c r="H175" s="115">
        <v>1</v>
      </c>
      <c r="I175" s="115">
        <v>1</v>
      </c>
      <c r="J175" s="115">
        <v>1</v>
      </c>
      <c r="K175" s="115">
        <v>1</v>
      </c>
      <c r="L175" s="115">
        <v>1</v>
      </c>
      <c r="M175" s="115">
        <v>1</v>
      </c>
      <c r="N175" s="115">
        <v>1</v>
      </c>
      <c r="O175" s="115">
        <v>1</v>
      </c>
      <c r="P175" s="115">
        <v>1</v>
      </c>
      <c r="Q175" s="115">
        <v>1</v>
      </c>
      <c r="R175" s="115">
        <v>1</v>
      </c>
      <c r="S175" s="115">
        <v>1</v>
      </c>
      <c r="T175" s="115">
        <v>1</v>
      </c>
      <c r="U175" s="115">
        <v>1</v>
      </c>
      <c r="V175" s="115">
        <v>1</v>
      </c>
      <c r="W175" s="115">
        <v>1</v>
      </c>
      <c r="X175" s="115">
        <v>1</v>
      </c>
      <c r="Y175" s="115">
        <v>0</v>
      </c>
      <c r="Z175" s="115">
        <v>0</v>
      </c>
      <c r="AA175" s="115">
        <v>2</v>
      </c>
      <c r="AB175" s="115">
        <v>1</v>
      </c>
      <c r="AC175" s="115">
        <v>1</v>
      </c>
      <c r="AD175" s="115">
        <v>1</v>
      </c>
      <c r="AE175" s="115">
        <v>0</v>
      </c>
      <c r="AF175" s="115">
        <v>0</v>
      </c>
      <c r="AG175" s="115">
        <v>1</v>
      </c>
      <c r="AH175" s="115">
        <v>1</v>
      </c>
      <c r="AI175" s="115">
        <v>1</v>
      </c>
      <c r="AJ175" s="115">
        <v>1</v>
      </c>
      <c r="AK175" s="115">
        <v>0</v>
      </c>
      <c r="AL175" s="115">
        <v>0</v>
      </c>
      <c r="AM175" s="222">
        <v>28</v>
      </c>
      <c r="AN175" s="115">
        <v>2</v>
      </c>
    </row>
    <row r="176" spans="1:40" ht="16" x14ac:dyDescent="0.2">
      <c r="A176" s="168" t="s">
        <v>481</v>
      </c>
      <c r="B176" s="31">
        <v>1</v>
      </c>
      <c r="C176" s="31">
        <v>1</v>
      </c>
      <c r="D176" s="31">
        <v>1</v>
      </c>
      <c r="E176" s="163">
        <v>120</v>
      </c>
      <c r="F176" s="115">
        <v>2</v>
      </c>
      <c r="G176" s="115">
        <v>1</v>
      </c>
      <c r="H176" s="115">
        <v>1</v>
      </c>
      <c r="I176" s="115">
        <v>1</v>
      </c>
      <c r="J176" s="115">
        <v>1</v>
      </c>
      <c r="K176" s="115">
        <v>1</v>
      </c>
      <c r="L176" s="115">
        <v>1</v>
      </c>
      <c r="M176" s="115">
        <v>1</v>
      </c>
      <c r="N176" s="115">
        <v>1</v>
      </c>
      <c r="O176" s="115">
        <v>0</v>
      </c>
      <c r="P176" s="115">
        <v>0</v>
      </c>
      <c r="Q176" s="115">
        <v>0</v>
      </c>
      <c r="R176" s="115">
        <v>0</v>
      </c>
      <c r="S176" s="115">
        <v>1</v>
      </c>
      <c r="T176" s="115">
        <v>1</v>
      </c>
      <c r="U176" s="115">
        <v>1</v>
      </c>
      <c r="V176" s="115">
        <v>1</v>
      </c>
      <c r="W176" s="115">
        <v>1</v>
      </c>
      <c r="X176" s="115">
        <v>2</v>
      </c>
      <c r="Y176" s="115">
        <v>0</v>
      </c>
      <c r="Z176" s="115">
        <v>2</v>
      </c>
      <c r="AA176" s="115">
        <v>2</v>
      </c>
      <c r="AB176" s="115">
        <v>2</v>
      </c>
      <c r="AC176" s="115">
        <v>0</v>
      </c>
      <c r="AD176" s="115">
        <v>0</v>
      </c>
      <c r="AE176" s="115">
        <v>0</v>
      </c>
      <c r="AF176" s="115">
        <v>0</v>
      </c>
      <c r="AG176" s="115">
        <v>0</v>
      </c>
      <c r="AH176" s="115">
        <v>0</v>
      </c>
      <c r="AI176" s="115">
        <v>0</v>
      </c>
      <c r="AJ176" s="115">
        <v>0</v>
      </c>
      <c r="AK176" s="115">
        <v>0</v>
      </c>
      <c r="AL176" s="115">
        <v>0</v>
      </c>
      <c r="AM176" s="222">
        <v>23</v>
      </c>
      <c r="AN176" s="115">
        <v>2</v>
      </c>
    </row>
    <row r="177" spans="1:40" ht="16" x14ac:dyDescent="0.2">
      <c r="A177" s="168" t="s">
        <v>482</v>
      </c>
      <c r="B177" s="31">
        <v>1</v>
      </c>
      <c r="C177" s="31">
        <v>1</v>
      </c>
      <c r="D177" s="31">
        <v>1</v>
      </c>
      <c r="E177" s="163">
        <v>120</v>
      </c>
      <c r="F177" s="115">
        <v>0</v>
      </c>
      <c r="G177" s="115">
        <v>0</v>
      </c>
      <c r="H177" s="115">
        <v>0</v>
      </c>
      <c r="I177" s="115">
        <v>1</v>
      </c>
      <c r="J177" s="115">
        <v>1</v>
      </c>
      <c r="K177" s="115">
        <v>1</v>
      </c>
      <c r="L177" s="115">
        <v>1</v>
      </c>
      <c r="M177" s="115">
        <v>0</v>
      </c>
      <c r="N177" s="115">
        <v>0</v>
      </c>
      <c r="O177" s="115">
        <v>0</v>
      </c>
      <c r="P177" s="115">
        <v>0</v>
      </c>
      <c r="Q177" s="115">
        <v>0</v>
      </c>
      <c r="R177" s="115">
        <v>0</v>
      </c>
      <c r="S177" s="115">
        <v>1</v>
      </c>
      <c r="T177" s="115">
        <v>1</v>
      </c>
      <c r="U177" s="115">
        <v>0</v>
      </c>
      <c r="V177" s="115">
        <v>0</v>
      </c>
      <c r="W177" s="115">
        <v>0</v>
      </c>
      <c r="X177" s="115">
        <v>1</v>
      </c>
      <c r="Y177" s="115">
        <v>0</v>
      </c>
      <c r="Z177" s="115">
        <v>0</v>
      </c>
      <c r="AA177" s="115">
        <v>1</v>
      </c>
      <c r="AB177" s="115">
        <v>1</v>
      </c>
      <c r="AC177" s="115">
        <v>0</v>
      </c>
      <c r="AD177" s="115">
        <v>0</v>
      </c>
      <c r="AE177" s="115">
        <v>0</v>
      </c>
      <c r="AF177" s="115">
        <v>1</v>
      </c>
      <c r="AG177" s="115">
        <v>0</v>
      </c>
      <c r="AH177" s="115">
        <v>0</v>
      </c>
      <c r="AI177" s="115">
        <v>0</v>
      </c>
      <c r="AJ177" s="115">
        <v>0</v>
      </c>
      <c r="AK177" s="115">
        <v>0</v>
      </c>
      <c r="AL177" s="115">
        <v>0</v>
      </c>
      <c r="AM177" s="230">
        <v>10</v>
      </c>
      <c r="AN177" s="115">
        <v>1</v>
      </c>
    </row>
    <row r="178" spans="1:40" ht="16" x14ac:dyDescent="0.2">
      <c r="A178" s="168" t="s">
        <v>483</v>
      </c>
      <c r="B178" s="31">
        <v>1</v>
      </c>
      <c r="C178" s="31">
        <v>1</v>
      </c>
      <c r="D178" s="31">
        <v>1</v>
      </c>
      <c r="E178" s="163">
        <v>30</v>
      </c>
      <c r="F178" s="115">
        <v>1</v>
      </c>
      <c r="G178" s="115">
        <v>1</v>
      </c>
      <c r="H178" s="115">
        <v>1</v>
      </c>
      <c r="I178" s="115">
        <v>1</v>
      </c>
      <c r="J178" s="115">
        <v>1</v>
      </c>
      <c r="K178" s="115">
        <v>1</v>
      </c>
      <c r="L178" s="115">
        <v>1</v>
      </c>
      <c r="M178" s="115">
        <v>2</v>
      </c>
      <c r="N178" s="115">
        <v>2</v>
      </c>
      <c r="O178" s="115">
        <v>1</v>
      </c>
      <c r="P178" s="115">
        <v>1</v>
      </c>
      <c r="Q178" s="115">
        <v>0</v>
      </c>
      <c r="R178" s="115">
        <v>0</v>
      </c>
      <c r="S178" s="115">
        <v>1</v>
      </c>
      <c r="T178" s="115">
        <v>1</v>
      </c>
      <c r="U178" s="115">
        <v>1</v>
      </c>
      <c r="V178" s="115">
        <v>1</v>
      </c>
      <c r="W178" s="115">
        <v>1</v>
      </c>
      <c r="X178" s="115">
        <v>1</v>
      </c>
      <c r="Y178" s="115">
        <v>0</v>
      </c>
      <c r="Z178" s="115">
        <v>1</v>
      </c>
      <c r="AA178" s="115">
        <v>1</v>
      </c>
      <c r="AB178" s="115">
        <v>1</v>
      </c>
      <c r="AC178" s="115">
        <v>0</v>
      </c>
      <c r="AD178" s="115">
        <v>0</v>
      </c>
      <c r="AE178" s="115">
        <v>0</v>
      </c>
      <c r="AF178" s="115">
        <v>0</v>
      </c>
      <c r="AG178" s="115">
        <v>0</v>
      </c>
      <c r="AH178" s="115">
        <v>0</v>
      </c>
      <c r="AI178" s="115">
        <v>0</v>
      </c>
      <c r="AJ178" s="115">
        <v>0</v>
      </c>
      <c r="AK178" s="115">
        <v>0</v>
      </c>
      <c r="AL178" s="115">
        <v>0</v>
      </c>
      <c r="AM178" s="222">
        <v>22</v>
      </c>
      <c r="AN178" s="115">
        <v>2</v>
      </c>
    </row>
    <row r="179" spans="1:40" ht="16" x14ac:dyDescent="0.2">
      <c r="A179" s="168" t="s">
        <v>484</v>
      </c>
      <c r="B179" s="31">
        <v>1</v>
      </c>
      <c r="C179" s="31">
        <v>1</v>
      </c>
      <c r="D179" s="31">
        <v>1</v>
      </c>
      <c r="E179" s="163">
        <v>120</v>
      </c>
      <c r="F179" s="115">
        <v>1</v>
      </c>
      <c r="G179" s="115">
        <v>1</v>
      </c>
      <c r="H179" s="115">
        <v>1</v>
      </c>
      <c r="I179" s="115">
        <v>1</v>
      </c>
      <c r="J179" s="115">
        <v>1</v>
      </c>
      <c r="K179" s="115">
        <v>2</v>
      </c>
      <c r="L179" s="115">
        <v>2</v>
      </c>
      <c r="M179" s="115">
        <v>1</v>
      </c>
      <c r="N179" s="115">
        <v>1</v>
      </c>
      <c r="O179" s="115">
        <v>1</v>
      </c>
      <c r="P179" s="115">
        <v>1</v>
      </c>
      <c r="Q179" s="115">
        <v>0</v>
      </c>
      <c r="R179" s="115">
        <v>0</v>
      </c>
      <c r="S179" s="115">
        <v>1</v>
      </c>
      <c r="T179" s="115">
        <v>1</v>
      </c>
      <c r="U179" s="115">
        <v>1</v>
      </c>
      <c r="V179" s="115">
        <v>1</v>
      </c>
      <c r="W179" s="115">
        <v>2</v>
      </c>
      <c r="X179" s="115">
        <v>2</v>
      </c>
      <c r="Y179" s="115">
        <v>0</v>
      </c>
      <c r="Z179" s="115">
        <v>1</v>
      </c>
      <c r="AA179" s="115">
        <v>1</v>
      </c>
      <c r="AB179" s="115">
        <v>1</v>
      </c>
      <c r="AC179" s="115">
        <v>0</v>
      </c>
      <c r="AD179" s="115">
        <v>1</v>
      </c>
      <c r="AE179" s="115">
        <v>0</v>
      </c>
      <c r="AF179" s="115">
        <v>1</v>
      </c>
      <c r="AG179" s="115">
        <v>0</v>
      </c>
      <c r="AH179" s="115">
        <v>1</v>
      </c>
      <c r="AI179" s="115">
        <v>0</v>
      </c>
      <c r="AJ179" s="115">
        <v>0</v>
      </c>
      <c r="AK179" s="115">
        <v>0</v>
      </c>
      <c r="AL179" s="115">
        <v>1</v>
      </c>
      <c r="AM179" s="222">
        <v>28</v>
      </c>
      <c r="AN179" s="115">
        <v>2</v>
      </c>
    </row>
    <row r="180" spans="1:40" ht="16" x14ac:dyDescent="0.2">
      <c r="A180" s="168" t="s">
        <v>485</v>
      </c>
      <c r="B180" s="31">
        <v>1</v>
      </c>
      <c r="C180" s="31">
        <v>1</v>
      </c>
      <c r="D180" s="31">
        <v>1</v>
      </c>
      <c r="E180" s="404">
        <v>180</v>
      </c>
      <c r="F180" s="115">
        <v>1</v>
      </c>
      <c r="G180" s="115">
        <v>1</v>
      </c>
      <c r="H180" s="115">
        <v>1</v>
      </c>
      <c r="I180" s="115">
        <v>1</v>
      </c>
      <c r="J180" s="115">
        <v>1</v>
      </c>
      <c r="K180" s="115">
        <v>1</v>
      </c>
      <c r="L180" s="115">
        <v>1</v>
      </c>
      <c r="M180" s="115">
        <v>1</v>
      </c>
      <c r="N180" s="115">
        <v>1</v>
      </c>
      <c r="O180" s="115">
        <v>0</v>
      </c>
      <c r="P180" s="115">
        <v>0</v>
      </c>
      <c r="Q180" s="115">
        <v>0</v>
      </c>
      <c r="R180" s="115">
        <v>0</v>
      </c>
      <c r="S180" s="115">
        <v>1</v>
      </c>
      <c r="T180" s="115">
        <v>1</v>
      </c>
      <c r="U180" s="115">
        <v>0</v>
      </c>
      <c r="V180" s="115">
        <v>0</v>
      </c>
      <c r="W180" s="115">
        <v>1</v>
      </c>
      <c r="X180" s="115">
        <v>1</v>
      </c>
      <c r="Y180" s="115">
        <v>1</v>
      </c>
      <c r="Z180" s="115">
        <v>1</v>
      </c>
      <c r="AA180" s="115">
        <v>1</v>
      </c>
      <c r="AB180" s="115">
        <v>1</v>
      </c>
      <c r="AC180" s="115">
        <v>0</v>
      </c>
      <c r="AD180" s="115">
        <v>1</v>
      </c>
      <c r="AE180" s="115">
        <v>0</v>
      </c>
      <c r="AF180" s="115">
        <v>1</v>
      </c>
      <c r="AG180" s="115">
        <v>0</v>
      </c>
      <c r="AH180" s="115">
        <v>0</v>
      </c>
      <c r="AI180" s="115">
        <v>0</v>
      </c>
      <c r="AJ180" s="115">
        <v>0</v>
      </c>
      <c r="AK180" s="115">
        <v>0</v>
      </c>
      <c r="AL180" s="115">
        <v>1</v>
      </c>
      <c r="AM180" s="222">
        <v>20</v>
      </c>
      <c r="AN180" s="115">
        <v>2</v>
      </c>
    </row>
    <row r="181" spans="1:40" ht="16" x14ac:dyDescent="0.2">
      <c r="A181" s="168" t="s">
        <v>486</v>
      </c>
      <c r="B181" s="31">
        <v>1</v>
      </c>
      <c r="C181" s="31">
        <v>1</v>
      </c>
      <c r="D181" s="31">
        <v>1</v>
      </c>
      <c r="E181" s="163">
        <v>120</v>
      </c>
      <c r="F181" s="115">
        <v>1</v>
      </c>
      <c r="G181" s="115">
        <v>1</v>
      </c>
      <c r="H181" s="115">
        <v>3</v>
      </c>
      <c r="I181" s="115">
        <v>0</v>
      </c>
      <c r="J181" s="115">
        <v>0</v>
      </c>
      <c r="K181" s="115">
        <v>0</v>
      </c>
      <c r="L181" s="115">
        <v>0</v>
      </c>
      <c r="M181" s="115">
        <v>1</v>
      </c>
      <c r="N181" s="115">
        <v>1</v>
      </c>
      <c r="O181" s="115">
        <v>1</v>
      </c>
      <c r="P181" s="115">
        <v>1</v>
      </c>
      <c r="Q181" s="115">
        <v>1</v>
      </c>
      <c r="R181" s="115">
        <v>1</v>
      </c>
      <c r="S181" s="115">
        <v>1</v>
      </c>
      <c r="T181" s="115">
        <v>1</v>
      </c>
      <c r="U181" s="115">
        <v>1</v>
      </c>
      <c r="V181" s="115">
        <v>1</v>
      </c>
      <c r="W181" s="115">
        <v>3</v>
      </c>
      <c r="X181" s="115">
        <v>2</v>
      </c>
      <c r="Y181" s="115">
        <v>1</v>
      </c>
      <c r="Z181" s="115">
        <v>2</v>
      </c>
      <c r="AA181" s="115">
        <v>3</v>
      </c>
      <c r="AB181" s="115">
        <v>2</v>
      </c>
      <c r="AC181" s="115">
        <v>0</v>
      </c>
      <c r="AD181" s="115">
        <v>0</v>
      </c>
      <c r="AE181" s="115">
        <v>0</v>
      </c>
      <c r="AF181" s="115">
        <v>0</v>
      </c>
      <c r="AG181" s="115">
        <v>0</v>
      </c>
      <c r="AH181" s="115">
        <v>0</v>
      </c>
      <c r="AI181" s="115">
        <v>0</v>
      </c>
      <c r="AJ181" s="115">
        <v>0</v>
      </c>
      <c r="AK181" s="115">
        <v>0</v>
      </c>
      <c r="AL181" s="115">
        <v>0</v>
      </c>
      <c r="AM181" s="222">
        <v>28</v>
      </c>
      <c r="AN181" s="115">
        <v>3</v>
      </c>
    </row>
    <row r="182" spans="1:40" ht="16" x14ac:dyDescent="0.2">
      <c r="A182" s="168" t="s">
        <v>487</v>
      </c>
      <c r="B182" s="31">
        <v>1</v>
      </c>
      <c r="C182" s="31">
        <v>1</v>
      </c>
      <c r="D182" s="31">
        <v>1</v>
      </c>
      <c r="E182" s="163">
        <v>120</v>
      </c>
      <c r="F182" s="154">
        <v>1</v>
      </c>
      <c r="G182" s="154">
        <v>2</v>
      </c>
      <c r="H182" s="154">
        <v>1</v>
      </c>
      <c r="I182" s="154">
        <v>0</v>
      </c>
      <c r="J182" s="154">
        <v>0</v>
      </c>
      <c r="K182" s="154">
        <v>0</v>
      </c>
      <c r="L182" s="154">
        <v>0</v>
      </c>
      <c r="M182" s="154">
        <v>1</v>
      </c>
      <c r="N182" s="154">
        <v>1</v>
      </c>
      <c r="O182" s="154">
        <v>1</v>
      </c>
      <c r="P182" s="154">
        <v>1</v>
      </c>
      <c r="Q182" s="154">
        <v>1</v>
      </c>
      <c r="R182" s="154">
        <v>1</v>
      </c>
      <c r="S182" s="154">
        <v>1</v>
      </c>
      <c r="T182" s="154">
        <v>1</v>
      </c>
      <c r="U182" s="154">
        <v>2</v>
      </c>
      <c r="V182" s="154">
        <v>2</v>
      </c>
      <c r="W182" s="154">
        <v>2</v>
      </c>
      <c r="X182" s="154">
        <v>3</v>
      </c>
      <c r="Y182" s="154">
        <v>0</v>
      </c>
      <c r="Z182" s="154">
        <v>3</v>
      </c>
      <c r="AA182" s="154">
        <v>3</v>
      </c>
      <c r="AB182" s="154">
        <v>2</v>
      </c>
      <c r="AC182" s="154">
        <v>0</v>
      </c>
      <c r="AD182" s="154">
        <v>0</v>
      </c>
      <c r="AE182" s="154">
        <v>0</v>
      </c>
      <c r="AF182" s="154">
        <v>0</v>
      </c>
      <c r="AG182" s="154">
        <v>0</v>
      </c>
      <c r="AH182" s="154">
        <v>0</v>
      </c>
      <c r="AI182" s="154">
        <v>0</v>
      </c>
      <c r="AJ182" s="154">
        <v>0</v>
      </c>
      <c r="AK182" s="154">
        <v>0</v>
      </c>
      <c r="AL182" s="154">
        <v>0</v>
      </c>
      <c r="AM182" s="229">
        <v>29</v>
      </c>
      <c r="AN182" s="154">
        <v>2</v>
      </c>
    </row>
    <row r="183" spans="1:40" ht="16" x14ac:dyDescent="0.2">
      <c r="A183" s="168" t="s">
        <v>488</v>
      </c>
      <c r="B183" s="31">
        <v>1</v>
      </c>
      <c r="C183" s="31">
        <v>1</v>
      </c>
      <c r="D183" s="31">
        <v>1</v>
      </c>
      <c r="E183" s="167">
        <v>60</v>
      </c>
      <c r="F183" s="167">
        <v>1</v>
      </c>
      <c r="G183" s="167">
        <v>1</v>
      </c>
      <c r="H183" s="167">
        <v>1</v>
      </c>
      <c r="I183" s="167">
        <v>0</v>
      </c>
      <c r="J183" s="167">
        <v>0</v>
      </c>
      <c r="K183" s="167">
        <v>0</v>
      </c>
      <c r="L183" s="167">
        <v>0</v>
      </c>
      <c r="M183" s="167">
        <v>1</v>
      </c>
      <c r="N183" s="167">
        <v>1</v>
      </c>
      <c r="O183" s="167">
        <v>1</v>
      </c>
      <c r="P183" s="167">
        <v>1</v>
      </c>
      <c r="Q183" s="167">
        <v>1</v>
      </c>
      <c r="R183" s="167">
        <v>1</v>
      </c>
      <c r="S183" s="167">
        <v>1</v>
      </c>
      <c r="T183" s="167">
        <v>1</v>
      </c>
      <c r="U183" s="167">
        <v>1</v>
      </c>
      <c r="V183" s="167">
        <v>1</v>
      </c>
      <c r="W183" s="167">
        <v>2</v>
      </c>
      <c r="X183" s="167">
        <v>1</v>
      </c>
      <c r="Y183" s="167">
        <v>1</v>
      </c>
      <c r="Z183" s="167">
        <v>2</v>
      </c>
      <c r="AA183" s="167">
        <v>3</v>
      </c>
      <c r="AB183" s="167">
        <v>2</v>
      </c>
      <c r="AC183" s="167">
        <v>0</v>
      </c>
      <c r="AD183" s="167">
        <v>0</v>
      </c>
      <c r="AE183" s="167">
        <v>0</v>
      </c>
      <c r="AF183" s="167">
        <v>0</v>
      </c>
      <c r="AG183" s="167">
        <v>0</v>
      </c>
      <c r="AH183" s="167">
        <v>0</v>
      </c>
      <c r="AI183" s="167">
        <v>0</v>
      </c>
      <c r="AJ183" s="167">
        <v>0</v>
      </c>
      <c r="AK183" s="167">
        <v>0</v>
      </c>
      <c r="AL183" s="167">
        <v>0</v>
      </c>
      <c r="AM183" s="145">
        <v>24</v>
      </c>
      <c r="AN183" s="167">
        <v>2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AE2-BD4D-3F41-A80E-811784471223}">
  <dimension ref="A1:H183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9.1640625" bestFit="1" customWidth="1"/>
  </cols>
  <sheetData>
    <row r="1" spans="1:8" s="12" customFormat="1" ht="32" x14ac:dyDescent="0.2">
      <c r="A1" s="328" t="s">
        <v>497</v>
      </c>
      <c r="B1" s="7" t="s">
        <v>139</v>
      </c>
      <c r="C1" s="7" t="s">
        <v>140</v>
      </c>
      <c r="D1" s="7" t="s">
        <v>141</v>
      </c>
      <c r="E1" s="7" t="s">
        <v>142</v>
      </c>
      <c r="F1" s="7" t="s">
        <v>143</v>
      </c>
      <c r="G1" s="7" t="s">
        <v>144</v>
      </c>
      <c r="H1" s="329" t="s">
        <v>73</v>
      </c>
    </row>
    <row r="2" spans="1:8" ht="16" x14ac:dyDescent="0.2">
      <c r="A2" s="342" t="s">
        <v>497</v>
      </c>
      <c r="B2" s="343" t="str">
        <f>_xlfn.XLOOKUP(B1,MDS_4[Pregunta],MDS_4[ITEM_CODE],"XXXXXX")</f>
        <v>Q4_1</v>
      </c>
      <c r="C2" s="343" t="str">
        <f>_xlfn.XLOOKUP(C1,MDS_4[Pregunta],MDS_4[ITEM_CODE],"XXXXXX")</f>
        <v>Q4_2</v>
      </c>
      <c r="D2" s="343" t="str">
        <f>_xlfn.XLOOKUP(D1,MDS_4[Pregunta],MDS_4[ITEM_CODE],"XXXXXX")</f>
        <v>Q4_3</v>
      </c>
      <c r="E2" s="343" t="str">
        <f>_xlfn.XLOOKUP(E1,MDS_4[Pregunta],MDS_4[ITEM_CODE],"XXXXXX")</f>
        <v>Q4_4</v>
      </c>
      <c r="F2" s="343" t="str">
        <f>_xlfn.XLOOKUP(F1,MDS_4[Pregunta],MDS_4[ITEM_CODE],"XXXXXX")</f>
        <v>Q4_5</v>
      </c>
      <c r="G2" s="343" t="str">
        <f>_xlfn.XLOOKUP(G1,MDS_4[Pregunta],MDS_4[ITEM_CODE],"XXXXXX")</f>
        <v>Q4_6</v>
      </c>
      <c r="H2" s="343" t="s">
        <v>788</v>
      </c>
    </row>
    <row r="3" spans="1:8" s="6" customFormat="1" x14ac:dyDescent="0.2">
      <c r="A3" s="112" t="s">
        <v>297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f>SUM(B3:G3)</f>
        <v>0</v>
      </c>
    </row>
    <row r="4" spans="1:8" x14ac:dyDescent="0.2">
      <c r="A4" s="112" t="s">
        <v>298</v>
      </c>
      <c r="B4" s="31">
        <v>0</v>
      </c>
      <c r="C4" s="31">
        <v>0</v>
      </c>
      <c r="D4" s="31">
        <v>0</v>
      </c>
      <c r="E4" s="31">
        <v>0</v>
      </c>
      <c r="F4" s="31">
        <v>0</v>
      </c>
      <c r="G4" s="31">
        <v>0</v>
      </c>
      <c r="H4" s="31">
        <f t="shared" ref="H4:H23" si="0">SUM(B4:G4)</f>
        <v>0</v>
      </c>
    </row>
    <row r="5" spans="1:8" x14ac:dyDescent="0.2">
      <c r="A5" s="112" t="s">
        <v>299</v>
      </c>
      <c r="B5" s="31">
        <v>0</v>
      </c>
      <c r="C5" s="31">
        <v>0</v>
      </c>
      <c r="D5" s="31">
        <v>0</v>
      </c>
      <c r="E5" s="31">
        <v>0</v>
      </c>
      <c r="F5" s="31">
        <v>0</v>
      </c>
      <c r="G5" s="31">
        <v>0</v>
      </c>
      <c r="H5" s="31">
        <f t="shared" si="0"/>
        <v>0</v>
      </c>
    </row>
    <row r="6" spans="1:8" x14ac:dyDescent="0.2">
      <c r="A6" s="112" t="s">
        <v>300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f t="shared" si="0"/>
        <v>0</v>
      </c>
    </row>
    <row r="7" spans="1:8" x14ac:dyDescent="0.2">
      <c r="A7" s="112" t="s">
        <v>301</v>
      </c>
      <c r="B7" s="31">
        <v>1</v>
      </c>
      <c r="C7" s="31">
        <v>1</v>
      </c>
      <c r="D7" s="31">
        <v>3</v>
      </c>
      <c r="E7" s="31">
        <v>3</v>
      </c>
      <c r="F7" s="31">
        <v>2</v>
      </c>
      <c r="G7" s="31">
        <v>0</v>
      </c>
      <c r="H7" s="31">
        <f t="shared" si="0"/>
        <v>10</v>
      </c>
    </row>
    <row r="8" spans="1:8" x14ac:dyDescent="0.2">
      <c r="A8" s="112" t="s">
        <v>302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f t="shared" si="0"/>
        <v>0</v>
      </c>
    </row>
    <row r="9" spans="1:8" x14ac:dyDescent="0.2">
      <c r="A9" s="112" t="s">
        <v>303</v>
      </c>
      <c r="B9" s="31">
        <v>1</v>
      </c>
      <c r="C9" s="31">
        <v>0</v>
      </c>
      <c r="D9" s="31">
        <v>1</v>
      </c>
      <c r="E9" s="31">
        <v>3</v>
      </c>
      <c r="F9" s="31">
        <v>1</v>
      </c>
      <c r="G9" s="31">
        <v>1</v>
      </c>
      <c r="H9" s="31">
        <f t="shared" si="0"/>
        <v>7</v>
      </c>
    </row>
    <row r="10" spans="1:8" x14ac:dyDescent="0.2">
      <c r="A10" s="112" t="s">
        <v>304</v>
      </c>
      <c r="B10" s="31">
        <v>0</v>
      </c>
      <c r="C10" s="31">
        <v>0</v>
      </c>
      <c r="D10" s="31">
        <v>0</v>
      </c>
      <c r="E10" s="31">
        <v>0</v>
      </c>
      <c r="F10" s="31">
        <v>0</v>
      </c>
      <c r="G10" s="31">
        <v>0</v>
      </c>
      <c r="H10" s="31">
        <f t="shared" si="0"/>
        <v>0</v>
      </c>
    </row>
    <row r="11" spans="1:8" x14ac:dyDescent="0.2">
      <c r="A11" s="112" t="s">
        <v>305</v>
      </c>
      <c r="B11" s="31">
        <v>3</v>
      </c>
      <c r="C11" s="31">
        <v>3</v>
      </c>
      <c r="D11" s="31">
        <v>2</v>
      </c>
      <c r="E11" s="31">
        <v>3</v>
      </c>
      <c r="F11" s="31">
        <v>2</v>
      </c>
      <c r="G11" s="31">
        <v>2</v>
      </c>
      <c r="H11" s="31">
        <f t="shared" si="0"/>
        <v>15</v>
      </c>
    </row>
    <row r="12" spans="1:8" x14ac:dyDescent="0.2">
      <c r="A12" s="112" t="s">
        <v>306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  <c r="G12" s="31">
        <v>0</v>
      </c>
      <c r="H12" s="31">
        <f t="shared" si="0"/>
        <v>0</v>
      </c>
    </row>
    <row r="13" spans="1:8" x14ac:dyDescent="0.2">
      <c r="A13" s="112" t="s">
        <v>307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  <c r="G13" s="31">
        <v>0</v>
      </c>
      <c r="H13" s="31">
        <f t="shared" si="0"/>
        <v>0</v>
      </c>
    </row>
    <row r="14" spans="1:8" x14ac:dyDescent="0.2">
      <c r="A14" s="112" t="s">
        <v>308</v>
      </c>
      <c r="B14" s="31">
        <v>0</v>
      </c>
      <c r="C14" s="31">
        <v>0</v>
      </c>
      <c r="D14" s="31">
        <v>0</v>
      </c>
      <c r="E14" s="31">
        <v>0</v>
      </c>
      <c r="F14" s="31">
        <v>0</v>
      </c>
      <c r="G14" s="31">
        <v>0</v>
      </c>
      <c r="H14" s="31">
        <f t="shared" si="0"/>
        <v>0</v>
      </c>
    </row>
    <row r="15" spans="1:8" x14ac:dyDescent="0.2">
      <c r="A15" s="112" t="s">
        <v>309</v>
      </c>
      <c r="B15" s="31">
        <v>0</v>
      </c>
      <c r="C15" s="31">
        <v>0</v>
      </c>
      <c r="D15" s="31">
        <v>0</v>
      </c>
      <c r="E15" s="31">
        <v>0</v>
      </c>
      <c r="F15" s="31">
        <v>0</v>
      </c>
      <c r="G15" s="31">
        <v>0</v>
      </c>
      <c r="H15" s="31">
        <f t="shared" si="0"/>
        <v>0</v>
      </c>
    </row>
    <row r="16" spans="1:8" x14ac:dyDescent="0.2">
      <c r="A16" s="112" t="s">
        <v>310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1">
        <f t="shared" si="0"/>
        <v>0</v>
      </c>
    </row>
    <row r="17" spans="1:8" x14ac:dyDescent="0.2">
      <c r="A17" s="112" t="s">
        <v>311</v>
      </c>
      <c r="B17" s="31">
        <v>0</v>
      </c>
      <c r="C17" s="31">
        <v>0</v>
      </c>
      <c r="D17" s="31">
        <v>1</v>
      </c>
      <c r="E17" s="31">
        <v>2</v>
      </c>
      <c r="F17" s="31">
        <v>1</v>
      </c>
      <c r="G17" s="31">
        <v>0</v>
      </c>
      <c r="H17" s="31">
        <f t="shared" si="0"/>
        <v>4</v>
      </c>
    </row>
    <row r="18" spans="1:8" x14ac:dyDescent="0.2">
      <c r="A18" s="112" t="s">
        <v>312</v>
      </c>
      <c r="B18" s="31">
        <v>1</v>
      </c>
      <c r="C18" s="31">
        <v>1</v>
      </c>
      <c r="D18" s="31">
        <v>1</v>
      </c>
      <c r="E18" s="31">
        <v>2</v>
      </c>
      <c r="F18" s="31">
        <v>1</v>
      </c>
      <c r="G18" s="31">
        <v>1</v>
      </c>
      <c r="H18" s="31">
        <f t="shared" si="0"/>
        <v>7</v>
      </c>
    </row>
    <row r="19" spans="1:8" x14ac:dyDescent="0.2">
      <c r="A19" s="112" t="s">
        <v>313</v>
      </c>
      <c r="B19" s="31">
        <v>1</v>
      </c>
      <c r="C19" s="31">
        <v>1</v>
      </c>
      <c r="D19" s="31">
        <v>1</v>
      </c>
      <c r="E19" s="31">
        <v>1</v>
      </c>
      <c r="F19" s="31">
        <v>1</v>
      </c>
      <c r="G19" s="31">
        <v>0</v>
      </c>
      <c r="H19" s="31">
        <f t="shared" si="0"/>
        <v>5</v>
      </c>
    </row>
    <row r="20" spans="1:8" x14ac:dyDescent="0.2">
      <c r="A20" s="112" t="s">
        <v>314</v>
      </c>
      <c r="B20" s="31">
        <v>1</v>
      </c>
      <c r="C20" s="31">
        <v>1</v>
      </c>
      <c r="D20" s="31">
        <v>0</v>
      </c>
      <c r="E20" s="31">
        <v>0</v>
      </c>
      <c r="F20" s="31">
        <v>0</v>
      </c>
      <c r="G20" s="31">
        <v>2</v>
      </c>
      <c r="H20" s="31">
        <f t="shared" si="0"/>
        <v>4</v>
      </c>
    </row>
    <row r="21" spans="1:8" x14ac:dyDescent="0.2">
      <c r="A21" s="112" t="s">
        <v>315</v>
      </c>
      <c r="B21" s="31">
        <v>3</v>
      </c>
      <c r="C21" s="31">
        <v>3</v>
      </c>
      <c r="D21" s="31">
        <v>1</v>
      </c>
      <c r="E21" s="31">
        <v>1</v>
      </c>
      <c r="F21" s="31">
        <v>1</v>
      </c>
      <c r="G21" s="31">
        <v>0</v>
      </c>
      <c r="H21" s="31">
        <f t="shared" si="0"/>
        <v>9</v>
      </c>
    </row>
    <row r="22" spans="1:8" x14ac:dyDescent="0.2">
      <c r="A22" s="112" t="s">
        <v>316</v>
      </c>
      <c r="B22" s="31">
        <v>0</v>
      </c>
      <c r="C22" s="31">
        <v>0</v>
      </c>
      <c r="D22" s="31">
        <v>2</v>
      </c>
      <c r="E22" s="31">
        <v>2</v>
      </c>
      <c r="F22" s="31">
        <v>2</v>
      </c>
      <c r="G22" s="31">
        <v>0</v>
      </c>
      <c r="H22" s="31">
        <f t="shared" si="0"/>
        <v>6</v>
      </c>
    </row>
    <row r="23" spans="1:8" x14ac:dyDescent="0.2">
      <c r="A23" s="112" t="s">
        <v>317</v>
      </c>
      <c r="B23" s="31">
        <v>0</v>
      </c>
      <c r="C23" s="31">
        <v>0</v>
      </c>
      <c r="D23" s="31">
        <v>0</v>
      </c>
      <c r="E23" s="31">
        <v>0</v>
      </c>
      <c r="F23" s="31">
        <v>0</v>
      </c>
      <c r="G23" s="31">
        <v>0</v>
      </c>
      <c r="H23" s="31">
        <f t="shared" si="0"/>
        <v>0</v>
      </c>
    </row>
    <row r="24" spans="1:8" x14ac:dyDescent="0.2">
      <c r="A24" s="112" t="s">
        <v>318</v>
      </c>
      <c r="B24" s="31">
        <v>0</v>
      </c>
      <c r="C24" s="31">
        <v>0</v>
      </c>
      <c r="D24" s="31">
        <v>0</v>
      </c>
      <c r="E24" s="31">
        <v>0</v>
      </c>
      <c r="F24" s="31">
        <v>0</v>
      </c>
      <c r="G24" s="31">
        <v>0</v>
      </c>
      <c r="H24" s="31">
        <f>SUM(B24:G24)</f>
        <v>0</v>
      </c>
    </row>
    <row r="25" spans="1:8" x14ac:dyDescent="0.2">
      <c r="A25" s="112" t="s">
        <v>319</v>
      </c>
      <c r="B25" s="31">
        <v>0</v>
      </c>
      <c r="C25" s="31">
        <v>0</v>
      </c>
      <c r="D25" s="31">
        <v>0</v>
      </c>
      <c r="E25" s="31">
        <v>1</v>
      </c>
      <c r="F25" s="31">
        <v>1</v>
      </c>
      <c r="G25" s="31">
        <v>1</v>
      </c>
      <c r="H25" s="31">
        <f>SUM(B25:G25)</f>
        <v>3</v>
      </c>
    </row>
    <row r="26" spans="1:8" x14ac:dyDescent="0.2">
      <c r="A26" s="112" t="s">
        <v>489</v>
      </c>
      <c r="B26" s="31">
        <v>3</v>
      </c>
      <c r="C26" s="31">
        <v>2</v>
      </c>
      <c r="D26" s="31">
        <v>1</v>
      </c>
      <c r="E26" s="31">
        <v>2</v>
      </c>
      <c r="F26" s="31">
        <v>2</v>
      </c>
      <c r="G26" s="31">
        <v>2</v>
      </c>
      <c r="H26" s="31">
        <f>SUM(B26:G26)</f>
        <v>12</v>
      </c>
    </row>
    <row r="27" spans="1:8" x14ac:dyDescent="0.2">
      <c r="A27" s="112" t="s">
        <v>320</v>
      </c>
      <c r="B27" s="26">
        <v>1</v>
      </c>
      <c r="C27" s="26">
        <v>1</v>
      </c>
      <c r="D27" s="26">
        <v>0</v>
      </c>
      <c r="E27" s="26">
        <v>0</v>
      </c>
      <c r="F27" s="26">
        <v>0</v>
      </c>
      <c r="G27" s="26">
        <v>0</v>
      </c>
      <c r="H27" s="31">
        <f t="shared" ref="H27:H90" si="1">SUM(B27:G27)</f>
        <v>2</v>
      </c>
    </row>
    <row r="28" spans="1:8" x14ac:dyDescent="0.2">
      <c r="A28" s="112" t="s">
        <v>321</v>
      </c>
      <c r="B28" s="31">
        <v>1</v>
      </c>
      <c r="C28" s="31">
        <v>1</v>
      </c>
      <c r="D28" s="31">
        <v>1</v>
      </c>
      <c r="E28" s="31">
        <v>1</v>
      </c>
      <c r="F28" s="31">
        <v>1</v>
      </c>
      <c r="G28" s="31">
        <v>0</v>
      </c>
      <c r="H28" s="31">
        <f t="shared" si="1"/>
        <v>5</v>
      </c>
    </row>
    <row r="29" spans="1:8" x14ac:dyDescent="0.2">
      <c r="A29" s="112" t="s">
        <v>322</v>
      </c>
      <c r="B29" s="31">
        <v>0</v>
      </c>
      <c r="C29" s="31">
        <v>0</v>
      </c>
      <c r="D29" s="31">
        <v>0</v>
      </c>
      <c r="E29" s="31">
        <v>0</v>
      </c>
      <c r="F29" s="31">
        <v>0</v>
      </c>
      <c r="G29" s="31">
        <v>0</v>
      </c>
      <c r="H29" s="31">
        <f t="shared" si="1"/>
        <v>0</v>
      </c>
    </row>
    <row r="30" spans="1:8" x14ac:dyDescent="0.2">
      <c r="A30" s="112" t="s">
        <v>323</v>
      </c>
      <c r="B30" s="26">
        <v>0</v>
      </c>
      <c r="C30" s="26">
        <v>0</v>
      </c>
      <c r="D30" s="26">
        <v>0</v>
      </c>
      <c r="E30" s="26">
        <v>0</v>
      </c>
      <c r="F30" s="26">
        <v>0</v>
      </c>
      <c r="G30" s="26">
        <v>0</v>
      </c>
      <c r="H30" s="31">
        <f t="shared" si="1"/>
        <v>0</v>
      </c>
    </row>
    <row r="31" spans="1:8" x14ac:dyDescent="0.2">
      <c r="A31" s="112" t="s">
        <v>324</v>
      </c>
      <c r="B31" s="26">
        <v>0</v>
      </c>
      <c r="C31" s="26">
        <v>0</v>
      </c>
      <c r="D31" s="26">
        <v>0</v>
      </c>
      <c r="E31" s="26">
        <v>0</v>
      </c>
      <c r="F31" s="26">
        <v>0</v>
      </c>
      <c r="G31" s="26">
        <v>0</v>
      </c>
      <c r="H31" s="31">
        <f t="shared" si="1"/>
        <v>0</v>
      </c>
    </row>
    <row r="32" spans="1:8" x14ac:dyDescent="0.2">
      <c r="A32" s="112" t="s">
        <v>325</v>
      </c>
      <c r="B32" s="26">
        <v>3</v>
      </c>
      <c r="C32" s="26">
        <v>3</v>
      </c>
      <c r="D32" s="26">
        <v>1</v>
      </c>
      <c r="E32" s="26">
        <v>3</v>
      </c>
      <c r="F32" s="26">
        <v>1</v>
      </c>
      <c r="G32" s="26">
        <v>2</v>
      </c>
      <c r="H32" s="31">
        <f t="shared" si="1"/>
        <v>13</v>
      </c>
    </row>
    <row r="33" spans="1:8" x14ac:dyDescent="0.2">
      <c r="A33" s="113" t="s">
        <v>326</v>
      </c>
      <c r="B33" s="185">
        <v>0</v>
      </c>
      <c r="C33" s="185">
        <v>0</v>
      </c>
      <c r="D33" s="185">
        <v>0</v>
      </c>
      <c r="E33" s="185">
        <v>0</v>
      </c>
      <c r="F33" s="185">
        <v>0</v>
      </c>
      <c r="G33" s="185">
        <v>0</v>
      </c>
      <c r="H33" s="31">
        <f t="shared" si="1"/>
        <v>0</v>
      </c>
    </row>
    <row r="34" spans="1:8" x14ac:dyDescent="0.2">
      <c r="A34" s="112" t="s">
        <v>327</v>
      </c>
      <c r="B34" s="26">
        <v>0</v>
      </c>
      <c r="C34" s="26">
        <v>0</v>
      </c>
      <c r="D34" s="26">
        <v>0</v>
      </c>
      <c r="E34" s="26">
        <v>0</v>
      </c>
      <c r="F34" s="26">
        <v>0</v>
      </c>
      <c r="G34" s="26">
        <v>0</v>
      </c>
      <c r="H34" s="31">
        <f t="shared" si="1"/>
        <v>0</v>
      </c>
    </row>
    <row r="35" spans="1:8" ht="16" x14ac:dyDescent="0.2">
      <c r="A35" s="112" t="s">
        <v>328</v>
      </c>
      <c r="B35" s="189">
        <v>2</v>
      </c>
      <c r="C35" s="189">
        <v>1</v>
      </c>
      <c r="D35" s="189">
        <v>1</v>
      </c>
      <c r="E35" s="189">
        <v>1</v>
      </c>
      <c r="F35" s="189">
        <v>1</v>
      </c>
      <c r="G35" s="189">
        <v>0</v>
      </c>
      <c r="H35" s="31">
        <f t="shared" si="1"/>
        <v>6</v>
      </c>
    </row>
    <row r="36" spans="1:8" x14ac:dyDescent="0.2">
      <c r="A36" s="112" t="s">
        <v>329</v>
      </c>
      <c r="B36" s="26">
        <v>2</v>
      </c>
      <c r="C36" s="26">
        <v>2</v>
      </c>
      <c r="D36" s="26">
        <v>2</v>
      </c>
      <c r="E36" s="26">
        <v>2</v>
      </c>
      <c r="F36" s="26">
        <v>2</v>
      </c>
      <c r="G36" s="26">
        <v>0</v>
      </c>
      <c r="H36" s="31">
        <f t="shared" si="1"/>
        <v>10</v>
      </c>
    </row>
    <row r="37" spans="1:8" x14ac:dyDescent="0.2">
      <c r="A37" s="112" t="s">
        <v>330</v>
      </c>
      <c r="B37" s="10">
        <v>1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31">
        <f t="shared" si="1"/>
        <v>1</v>
      </c>
    </row>
    <row r="38" spans="1:8" x14ac:dyDescent="0.2">
      <c r="A38" s="112" t="s">
        <v>331</v>
      </c>
      <c r="B38" s="26">
        <v>2</v>
      </c>
      <c r="C38" s="26">
        <v>1</v>
      </c>
      <c r="D38" s="26">
        <v>0</v>
      </c>
      <c r="E38" s="26">
        <v>0</v>
      </c>
      <c r="F38" s="26">
        <v>0</v>
      </c>
      <c r="G38" s="26">
        <v>0</v>
      </c>
      <c r="H38" s="31">
        <f t="shared" si="1"/>
        <v>3</v>
      </c>
    </row>
    <row r="39" spans="1:8" x14ac:dyDescent="0.2">
      <c r="A39" s="112" t="s">
        <v>332</v>
      </c>
      <c r="B39" s="26">
        <v>0</v>
      </c>
      <c r="C39" s="26">
        <v>0</v>
      </c>
      <c r="D39" s="26">
        <v>0</v>
      </c>
      <c r="E39" s="26">
        <v>0</v>
      </c>
      <c r="F39" s="26">
        <v>0</v>
      </c>
      <c r="G39" s="31">
        <v>0</v>
      </c>
      <c r="H39" s="31">
        <f t="shared" si="1"/>
        <v>0</v>
      </c>
    </row>
    <row r="40" spans="1:8" x14ac:dyDescent="0.2">
      <c r="A40" s="112" t="s">
        <v>333</v>
      </c>
      <c r="B40" s="26">
        <v>0</v>
      </c>
      <c r="C40" s="26">
        <v>0</v>
      </c>
      <c r="D40" s="26">
        <v>0</v>
      </c>
      <c r="E40" s="26">
        <v>0</v>
      </c>
      <c r="F40" s="26">
        <v>0</v>
      </c>
      <c r="G40" s="31">
        <v>0</v>
      </c>
      <c r="H40" s="31">
        <f t="shared" si="1"/>
        <v>0</v>
      </c>
    </row>
    <row r="41" spans="1:8" x14ac:dyDescent="0.2">
      <c r="A41" s="112" t="s">
        <v>334</v>
      </c>
      <c r="B41" s="26">
        <v>1</v>
      </c>
      <c r="C41" s="26">
        <v>2</v>
      </c>
      <c r="D41" s="26">
        <v>2</v>
      </c>
      <c r="E41" s="26">
        <v>2</v>
      </c>
      <c r="F41" s="26">
        <v>1</v>
      </c>
      <c r="G41" s="31">
        <v>0</v>
      </c>
      <c r="H41" s="31">
        <f t="shared" si="1"/>
        <v>8</v>
      </c>
    </row>
    <row r="42" spans="1:8" x14ac:dyDescent="0.2">
      <c r="A42" s="117" t="s">
        <v>335</v>
      </c>
      <c r="B42" s="26">
        <v>0</v>
      </c>
      <c r="C42" s="26">
        <v>0</v>
      </c>
      <c r="D42" s="26">
        <v>1</v>
      </c>
      <c r="E42" s="26">
        <v>2</v>
      </c>
      <c r="F42" s="26">
        <v>1</v>
      </c>
      <c r="G42" s="26">
        <v>0</v>
      </c>
      <c r="H42" s="31">
        <f t="shared" si="1"/>
        <v>4</v>
      </c>
    </row>
    <row r="43" spans="1:8" x14ac:dyDescent="0.2">
      <c r="A43" s="117" t="s">
        <v>336</v>
      </c>
      <c r="B43" s="26">
        <v>0</v>
      </c>
      <c r="C43" s="26">
        <v>0</v>
      </c>
      <c r="D43" s="26">
        <v>0</v>
      </c>
      <c r="E43" s="26">
        <v>0</v>
      </c>
      <c r="F43" s="26">
        <v>0</v>
      </c>
      <c r="G43" s="26">
        <v>0</v>
      </c>
      <c r="H43" s="31">
        <f t="shared" si="1"/>
        <v>0</v>
      </c>
    </row>
    <row r="44" spans="1:8" x14ac:dyDescent="0.2">
      <c r="A44" s="117" t="s">
        <v>337</v>
      </c>
      <c r="B44" s="26">
        <v>0</v>
      </c>
      <c r="C44" s="26">
        <v>0</v>
      </c>
      <c r="D44" s="26">
        <v>0</v>
      </c>
      <c r="E44" s="26">
        <v>0</v>
      </c>
      <c r="F44" s="26">
        <v>0</v>
      </c>
      <c r="G44" s="26">
        <v>0</v>
      </c>
      <c r="H44" s="31">
        <f t="shared" si="1"/>
        <v>0</v>
      </c>
    </row>
    <row r="45" spans="1:8" x14ac:dyDescent="0.2">
      <c r="A45" s="119" t="s">
        <v>338</v>
      </c>
      <c r="B45" s="27">
        <v>0</v>
      </c>
      <c r="C45" s="27">
        <v>0</v>
      </c>
      <c r="D45" s="27">
        <v>0</v>
      </c>
      <c r="E45" s="27">
        <v>0</v>
      </c>
      <c r="F45" s="27">
        <v>0</v>
      </c>
      <c r="G45" s="27">
        <v>0</v>
      </c>
      <c r="H45" s="31">
        <f t="shared" si="1"/>
        <v>0</v>
      </c>
    </row>
    <row r="46" spans="1:8" x14ac:dyDescent="0.2">
      <c r="A46" s="112" t="s">
        <v>339</v>
      </c>
      <c r="B46" s="26">
        <v>1</v>
      </c>
      <c r="C46" s="26">
        <v>1</v>
      </c>
      <c r="D46" s="26">
        <v>0</v>
      </c>
      <c r="E46" s="26">
        <v>0</v>
      </c>
      <c r="F46" s="26">
        <v>0</v>
      </c>
      <c r="G46" s="26">
        <v>0</v>
      </c>
      <c r="H46" s="31">
        <f t="shared" si="1"/>
        <v>2</v>
      </c>
    </row>
    <row r="47" spans="1:8" x14ac:dyDescent="0.2">
      <c r="A47" s="117" t="s">
        <v>340</v>
      </c>
      <c r="B47" s="26"/>
      <c r="C47" s="26"/>
      <c r="D47" s="26"/>
      <c r="E47" s="26"/>
      <c r="F47" s="26"/>
      <c r="G47" s="26"/>
      <c r="H47" s="26"/>
    </row>
    <row r="48" spans="1:8" x14ac:dyDescent="0.2">
      <c r="A48" s="117" t="s">
        <v>341</v>
      </c>
      <c r="B48" s="122"/>
      <c r="C48" s="122"/>
      <c r="D48" s="122"/>
      <c r="E48" s="122"/>
      <c r="F48" s="122"/>
      <c r="G48" s="122"/>
      <c r="H48" s="122"/>
    </row>
    <row r="49" spans="1:8" x14ac:dyDescent="0.2">
      <c r="A49" s="117" t="s">
        <v>342</v>
      </c>
      <c r="B49" s="26">
        <v>0</v>
      </c>
      <c r="C49" s="26">
        <v>0</v>
      </c>
      <c r="D49" s="26">
        <v>0</v>
      </c>
      <c r="E49" s="26">
        <v>0</v>
      </c>
      <c r="F49" s="26">
        <v>0</v>
      </c>
      <c r="G49" s="183">
        <v>0</v>
      </c>
      <c r="H49" s="31">
        <f t="shared" si="1"/>
        <v>0</v>
      </c>
    </row>
    <row r="50" spans="1:8" x14ac:dyDescent="0.2">
      <c r="A50" s="117" t="s">
        <v>343</v>
      </c>
      <c r="B50" s="31">
        <v>0</v>
      </c>
      <c r="C50" s="31">
        <v>0</v>
      </c>
      <c r="D50" s="31">
        <v>0</v>
      </c>
      <c r="E50" s="31">
        <v>1</v>
      </c>
      <c r="F50" s="31">
        <v>1</v>
      </c>
      <c r="G50" s="31">
        <v>1</v>
      </c>
      <c r="H50" s="31">
        <f t="shared" si="1"/>
        <v>3</v>
      </c>
    </row>
    <row r="51" spans="1:8" x14ac:dyDescent="0.2">
      <c r="A51" s="117" t="s">
        <v>344</v>
      </c>
      <c r="B51" s="26"/>
      <c r="C51" s="26"/>
      <c r="D51" s="26"/>
      <c r="E51" s="26"/>
      <c r="F51" s="26"/>
      <c r="G51" s="26"/>
      <c r="H51" s="26"/>
    </row>
    <row r="52" spans="1:8" x14ac:dyDescent="0.2">
      <c r="A52" s="119" t="s">
        <v>345</v>
      </c>
      <c r="B52" s="10">
        <v>3</v>
      </c>
      <c r="C52" s="10">
        <v>3</v>
      </c>
      <c r="D52" s="10">
        <v>0</v>
      </c>
      <c r="E52" s="10">
        <v>0</v>
      </c>
      <c r="F52" s="10">
        <v>2</v>
      </c>
      <c r="G52" s="10">
        <v>0</v>
      </c>
      <c r="H52" s="31">
        <f t="shared" si="1"/>
        <v>8</v>
      </c>
    </row>
    <row r="53" spans="1:8" x14ac:dyDescent="0.2">
      <c r="A53" s="119" t="s">
        <v>346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31">
        <f t="shared" si="1"/>
        <v>0</v>
      </c>
    </row>
    <row r="54" spans="1:8" x14ac:dyDescent="0.2">
      <c r="A54" s="112" t="s">
        <v>347</v>
      </c>
      <c r="B54" s="26">
        <v>0</v>
      </c>
      <c r="C54" s="26">
        <v>0</v>
      </c>
      <c r="D54" s="26">
        <v>0</v>
      </c>
      <c r="E54" s="26">
        <v>0</v>
      </c>
      <c r="F54" s="26">
        <v>0</v>
      </c>
      <c r="G54" s="26">
        <v>0</v>
      </c>
      <c r="H54" s="31">
        <f t="shared" si="1"/>
        <v>0</v>
      </c>
    </row>
    <row r="55" spans="1:8" x14ac:dyDescent="0.2">
      <c r="A55" s="112" t="s">
        <v>348</v>
      </c>
      <c r="B55" s="26">
        <v>1</v>
      </c>
      <c r="C55" s="26">
        <v>1</v>
      </c>
      <c r="D55" s="26">
        <v>1</v>
      </c>
      <c r="E55" s="26">
        <v>1</v>
      </c>
      <c r="F55" s="26">
        <v>0</v>
      </c>
      <c r="G55" s="26">
        <v>0</v>
      </c>
      <c r="H55" s="31">
        <f t="shared" si="1"/>
        <v>4</v>
      </c>
    </row>
    <row r="56" spans="1:8" x14ac:dyDescent="0.2">
      <c r="A56" s="112" t="s">
        <v>349</v>
      </c>
      <c r="B56" s="26">
        <v>0</v>
      </c>
      <c r="C56" s="26">
        <v>0</v>
      </c>
      <c r="D56" s="26">
        <v>0</v>
      </c>
      <c r="E56" s="26">
        <v>0</v>
      </c>
      <c r="F56" s="26">
        <v>0</v>
      </c>
      <c r="G56" s="26">
        <v>0</v>
      </c>
      <c r="H56" s="31">
        <f t="shared" si="1"/>
        <v>0</v>
      </c>
    </row>
    <row r="57" spans="1:8" x14ac:dyDescent="0.2">
      <c r="A57" s="112" t="s">
        <v>350</v>
      </c>
      <c r="B57" s="26">
        <v>0</v>
      </c>
      <c r="C57" s="26">
        <v>0</v>
      </c>
      <c r="D57" s="26">
        <v>0</v>
      </c>
      <c r="E57" s="26">
        <v>1</v>
      </c>
      <c r="F57" s="26">
        <v>1</v>
      </c>
      <c r="G57" s="26">
        <v>0</v>
      </c>
      <c r="H57" s="31">
        <f t="shared" si="1"/>
        <v>2</v>
      </c>
    </row>
    <row r="58" spans="1:8" x14ac:dyDescent="0.2">
      <c r="A58" s="112" t="s">
        <v>351</v>
      </c>
      <c r="B58" s="26">
        <v>0</v>
      </c>
      <c r="C58" s="26">
        <v>0</v>
      </c>
      <c r="D58" s="26">
        <v>0</v>
      </c>
      <c r="E58" s="26">
        <v>0</v>
      </c>
      <c r="F58" s="26">
        <v>0</v>
      </c>
      <c r="G58" s="26">
        <v>0</v>
      </c>
      <c r="H58" s="31">
        <f t="shared" si="1"/>
        <v>0</v>
      </c>
    </row>
    <row r="59" spans="1:8" x14ac:dyDescent="0.2">
      <c r="A59" s="112" t="s">
        <v>352</v>
      </c>
      <c r="B59" s="26">
        <v>0</v>
      </c>
      <c r="C59" s="26">
        <v>0</v>
      </c>
      <c r="D59" s="26">
        <v>0</v>
      </c>
      <c r="E59" s="26">
        <v>0</v>
      </c>
      <c r="F59" s="26">
        <v>0</v>
      </c>
      <c r="G59" s="26">
        <v>0</v>
      </c>
      <c r="H59" s="31">
        <f t="shared" si="1"/>
        <v>0</v>
      </c>
    </row>
    <row r="60" spans="1:8" x14ac:dyDescent="0.2">
      <c r="A60" s="112" t="s">
        <v>353</v>
      </c>
      <c r="B60" s="26">
        <v>0</v>
      </c>
      <c r="C60" s="26">
        <v>0</v>
      </c>
      <c r="D60" s="26">
        <v>0</v>
      </c>
      <c r="E60" s="26">
        <v>0</v>
      </c>
      <c r="F60" s="26">
        <v>0</v>
      </c>
      <c r="G60" s="26">
        <v>0</v>
      </c>
      <c r="H60" s="31">
        <f t="shared" si="1"/>
        <v>0</v>
      </c>
    </row>
    <row r="61" spans="1:8" x14ac:dyDescent="0.2">
      <c r="A61" s="112" t="s">
        <v>354</v>
      </c>
      <c r="B61" s="26">
        <v>0</v>
      </c>
      <c r="C61" s="26">
        <v>0</v>
      </c>
      <c r="D61" s="26">
        <v>0</v>
      </c>
      <c r="E61" s="26">
        <v>0</v>
      </c>
      <c r="F61" s="26">
        <v>0</v>
      </c>
      <c r="G61" s="26">
        <v>0</v>
      </c>
      <c r="H61" s="31">
        <f t="shared" si="1"/>
        <v>0</v>
      </c>
    </row>
    <row r="62" spans="1:8" x14ac:dyDescent="0.2">
      <c r="A62" s="112" t="s">
        <v>355</v>
      </c>
      <c r="B62" s="26"/>
      <c r="C62" s="26"/>
      <c r="D62" s="26"/>
      <c r="E62" s="26"/>
      <c r="F62" s="26"/>
      <c r="G62" s="26"/>
      <c r="H62" s="26"/>
    </row>
    <row r="63" spans="1:8" x14ac:dyDescent="0.2">
      <c r="A63" s="112" t="s">
        <v>356</v>
      </c>
      <c r="B63" s="26">
        <v>0</v>
      </c>
      <c r="C63" s="26">
        <v>0</v>
      </c>
      <c r="D63" s="26">
        <v>0</v>
      </c>
      <c r="E63" s="26">
        <v>0</v>
      </c>
      <c r="F63" s="26">
        <v>0</v>
      </c>
      <c r="G63" s="26">
        <v>0</v>
      </c>
      <c r="H63" s="31">
        <f t="shared" si="1"/>
        <v>0</v>
      </c>
    </row>
    <row r="64" spans="1:8" x14ac:dyDescent="0.2">
      <c r="A64" s="112" t="s">
        <v>357</v>
      </c>
      <c r="B64" s="26"/>
      <c r="C64" s="26"/>
      <c r="D64" s="26"/>
      <c r="E64" s="26"/>
      <c r="F64" s="26"/>
      <c r="G64" s="26"/>
      <c r="H64" s="26"/>
    </row>
    <row r="65" spans="1:8" x14ac:dyDescent="0.2">
      <c r="A65" s="112" t="s">
        <v>358</v>
      </c>
      <c r="B65" s="26">
        <v>0</v>
      </c>
      <c r="C65" s="26">
        <v>0</v>
      </c>
      <c r="D65" s="26">
        <v>0</v>
      </c>
      <c r="E65" s="26">
        <v>0</v>
      </c>
      <c r="F65" s="26">
        <v>0</v>
      </c>
      <c r="G65" s="26">
        <v>0</v>
      </c>
      <c r="H65" s="31">
        <f t="shared" si="1"/>
        <v>0</v>
      </c>
    </row>
    <row r="66" spans="1:8" x14ac:dyDescent="0.2">
      <c r="A66" s="112" t="s">
        <v>359</v>
      </c>
      <c r="B66" s="26"/>
      <c r="C66" s="26"/>
      <c r="D66" s="26"/>
      <c r="E66" s="26"/>
      <c r="F66" s="26"/>
      <c r="G66" s="26"/>
      <c r="H66" s="26"/>
    </row>
    <row r="67" spans="1:8" x14ac:dyDescent="0.2">
      <c r="A67" s="112" t="s">
        <v>360</v>
      </c>
      <c r="B67" s="26">
        <v>0</v>
      </c>
      <c r="C67" s="26">
        <v>0</v>
      </c>
      <c r="D67" s="26">
        <v>0</v>
      </c>
      <c r="E67" s="26">
        <v>0</v>
      </c>
      <c r="F67" s="26">
        <v>0</v>
      </c>
      <c r="G67" s="26">
        <v>0</v>
      </c>
      <c r="H67" s="31">
        <f t="shared" si="1"/>
        <v>0</v>
      </c>
    </row>
    <row r="68" spans="1:8" x14ac:dyDescent="0.2">
      <c r="A68" s="112" t="s">
        <v>361</v>
      </c>
      <c r="B68" s="26"/>
      <c r="C68" s="26"/>
      <c r="D68" s="26"/>
      <c r="E68" s="26"/>
      <c r="F68" s="26"/>
      <c r="G68" s="26"/>
      <c r="H68" s="26"/>
    </row>
    <row r="69" spans="1:8" x14ac:dyDescent="0.2">
      <c r="A69" s="112" t="s">
        <v>362</v>
      </c>
      <c r="B69" s="26">
        <v>0</v>
      </c>
      <c r="C69" s="26">
        <v>0</v>
      </c>
      <c r="D69" s="26">
        <v>0</v>
      </c>
      <c r="E69" s="26">
        <v>0</v>
      </c>
      <c r="F69" s="26">
        <v>0</v>
      </c>
      <c r="G69" s="26">
        <v>0</v>
      </c>
      <c r="H69" s="31">
        <f t="shared" si="1"/>
        <v>0</v>
      </c>
    </row>
    <row r="70" spans="1:8" x14ac:dyDescent="0.2">
      <c r="A70" s="112" t="s">
        <v>364</v>
      </c>
      <c r="B70" s="26">
        <v>0</v>
      </c>
      <c r="C70" s="26">
        <v>0</v>
      </c>
      <c r="D70" s="26">
        <v>0</v>
      </c>
      <c r="E70" s="26">
        <v>0</v>
      </c>
      <c r="F70" s="26">
        <v>0</v>
      </c>
      <c r="G70" s="26">
        <v>0</v>
      </c>
      <c r="H70" s="31">
        <f t="shared" si="1"/>
        <v>0</v>
      </c>
    </row>
    <row r="71" spans="1:8" x14ac:dyDescent="0.2">
      <c r="A71" s="112" t="s">
        <v>365</v>
      </c>
      <c r="B71" s="26">
        <v>0</v>
      </c>
      <c r="C71" s="26">
        <v>0</v>
      </c>
      <c r="D71" s="26">
        <v>0</v>
      </c>
      <c r="E71" s="26">
        <v>0</v>
      </c>
      <c r="F71" s="26">
        <v>0</v>
      </c>
      <c r="G71" s="26">
        <v>0</v>
      </c>
      <c r="H71" s="31">
        <f t="shared" si="1"/>
        <v>0</v>
      </c>
    </row>
    <row r="72" spans="1:8" x14ac:dyDescent="0.2">
      <c r="A72" s="112" t="s">
        <v>366</v>
      </c>
      <c r="B72" s="26">
        <v>0</v>
      </c>
      <c r="C72" s="26">
        <v>0</v>
      </c>
      <c r="D72" s="26">
        <v>0</v>
      </c>
      <c r="E72" s="26">
        <v>0</v>
      </c>
      <c r="F72" s="26">
        <v>0</v>
      </c>
      <c r="G72" s="26">
        <v>0</v>
      </c>
      <c r="H72" s="31">
        <f t="shared" si="1"/>
        <v>0</v>
      </c>
    </row>
    <row r="73" spans="1:8" x14ac:dyDescent="0.2">
      <c r="A73" s="112" t="s">
        <v>368</v>
      </c>
      <c r="B73" s="26">
        <v>0</v>
      </c>
      <c r="C73" s="26">
        <v>0</v>
      </c>
      <c r="D73" s="26">
        <v>0</v>
      </c>
      <c r="E73" s="26">
        <v>0</v>
      </c>
      <c r="F73" s="26">
        <v>0</v>
      </c>
      <c r="G73" s="26">
        <v>0</v>
      </c>
      <c r="H73" s="31">
        <f t="shared" si="1"/>
        <v>0</v>
      </c>
    </row>
    <row r="74" spans="1:8" x14ac:dyDescent="0.2">
      <c r="A74" s="112" t="s">
        <v>369</v>
      </c>
      <c r="B74" s="26">
        <v>0</v>
      </c>
      <c r="C74" s="26">
        <v>0</v>
      </c>
      <c r="D74" s="26">
        <v>1</v>
      </c>
      <c r="E74" s="26">
        <v>1</v>
      </c>
      <c r="F74" s="26">
        <v>1</v>
      </c>
      <c r="G74" s="26">
        <v>0</v>
      </c>
      <c r="H74" s="31">
        <f t="shared" si="1"/>
        <v>3</v>
      </c>
    </row>
    <row r="75" spans="1:8" x14ac:dyDescent="0.2">
      <c r="A75" s="112" t="s">
        <v>370</v>
      </c>
      <c r="B75" s="26">
        <v>2</v>
      </c>
      <c r="C75" s="26">
        <v>1</v>
      </c>
      <c r="D75" s="26">
        <v>1</v>
      </c>
      <c r="E75" s="26">
        <v>1</v>
      </c>
      <c r="F75" s="26">
        <v>1</v>
      </c>
      <c r="G75" s="26">
        <v>1</v>
      </c>
      <c r="H75" s="31">
        <f t="shared" si="1"/>
        <v>7</v>
      </c>
    </row>
    <row r="76" spans="1:8" x14ac:dyDescent="0.2">
      <c r="A76" s="112" t="s">
        <v>372</v>
      </c>
      <c r="B76" s="26">
        <v>0</v>
      </c>
      <c r="C76" s="26">
        <v>0</v>
      </c>
      <c r="D76" s="26">
        <v>0</v>
      </c>
      <c r="E76" s="26">
        <v>0</v>
      </c>
      <c r="F76" s="26">
        <v>0</v>
      </c>
      <c r="G76" s="26">
        <v>0</v>
      </c>
      <c r="H76" s="31">
        <f t="shared" si="1"/>
        <v>0</v>
      </c>
    </row>
    <row r="77" spans="1:8" x14ac:dyDescent="0.2">
      <c r="A77" s="112" t="s">
        <v>375</v>
      </c>
      <c r="B77" s="112">
        <v>1</v>
      </c>
      <c r="C77" s="112">
        <v>0</v>
      </c>
      <c r="D77" s="112">
        <v>0</v>
      </c>
      <c r="E77" s="112">
        <v>0</v>
      </c>
      <c r="F77" s="112">
        <v>0</v>
      </c>
      <c r="G77" s="112">
        <v>0</v>
      </c>
      <c r="H77" s="31">
        <f t="shared" si="1"/>
        <v>1</v>
      </c>
    </row>
    <row r="78" spans="1:8" x14ac:dyDescent="0.2">
      <c r="A78" s="112" t="s">
        <v>379</v>
      </c>
      <c r="B78" s="112">
        <v>4</v>
      </c>
      <c r="C78" s="112">
        <v>4</v>
      </c>
      <c r="D78" s="112">
        <v>1</v>
      </c>
      <c r="E78" s="112">
        <v>4</v>
      </c>
      <c r="F78" s="112">
        <v>3</v>
      </c>
      <c r="G78" s="112">
        <v>1</v>
      </c>
      <c r="H78" s="31">
        <f t="shared" si="1"/>
        <v>17</v>
      </c>
    </row>
    <row r="79" spans="1:8" x14ac:dyDescent="0.2">
      <c r="A79" s="112" t="s">
        <v>380</v>
      </c>
      <c r="B79" s="112">
        <v>0</v>
      </c>
      <c r="C79" s="112">
        <v>0</v>
      </c>
      <c r="D79" s="112">
        <v>0</v>
      </c>
      <c r="E79" s="112">
        <v>0</v>
      </c>
      <c r="F79" s="112">
        <v>0</v>
      </c>
      <c r="G79" s="112">
        <v>0</v>
      </c>
      <c r="H79" s="31">
        <f t="shared" si="1"/>
        <v>0</v>
      </c>
    </row>
    <row r="80" spans="1:8" x14ac:dyDescent="0.2">
      <c r="A80" s="112" t="s">
        <v>381</v>
      </c>
      <c r="B80" s="26">
        <v>0</v>
      </c>
      <c r="C80" s="26">
        <v>0</v>
      </c>
      <c r="D80" s="26">
        <v>0</v>
      </c>
      <c r="E80" s="26">
        <v>0</v>
      </c>
      <c r="F80" s="26">
        <v>0</v>
      </c>
      <c r="G80" s="26">
        <v>0</v>
      </c>
      <c r="H80" s="31">
        <f t="shared" si="1"/>
        <v>0</v>
      </c>
    </row>
    <row r="81" spans="1:8" x14ac:dyDescent="0.2">
      <c r="A81" s="112" t="s">
        <v>382</v>
      </c>
      <c r="B81" s="26">
        <v>0</v>
      </c>
      <c r="C81" s="26">
        <v>0</v>
      </c>
      <c r="D81" s="26">
        <v>0</v>
      </c>
      <c r="E81" s="26">
        <v>0</v>
      </c>
      <c r="F81" s="26">
        <v>0</v>
      </c>
      <c r="G81" s="26">
        <v>0</v>
      </c>
      <c r="H81" s="31">
        <f t="shared" si="1"/>
        <v>0</v>
      </c>
    </row>
    <row r="82" spans="1:8" x14ac:dyDescent="0.2">
      <c r="A82" s="112" t="s">
        <v>384</v>
      </c>
      <c r="B82" s="26"/>
      <c r="C82" s="26"/>
      <c r="D82" s="26"/>
      <c r="E82" s="26"/>
      <c r="F82" s="26"/>
      <c r="G82" s="26"/>
      <c r="H82" s="26"/>
    </row>
    <row r="83" spans="1:8" x14ac:dyDescent="0.2">
      <c r="A83" s="112" t="s">
        <v>385</v>
      </c>
      <c r="B83" s="26">
        <v>0</v>
      </c>
      <c r="C83" s="26">
        <v>0</v>
      </c>
      <c r="D83" s="26">
        <v>0</v>
      </c>
      <c r="E83" s="26">
        <v>0</v>
      </c>
      <c r="F83" s="26">
        <v>0</v>
      </c>
      <c r="G83" s="26">
        <v>0</v>
      </c>
      <c r="H83" s="31">
        <f t="shared" si="1"/>
        <v>0</v>
      </c>
    </row>
    <row r="84" spans="1:8" x14ac:dyDescent="0.2">
      <c r="A84" s="112" t="s">
        <v>386</v>
      </c>
      <c r="B84" s="26">
        <v>0</v>
      </c>
      <c r="C84" s="26">
        <v>0</v>
      </c>
      <c r="D84" s="26">
        <v>0</v>
      </c>
      <c r="E84" s="26">
        <v>0</v>
      </c>
      <c r="F84" s="26">
        <v>0</v>
      </c>
      <c r="G84" s="26">
        <v>0</v>
      </c>
      <c r="H84" s="31">
        <f t="shared" si="1"/>
        <v>0</v>
      </c>
    </row>
    <row r="85" spans="1:8" x14ac:dyDescent="0.2">
      <c r="A85" s="112" t="s">
        <v>387</v>
      </c>
      <c r="B85" s="26">
        <v>2</v>
      </c>
      <c r="C85" s="26">
        <v>1</v>
      </c>
      <c r="D85" s="26">
        <v>1</v>
      </c>
      <c r="E85" s="26">
        <v>1</v>
      </c>
      <c r="F85" s="26">
        <v>1</v>
      </c>
      <c r="G85" s="26">
        <v>0</v>
      </c>
      <c r="H85" s="31">
        <f t="shared" si="1"/>
        <v>6</v>
      </c>
    </row>
    <row r="86" spans="1:8" x14ac:dyDescent="0.2">
      <c r="A86" s="112" t="s">
        <v>388</v>
      </c>
      <c r="B86" s="26">
        <v>0</v>
      </c>
      <c r="C86" s="26">
        <v>0</v>
      </c>
      <c r="D86" s="26">
        <v>0</v>
      </c>
      <c r="E86" s="26">
        <v>0</v>
      </c>
      <c r="F86" s="26">
        <v>0</v>
      </c>
      <c r="G86" s="26">
        <v>0</v>
      </c>
      <c r="H86" s="31">
        <f t="shared" si="1"/>
        <v>0</v>
      </c>
    </row>
    <row r="87" spans="1:8" x14ac:dyDescent="0.2">
      <c r="A87" s="112" t="s">
        <v>389</v>
      </c>
      <c r="B87" s="26">
        <v>0</v>
      </c>
      <c r="C87" s="26">
        <v>0</v>
      </c>
      <c r="D87" s="26">
        <v>0</v>
      </c>
      <c r="E87" s="26">
        <v>0</v>
      </c>
      <c r="F87" s="26">
        <v>0</v>
      </c>
      <c r="G87" s="26">
        <v>0</v>
      </c>
      <c r="H87" s="31">
        <f t="shared" si="1"/>
        <v>0</v>
      </c>
    </row>
    <row r="88" spans="1:8" x14ac:dyDescent="0.2">
      <c r="A88" s="112" t="s">
        <v>390</v>
      </c>
      <c r="B88" s="26">
        <v>0</v>
      </c>
      <c r="C88" s="26">
        <v>0</v>
      </c>
      <c r="D88" s="26">
        <v>0</v>
      </c>
      <c r="E88" s="26">
        <v>0</v>
      </c>
      <c r="F88" s="26">
        <v>0</v>
      </c>
      <c r="G88" s="26">
        <v>0</v>
      </c>
      <c r="H88" s="31">
        <f t="shared" si="1"/>
        <v>0</v>
      </c>
    </row>
    <row r="89" spans="1:8" x14ac:dyDescent="0.2">
      <c r="A89" s="112" t="s">
        <v>391</v>
      </c>
      <c r="B89" s="26">
        <v>0</v>
      </c>
      <c r="C89" s="26">
        <v>0</v>
      </c>
      <c r="D89" s="26">
        <v>0</v>
      </c>
      <c r="E89" s="26">
        <v>0</v>
      </c>
      <c r="F89" s="26">
        <v>0</v>
      </c>
      <c r="G89" s="26">
        <v>0</v>
      </c>
      <c r="H89" s="31">
        <f t="shared" si="1"/>
        <v>0</v>
      </c>
    </row>
    <row r="90" spans="1:8" x14ac:dyDescent="0.2">
      <c r="A90" s="112" t="s">
        <v>392</v>
      </c>
      <c r="B90" s="26">
        <v>0</v>
      </c>
      <c r="C90" s="26">
        <v>0</v>
      </c>
      <c r="D90" s="26">
        <v>0</v>
      </c>
      <c r="E90" s="26">
        <v>0</v>
      </c>
      <c r="F90" s="26">
        <v>0</v>
      </c>
      <c r="G90" s="26">
        <v>0</v>
      </c>
      <c r="H90" s="31">
        <f t="shared" si="1"/>
        <v>0</v>
      </c>
    </row>
    <row r="91" spans="1:8" x14ac:dyDescent="0.2">
      <c r="A91" s="112" t="s">
        <v>393</v>
      </c>
      <c r="B91" s="26"/>
      <c r="C91" s="26"/>
      <c r="D91" s="26"/>
      <c r="E91" s="26"/>
      <c r="F91" s="26"/>
      <c r="G91" s="26"/>
      <c r="H91" s="26"/>
    </row>
    <row r="92" spans="1:8" x14ac:dyDescent="0.2">
      <c r="A92" s="112" t="s">
        <v>395</v>
      </c>
      <c r="B92" s="26">
        <v>0</v>
      </c>
      <c r="C92" s="26">
        <v>0</v>
      </c>
      <c r="D92" s="26">
        <v>0</v>
      </c>
      <c r="E92" s="26">
        <v>0</v>
      </c>
      <c r="F92" s="26">
        <v>0</v>
      </c>
      <c r="G92" s="26">
        <v>0</v>
      </c>
      <c r="H92" s="31">
        <f t="shared" ref="H92:H98" si="2">SUM(B92:G92)</f>
        <v>0</v>
      </c>
    </row>
    <row r="93" spans="1:8" x14ac:dyDescent="0.2">
      <c r="A93" s="112" t="s">
        <v>396</v>
      </c>
      <c r="B93" s="26">
        <v>2</v>
      </c>
      <c r="C93" s="26">
        <v>2</v>
      </c>
      <c r="D93" s="26">
        <v>1</v>
      </c>
      <c r="E93" s="26">
        <v>1</v>
      </c>
      <c r="F93" s="26">
        <v>1</v>
      </c>
      <c r="G93" s="26">
        <v>0</v>
      </c>
      <c r="H93" s="31">
        <f t="shared" si="2"/>
        <v>7</v>
      </c>
    </row>
    <row r="94" spans="1:8" x14ac:dyDescent="0.2">
      <c r="A94" s="112" t="s">
        <v>398</v>
      </c>
      <c r="B94" s="26">
        <v>0</v>
      </c>
      <c r="C94" s="26">
        <v>0</v>
      </c>
      <c r="D94" s="26">
        <v>0</v>
      </c>
      <c r="E94" s="26">
        <v>0</v>
      </c>
      <c r="F94" s="26">
        <v>0</v>
      </c>
      <c r="G94" s="26">
        <v>0</v>
      </c>
      <c r="H94" s="31">
        <f t="shared" si="2"/>
        <v>0</v>
      </c>
    </row>
    <row r="95" spans="1:8" x14ac:dyDescent="0.2">
      <c r="A95" s="112" t="s">
        <v>400</v>
      </c>
      <c r="B95" s="26"/>
      <c r="C95" s="26"/>
      <c r="D95" s="26"/>
      <c r="E95" s="26"/>
      <c r="F95" s="26"/>
      <c r="G95" s="26"/>
      <c r="H95" s="26"/>
    </row>
    <row r="96" spans="1:8" x14ac:dyDescent="0.2">
      <c r="A96" s="112" t="s">
        <v>401</v>
      </c>
      <c r="B96" s="26">
        <v>0</v>
      </c>
      <c r="C96" s="26">
        <v>0</v>
      </c>
      <c r="D96" s="26">
        <v>0</v>
      </c>
      <c r="E96" s="26">
        <v>0</v>
      </c>
      <c r="F96" s="26">
        <v>0</v>
      </c>
      <c r="G96" s="26">
        <v>0</v>
      </c>
      <c r="H96" s="31">
        <f t="shared" si="2"/>
        <v>0</v>
      </c>
    </row>
    <row r="97" spans="1:8" x14ac:dyDescent="0.2">
      <c r="A97" s="112" t="s">
        <v>402</v>
      </c>
      <c r="B97" s="26">
        <v>0</v>
      </c>
      <c r="C97" s="26">
        <v>0</v>
      </c>
      <c r="D97" s="26">
        <v>0</v>
      </c>
      <c r="E97" s="26">
        <v>0</v>
      </c>
      <c r="F97" s="26">
        <v>0</v>
      </c>
      <c r="G97" s="26">
        <v>0</v>
      </c>
      <c r="H97" s="31">
        <f t="shared" si="2"/>
        <v>0</v>
      </c>
    </row>
    <row r="98" spans="1:8" x14ac:dyDescent="0.2">
      <c r="A98" s="112" t="s">
        <v>403</v>
      </c>
      <c r="B98" s="26">
        <v>0</v>
      </c>
      <c r="C98" s="26">
        <v>0</v>
      </c>
      <c r="D98" s="26">
        <v>0</v>
      </c>
      <c r="E98" s="26">
        <v>0</v>
      </c>
      <c r="F98" s="26">
        <v>0</v>
      </c>
      <c r="G98" s="26">
        <v>0</v>
      </c>
      <c r="H98" s="31">
        <f t="shared" si="2"/>
        <v>0</v>
      </c>
    </row>
    <row r="99" spans="1:8" ht="16" x14ac:dyDescent="0.2">
      <c r="A99" s="124" t="s">
        <v>404</v>
      </c>
      <c r="B99" s="199">
        <v>0</v>
      </c>
      <c r="C99" s="199">
        <v>0</v>
      </c>
      <c r="D99" s="199">
        <v>0</v>
      </c>
      <c r="E99" s="199">
        <v>0</v>
      </c>
      <c r="F99" s="199">
        <v>0</v>
      </c>
      <c r="G99" s="199">
        <v>0</v>
      </c>
      <c r="H99" s="129">
        <v>0</v>
      </c>
    </row>
    <row r="100" spans="1:8" x14ac:dyDescent="0.2">
      <c r="A100" s="127" t="s">
        <v>405</v>
      </c>
      <c r="B100" s="129">
        <v>1</v>
      </c>
      <c r="C100" s="129">
        <v>0</v>
      </c>
      <c r="D100" s="129">
        <v>1</v>
      </c>
      <c r="E100" s="129">
        <v>0</v>
      </c>
      <c r="F100" s="129">
        <v>0</v>
      </c>
      <c r="G100" s="129">
        <v>0</v>
      </c>
      <c r="H100" s="129">
        <v>2</v>
      </c>
    </row>
    <row r="101" spans="1:8" ht="16" x14ac:dyDescent="0.2">
      <c r="A101" s="127" t="s">
        <v>406</v>
      </c>
      <c r="B101" s="199">
        <v>0</v>
      </c>
      <c r="C101" s="199">
        <v>0</v>
      </c>
      <c r="D101" s="199">
        <v>0</v>
      </c>
      <c r="E101" s="199">
        <v>0</v>
      </c>
      <c r="F101" s="199">
        <v>0</v>
      </c>
      <c r="G101" s="199">
        <v>0</v>
      </c>
      <c r="H101" s="129">
        <v>0</v>
      </c>
    </row>
    <row r="102" spans="1:8" x14ac:dyDescent="0.2">
      <c r="A102" s="127" t="s">
        <v>407</v>
      </c>
      <c r="B102" s="129">
        <v>1</v>
      </c>
      <c r="C102" s="129">
        <v>0</v>
      </c>
      <c r="D102" s="129">
        <v>0</v>
      </c>
      <c r="E102" s="129">
        <v>0</v>
      </c>
      <c r="F102" s="129">
        <v>1</v>
      </c>
      <c r="G102" s="129">
        <v>0</v>
      </c>
      <c r="H102" s="129">
        <v>2</v>
      </c>
    </row>
    <row r="103" spans="1:8" ht="16" x14ac:dyDescent="0.2">
      <c r="A103" s="132" t="s">
        <v>408</v>
      </c>
      <c r="B103" s="199">
        <v>0</v>
      </c>
      <c r="C103" s="199">
        <v>0</v>
      </c>
      <c r="D103" s="199">
        <v>0</v>
      </c>
      <c r="E103" s="199">
        <v>0</v>
      </c>
      <c r="F103" s="199">
        <v>0</v>
      </c>
      <c r="G103" s="199">
        <v>0</v>
      </c>
      <c r="H103" s="129">
        <v>0</v>
      </c>
    </row>
    <row r="104" spans="1:8" x14ac:dyDescent="0.2">
      <c r="A104" s="127" t="s">
        <v>409</v>
      </c>
      <c r="B104" s="129">
        <v>0</v>
      </c>
      <c r="C104" s="129">
        <v>0</v>
      </c>
      <c r="D104" s="129">
        <v>0</v>
      </c>
      <c r="E104" s="129">
        <v>0</v>
      </c>
      <c r="F104" s="129">
        <v>0</v>
      </c>
      <c r="G104" s="129">
        <v>0</v>
      </c>
      <c r="H104" s="129">
        <v>0</v>
      </c>
    </row>
    <row r="105" spans="1:8" x14ac:dyDescent="0.2">
      <c r="A105" s="127" t="s">
        <v>410</v>
      </c>
      <c r="B105" s="129">
        <v>0</v>
      </c>
      <c r="C105" s="129">
        <v>0</v>
      </c>
      <c r="D105" s="129">
        <v>0</v>
      </c>
      <c r="E105" s="129">
        <v>0</v>
      </c>
      <c r="F105" s="129">
        <v>0</v>
      </c>
      <c r="G105" s="129">
        <v>0</v>
      </c>
      <c r="H105" s="129">
        <v>0</v>
      </c>
    </row>
    <row r="106" spans="1:8" ht="16" x14ac:dyDescent="0.2">
      <c r="A106" s="133" t="s">
        <v>411</v>
      </c>
      <c r="B106" s="126">
        <v>0</v>
      </c>
      <c r="C106" s="126">
        <v>0</v>
      </c>
      <c r="D106" s="126">
        <v>0</v>
      </c>
      <c r="E106" s="126">
        <v>0</v>
      </c>
      <c r="F106" s="126">
        <v>0</v>
      </c>
      <c r="G106" s="126">
        <v>0</v>
      </c>
      <c r="H106" s="126">
        <v>0</v>
      </c>
    </row>
    <row r="107" spans="1:8" x14ac:dyDescent="0.2">
      <c r="A107" s="136" t="s">
        <v>412</v>
      </c>
      <c r="B107" s="126">
        <v>1</v>
      </c>
      <c r="C107" s="126">
        <v>0</v>
      </c>
      <c r="D107" s="126">
        <v>0</v>
      </c>
      <c r="E107" s="126">
        <v>0</v>
      </c>
      <c r="F107" s="126">
        <v>0</v>
      </c>
      <c r="G107" s="126">
        <v>0</v>
      </c>
      <c r="H107" s="126">
        <v>1</v>
      </c>
    </row>
    <row r="108" spans="1:8" x14ac:dyDescent="0.2">
      <c r="A108" s="136" t="s">
        <v>413</v>
      </c>
      <c r="B108" s="129">
        <v>0</v>
      </c>
      <c r="C108" s="129">
        <v>0</v>
      </c>
      <c r="D108" s="129">
        <v>0</v>
      </c>
      <c r="E108" s="129">
        <v>0</v>
      </c>
      <c r="F108" s="129">
        <v>0</v>
      </c>
      <c r="G108" s="129">
        <v>0</v>
      </c>
      <c r="H108" s="129">
        <v>0</v>
      </c>
    </row>
    <row r="109" spans="1:8" ht="16" thickBot="1" x14ac:dyDescent="0.25">
      <c r="A109" s="136" t="s">
        <v>414</v>
      </c>
      <c r="B109" s="138">
        <v>0</v>
      </c>
      <c r="C109" s="138">
        <v>0</v>
      </c>
      <c r="D109" s="138">
        <v>0</v>
      </c>
      <c r="E109" s="138">
        <v>0</v>
      </c>
      <c r="F109" s="138">
        <v>0</v>
      </c>
      <c r="G109" s="138">
        <v>0</v>
      </c>
      <c r="H109" s="138">
        <v>0</v>
      </c>
    </row>
    <row r="110" spans="1:8" ht="16" x14ac:dyDescent="0.2">
      <c r="A110" s="139" t="s">
        <v>415</v>
      </c>
      <c r="B110" s="163">
        <v>0</v>
      </c>
      <c r="C110" s="163">
        <v>0</v>
      </c>
      <c r="D110" s="163">
        <v>0</v>
      </c>
      <c r="E110" s="163">
        <v>0</v>
      </c>
      <c r="F110" s="163">
        <v>0</v>
      </c>
      <c r="G110" s="163">
        <v>0</v>
      </c>
      <c r="H110" s="126">
        <v>0</v>
      </c>
    </row>
    <row r="111" spans="1:8" ht="16" x14ac:dyDescent="0.2">
      <c r="A111" s="139" t="s">
        <v>416</v>
      </c>
      <c r="B111" s="199">
        <v>2</v>
      </c>
      <c r="C111" s="199">
        <v>1</v>
      </c>
      <c r="D111" s="199">
        <v>1</v>
      </c>
      <c r="E111" s="199">
        <v>1</v>
      </c>
      <c r="F111" s="199">
        <v>1</v>
      </c>
      <c r="G111" s="199">
        <v>0</v>
      </c>
      <c r="H111" s="129">
        <v>6</v>
      </c>
    </row>
    <row r="112" spans="1:8" ht="16" x14ac:dyDescent="0.2">
      <c r="A112" s="139" t="s">
        <v>417</v>
      </c>
      <c r="B112" s="199">
        <v>0</v>
      </c>
      <c r="C112" s="199">
        <v>0</v>
      </c>
      <c r="D112" s="199">
        <v>0</v>
      </c>
      <c r="E112" s="199">
        <v>0</v>
      </c>
      <c r="F112" s="199">
        <v>0</v>
      </c>
      <c r="G112" s="199">
        <v>0</v>
      </c>
      <c r="H112" s="129">
        <v>0</v>
      </c>
    </row>
    <row r="113" spans="1:8" ht="16" x14ac:dyDescent="0.2">
      <c r="A113" s="139" t="s">
        <v>418</v>
      </c>
      <c r="B113" s="210">
        <v>0</v>
      </c>
      <c r="C113" s="210">
        <v>0</v>
      </c>
      <c r="D113" s="210">
        <v>0</v>
      </c>
      <c r="E113" s="210">
        <v>0</v>
      </c>
      <c r="F113" s="210">
        <v>0</v>
      </c>
      <c r="G113" s="210">
        <v>0</v>
      </c>
      <c r="H113" s="210">
        <v>0</v>
      </c>
    </row>
    <row r="114" spans="1:8" ht="16" x14ac:dyDescent="0.2">
      <c r="A114" s="139" t="s">
        <v>419</v>
      </c>
      <c r="B114" s="199">
        <v>0</v>
      </c>
      <c r="C114" s="199">
        <v>0</v>
      </c>
      <c r="D114" s="199">
        <v>0</v>
      </c>
      <c r="E114" s="199">
        <v>0</v>
      </c>
      <c r="F114" s="199">
        <v>0</v>
      </c>
      <c r="G114" s="199">
        <v>0</v>
      </c>
      <c r="H114" s="199">
        <v>0</v>
      </c>
    </row>
    <row r="115" spans="1:8" x14ac:dyDescent="0.2">
      <c r="A115" s="139" t="s">
        <v>420</v>
      </c>
      <c r="B115" s="129">
        <v>0</v>
      </c>
      <c r="C115" s="129">
        <v>0</v>
      </c>
      <c r="D115" s="129">
        <v>0</v>
      </c>
      <c r="E115" s="129">
        <v>0</v>
      </c>
      <c r="F115" s="129">
        <v>0</v>
      </c>
      <c r="G115" s="129">
        <v>0</v>
      </c>
      <c r="H115" s="129">
        <v>0</v>
      </c>
    </row>
    <row r="116" spans="1:8" ht="16" x14ac:dyDescent="0.2">
      <c r="A116" s="139" t="s">
        <v>421</v>
      </c>
      <c r="B116" s="199">
        <v>0</v>
      </c>
      <c r="C116" s="199">
        <v>0</v>
      </c>
      <c r="D116" s="199">
        <v>0</v>
      </c>
      <c r="E116" s="199">
        <v>0</v>
      </c>
      <c r="F116" s="199">
        <v>0</v>
      </c>
      <c r="G116" s="199">
        <v>0</v>
      </c>
      <c r="H116" s="199">
        <v>0</v>
      </c>
    </row>
    <row r="117" spans="1:8" x14ac:dyDescent="0.2">
      <c r="A117" s="139" t="s">
        <v>422</v>
      </c>
      <c r="B117" s="129">
        <v>0</v>
      </c>
      <c r="C117" s="129">
        <v>0</v>
      </c>
      <c r="D117" s="129">
        <v>0</v>
      </c>
      <c r="E117" s="129">
        <v>0</v>
      </c>
      <c r="F117" s="129">
        <v>0</v>
      </c>
      <c r="G117" s="129">
        <v>0</v>
      </c>
      <c r="H117" s="129">
        <v>0</v>
      </c>
    </row>
    <row r="118" spans="1:8" x14ac:dyDescent="0.2">
      <c r="A118" s="139" t="s">
        <v>423</v>
      </c>
      <c r="B118" s="129">
        <v>0</v>
      </c>
      <c r="C118" s="129">
        <v>0</v>
      </c>
      <c r="D118" s="129">
        <v>0</v>
      </c>
      <c r="E118" s="129">
        <v>0</v>
      </c>
      <c r="F118" s="129">
        <v>0</v>
      </c>
      <c r="G118" s="129">
        <v>0</v>
      </c>
      <c r="H118" s="129">
        <v>0</v>
      </c>
    </row>
    <row r="119" spans="1:8" ht="16" x14ac:dyDescent="0.2">
      <c r="A119" s="124" t="s">
        <v>424</v>
      </c>
      <c r="B119" s="126">
        <v>0</v>
      </c>
      <c r="C119" s="126">
        <v>0</v>
      </c>
      <c r="D119" s="126">
        <v>0</v>
      </c>
      <c r="E119" s="126">
        <v>0</v>
      </c>
      <c r="F119" s="126">
        <v>0</v>
      </c>
      <c r="G119" s="126">
        <v>0</v>
      </c>
      <c r="H119" s="126">
        <v>0</v>
      </c>
    </row>
    <row r="120" spans="1:8" x14ac:dyDescent="0.2">
      <c r="A120" s="139" t="s">
        <v>425</v>
      </c>
      <c r="B120" s="129">
        <v>0</v>
      </c>
      <c r="C120" s="129">
        <v>0</v>
      </c>
      <c r="D120" s="129">
        <v>0</v>
      </c>
      <c r="E120" s="129">
        <v>0</v>
      </c>
      <c r="F120" s="129">
        <v>0</v>
      </c>
      <c r="G120" s="129">
        <v>0</v>
      </c>
      <c r="H120" s="129">
        <v>0</v>
      </c>
    </row>
    <row r="121" spans="1:8" x14ac:dyDescent="0.2">
      <c r="A121" s="139" t="s">
        <v>426</v>
      </c>
      <c r="B121" s="129">
        <v>0</v>
      </c>
      <c r="C121" s="129">
        <v>0</v>
      </c>
      <c r="D121" s="129">
        <v>0</v>
      </c>
      <c r="E121" s="129">
        <v>0</v>
      </c>
      <c r="F121" s="129">
        <v>0</v>
      </c>
      <c r="G121" s="129">
        <v>0</v>
      </c>
      <c r="H121" s="129">
        <v>0</v>
      </c>
    </row>
    <row r="122" spans="1:8" x14ac:dyDescent="0.2">
      <c r="A122" s="149" t="s">
        <v>427</v>
      </c>
      <c r="B122" s="129">
        <v>0</v>
      </c>
      <c r="C122" s="129">
        <v>0</v>
      </c>
      <c r="D122" s="129">
        <v>0</v>
      </c>
      <c r="E122" s="129">
        <v>0</v>
      </c>
      <c r="F122" s="129">
        <v>0</v>
      </c>
      <c r="G122" s="129">
        <v>0</v>
      </c>
      <c r="H122" s="129">
        <v>0</v>
      </c>
    </row>
    <row r="123" spans="1:8" ht="16" x14ac:dyDescent="0.2">
      <c r="A123" s="151" t="s">
        <v>428</v>
      </c>
      <c r="B123" s="126">
        <v>0</v>
      </c>
      <c r="C123" s="126">
        <v>0</v>
      </c>
      <c r="D123" s="126">
        <v>0</v>
      </c>
      <c r="E123" s="126">
        <v>0</v>
      </c>
      <c r="F123" s="126">
        <v>0</v>
      </c>
      <c r="G123" s="126">
        <v>0</v>
      </c>
      <c r="H123" s="126">
        <v>0</v>
      </c>
    </row>
    <row r="124" spans="1:8" ht="16" x14ac:dyDescent="0.2">
      <c r="A124" s="151" t="s">
        <v>429</v>
      </c>
      <c r="B124" s="129">
        <v>0</v>
      </c>
      <c r="C124" s="129">
        <v>0</v>
      </c>
      <c r="D124" s="129">
        <v>0</v>
      </c>
      <c r="E124" s="129">
        <v>0</v>
      </c>
      <c r="F124" s="129">
        <v>0</v>
      </c>
      <c r="G124" s="129">
        <v>0</v>
      </c>
      <c r="H124" s="129">
        <v>0</v>
      </c>
    </row>
    <row r="125" spans="1:8" ht="16" x14ac:dyDescent="0.2">
      <c r="A125" s="152" t="s">
        <v>430</v>
      </c>
      <c r="B125" s="154">
        <v>0</v>
      </c>
      <c r="C125" s="154">
        <v>0</v>
      </c>
      <c r="D125" s="154">
        <v>0</v>
      </c>
      <c r="E125" s="154">
        <v>0</v>
      </c>
      <c r="F125" s="154">
        <v>0</v>
      </c>
      <c r="G125" s="154">
        <v>0</v>
      </c>
      <c r="H125" s="154">
        <v>0</v>
      </c>
    </row>
    <row r="126" spans="1:8" ht="16" x14ac:dyDescent="0.2">
      <c r="A126" s="152" t="s">
        <v>431</v>
      </c>
      <c r="B126" s="129">
        <v>0</v>
      </c>
      <c r="C126" s="129">
        <v>0</v>
      </c>
      <c r="D126" s="129">
        <v>0</v>
      </c>
      <c r="E126" s="129">
        <v>0</v>
      </c>
      <c r="F126" s="129">
        <v>0</v>
      </c>
      <c r="G126" s="129">
        <v>0</v>
      </c>
      <c r="H126" s="129">
        <v>0</v>
      </c>
    </row>
    <row r="127" spans="1:8" x14ac:dyDescent="0.2">
      <c r="A127" s="136" t="s">
        <v>432</v>
      </c>
      <c r="B127" s="129">
        <v>0</v>
      </c>
      <c r="C127" s="129">
        <v>0</v>
      </c>
      <c r="D127" s="129">
        <v>0</v>
      </c>
      <c r="E127" s="129">
        <v>0</v>
      </c>
      <c r="F127" s="129">
        <v>0</v>
      </c>
      <c r="G127" s="129">
        <v>0</v>
      </c>
      <c r="H127" s="129">
        <v>0</v>
      </c>
    </row>
    <row r="128" spans="1:8" x14ac:dyDescent="0.2">
      <c r="A128" s="136" t="s">
        <v>433</v>
      </c>
      <c r="B128" s="126">
        <v>0</v>
      </c>
      <c r="C128" s="126">
        <v>0</v>
      </c>
      <c r="D128" s="126">
        <v>0</v>
      </c>
      <c r="E128" s="126">
        <v>0</v>
      </c>
      <c r="F128" s="126">
        <v>0</v>
      </c>
      <c r="G128" s="126">
        <v>0</v>
      </c>
      <c r="H128" s="126">
        <v>0</v>
      </c>
    </row>
    <row r="129" spans="1:8" x14ac:dyDescent="0.2">
      <c r="A129" s="136" t="s">
        <v>434</v>
      </c>
      <c r="B129" s="129">
        <v>0</v>
      </c>
      <c r="C129" s="129">
        <v>0</v>
      </c>
      <c r="D129" s="129">
        <v>0</v>
      </c>
      <c r="E129" s="129">
        <v>0</v>
      </c>
      <c r="F129" s="129">
        <v>0</v>
      </c>
      <c r="G129" s="129">
        <v>0</v>
      </c>
      <c r="H129" s="129">
        <v>0</v>
      </c>
    </row>
    <row r="130" spans="1:8" x14ac:dyDescent="0.2">
      <c r="A130" s="136" t="s">
        <v>435</v>
      </c>
      <c r="B130" s="129">
        <v>0</v>
      </c>
      <c r="C130" s="129">
        <v>0</v>
      </c>
      <c r="D130" s="129">
        <v>0</v>
      </c>
      <c r="E130" s="129">
        <v>0</v>
      </c>
      <c r="F130" s="129">
        <v>0</v>
      </c>
      <c r="G130" s="129">
        <v>0</v>
      </c>
      <c r="H130" s="129">
        <v>0</v>
      </c>
    </row>
    <row r="131" spans="1:8" x14ac:dyDescent="0.2">
      <c r="A131" s="136" t="s">
        <v>436</v>
      </c>
      <c r="B131" s="129">
        <v>0</v>
      </c>
      <c r="C131" s="129">
        <v>0</v>
      </c>
      <c r="D131" s="129">
        <v>0</v>
      </c>
      <c r="E131" s="129">
        <v>0</v>
      </c>
      <c r="F131" s="129">
        <v>0</v>
      </c>
      <c r="G131" s="129">
        <v>0</v>
      </c>
      <c r="H131" s="129">
        <v>0</v>
      </c>
    </row>
    <row r="132" spans="1:8" x14ac:dyDescent="0.2">
      <c r="A132" s="136" t="s">
        <v>437</v>
      </c>
      <c r="B132" s="129">
        <v>0</v>
      </c>
      <c r="C132" s="129">
        <v>0</v>
      </c>
      <c r="D132" s="129">
        <v>0</v>
      </c>
      <c r="E132" s="129">
        <v>0</v>
      </c>
      <c r="F132" s="129">
        <v>0</v>
      </c>
      <c r="G132" s="129">
        <v>0</v>
      </c>
      <c r="H132" s="129">
        <v>0</v>
      </c>
    </row>
    <row r="133" spans="1:8" x14ac:dyDescent="0.2">
      <c r="A133" s="136" t="s">
        <v>438</v>
      </c>
      <c r="B133" s="131">
        <v>0</v>
      </c>
      <c r="C133" s="131">
        <v>0</v>
      </c>
      <c r="D133" s="131">
        <v>0</v>
      </c>
      <c r="E133" s="131">
        <v>0</v>
      </c>
      <c r="F133" s="131">
        <v>0</v>
      </c>
      <c r="G133" s="131">
        <v>0</v>
      </c>
      <c r="H133" s="131">
        <v>0</v>
      </c>
    </row>
    <row r="134" spans="1:8" ht="16" x14ac:dyDescent="0.2">
      <c r="A134" s="157" t="s">
        <v>439</v>
      </c>
      <c r="B134" s="126">
        <v>0</v>
      </c>
      <c r="C134" s="126">
        <v>0</v>
      </c>
      <c r="D134" s="126">
        <v>0</v>
      </c>
      <c r="E134" s="126">
        <v>0</v>
      </c>
      <c r="F134" s="126">
        <v>0</v>
      </c>
      <c r="G134" s="126">
        <v>0</v>
      </c>
      <c r="H134" s="126">
        <v>0</v>
      </c>
    </row>
    <row r="135" spans="1:8" ht="16" x14ac:dyDescent="0.2">
      <c r="A135" s="132" t="s">
        <v>440</v>
      </c>
      <c r="B135" s="129">
        <v>0</v>
      </c>
      <c r="C135" s="129">
        <v>0</v>
      </c>
      <c r="D135" s="129">
        <v>0</v>
      </c>
      <c r="E135" s="129">
        <v>0</v>
      </c>
      <c r="F135" s="129">
        <v>0</v>
      </c>
      <c r="G135" s="129">
        <v>0</v>
      </c>
      <c r="H135" s="129">
        <v>0</v>
      </c>
    </row>
    <row r="136" spans="1:8" x14ac:dyDescent="0.2">
      <c r="A136" s="136" t="s">
        <v>441</v>
      </c>
      <c r="B136" s="28">
        <v>0</v>
      </c>
      <c r="C136" s="28">
        <v>0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</row>
    <row r="137" spans="1:8" ht="16" x14ac:dyDescent="0.2">
      <c r="A137" s="136" t="s">
        <v>442</v>
      </c>
      <c r="B137" s="200">
        <v>0</v>
      </c>
      <c r="C137" s="200">
        <v>0</v>
      </c>
      <c r="D137" s="200">
        <v>0</v>
      </c>
      <c r="E137" s="200">
        <v>0</v>
      </c>
      <c r="F137" s="200">
        <v>0</v>
      </c>
      <c r="G137" s="200">
        <v>0</v>
      </c>
      <c r="H137" s="28">
        <v>0</v>
      </c>
    </row>
    <row r="138" spans="1:8" x14ac:dyDescent="0.2">
      <c r="A138" s="136" t="s">
        <v>443</v>
      </c>
      <c r="B138" s="28">
        <v>0</v>
      </c>
      <c r="C138" s="28">
        <v>0</v>
      </c>
      <c r="D138" s="28">
        <v>0</v>
      </c>
      <c r="E138" s="28">
        <v>0</v>
      </c>
      <c r="F138" s="28">
        <v>0</v>
      </c>
      <c r="G138" s="28">
        <v>0</v>
      </c>
      <c r="H138" s="28">
        <v>0</v>
      </c>
    </row>
    <row r="139" spans="1:8" x14ac:dyDescent="0.2">
      <c r="A139" s="136" t="s">
        <v>444</v>
      </c>
      <c r="B139" s="28">
        <v>0</v>
      </c>
      <c r="C139" s="28">
        <v>0</v>
      </c>
      <c r="D139" s="28">
        <v>0</v>
      </c>
      <c r="E139" s="28">
        <v>0</v>
      </c>
      <c r="F139" s="28">
        <v>0</v>
      </c>
      <c r="G139" s="28">
        <v>0</v>
      </c>
      <c r="H139" s="28">
        <v>0</v>
      </c>
    </row>
    <row r="140" spans="1:8" x14ac:dyDescent="0.2">
      <c r="A140" s="136" t="s">
        <v>445</v>
      </c>
      <c r="B140" s="28">
        <v>0</v>
      </c>
      <c r="C140" s="28">
        <v>0</v>
      </c>
      <c r="D140" s="28">
        <v>0</v>
      </c>
      <c r="E140" s="28">
        <v>0</v>
      </c>
      <c r="F140" s="28">
        <v>0</v>
      </c>
      <c r="G140" s="28">
        <v>0</v>
      </c>
      <c r="H140" s="28">
        <v>0</v>
      </c>
    </row>
    <row r="141" spans="1:8" ht="16" x14ac:dyDescent="0.2">
      <c r="A141" s="132" t="s">
        <v>446</v>
      </c>
      <c r="B141" s="154">
        <v>1</v>
      </c>
      <c r="C141" s="154">
        <v>0</v>
      </c>
      <c r="D141" s="154">
        <v>0</v>
      </c>
      <c r="E141" s="154">
        <v>0</v>
      </c>
      <c r="F141" s="154">
        <v>1</v>
      </c>
      <c r="G141" s="154">
        <v>0</v>
      </c>
      <c r="H141" s="154">
        <v>2</v>
      </c>
    </row>
    <row r="142" spans="1:8" x14ac:dyDescent="0.2">
      <c r="A142" s="127" t="s">
        <v>447</v>
      </c>
      <c r="B142" s="154">
        <v>0</v>
      </c>
      <c r="C142" s="154">
        <v>0</v>
      </c>
      <c r="D142" s="154">
        <v>0</v>
      </c>
      <c r="E142" s="154">
        <v>0</v>
      </c>
      <c r="F142" s="154">
        <v>0</v>
      </c>
      <c r="G142" s="154">
        <v>0</v>
      </c>
      <c r="H142" s="154">
        <v>0</v>
      </c>
    </row>
    <row r="143" spans="1:8" x14ac:dyDescent="0.2">
      <c r="A143" s="127" t="s">
        <v>448</v>
      </c>
      <c r="B143" s="154">
        <v>1</v>
      </c>
      <c r="C143" s="154">
        <v>0</v>
      </c>
      <c r="D143" s="154">
        <v>0</v>
      </c>
      <c r="E143" s="154">
        <v>0</v>
      </c>
      <c r="F143" s="154">
        <v>0</v>
      </c>
      <c r="G143" s="154">
        <v>0</v>
      </c>
      <c r="H143" s="154">
        <v>1</v>
      </c>
    </row>
    <row r="144" spans="1:8" x14ac:dyDescent="0.2">
      <c r="A144" s="127" t="s">
        <v>449</v>
      </c>
      <c r="B144" s="115">
        <v>0</v>
      </c>
      <c r="C144" s="115">
        <v>0</v>
      </c>
      <c r="D144" s="115">
        <v>0</v>
      </c>
      <c r="E144" s="115">
        <v>0</v>
      </c>
      <c r="F144" s="115">
        <v>0</v>
      </c>
      <c r="G144" s="115">
        <v>0</v>
      </c>
      <c r="H144" s="115">
        <v>0</v>
      </c>
    </row>
    <row r="145" spans="1:8" x14ac:dyDescent="0.2">
      <c r="A145" s="161" t="s">
        <v>450</v>
      </c>
      <c r="B145" s="154">
        <v>0</v>
      </c>
      <c r="C145" s="154">
        <v>0</v>
      </c>
      <c r="D145" s="154">
        <v>0</v>
      </c>
      <c r="E145" s="154">
        <v>0</v>
      </c>
      <c r="F145" s="154">
        <v>0</v>
      </c>
      <c r="G145" s="154">
        <v>0</v>
      </c>
      <c r="H145" s="154">
        <v>0</v>
      </c>
    </row>
    <row r="146" spans="1:8" x14ac:dyDescent="0.2">
      <c r="A146" s="161" t="s">
        <v>451</v>
      </c>
      <c r="B146" s="222">
        <v>0</v>
      </c>
      <c r="C146" s="222">
        <v>0</v>
      </c>
      <c r="D146" s="222">
        <v>0</v>
      </c>
      <c r="E146" s="222">
        <v>0</v>
      </c>
      <c r="F146" s="222">
        <v>0</v>
      </c>
      <c r="G146" s="222">
        <v>0</v>
      </c>
      <c r="H146" s="115">
        <v>0</v>
      </c>
    </row>
    <row r="147" spans="1:8" x14ac:dyDescent="0.2">
      <c r="A147" s="161" t="s">
        <v>452</v>
      </c>
      <c r="B147" s="154">
        <v>0</v>
      </c>
      <c r="C147" s="154">
        <v>0</v>
      </c>
      <c r="D147" s="154">
        <v>0</v>
      </c>
      <c r="E147" s="154">
        <v>0</v>
      </c>
      <c r="F147" s="154">
        <v>0</v>
      </c>
      <c r="G147" s="154">
        <v>0</v>
      </c>
      <c r="H147" s="154">
        <v>0</v>
      </c>
    </row>
    <row r="148" spans="1:8" x14ac:dyDescent="0.2">
      <c r="A148" s="161" t="s">
        <v>453</v>
      </c>
      <c r="B148" s="115">
        <v>0</v>
      </c>
      <c r="C148" s="115">
        <v>0</v>
      </c>
      <c r="D148" s="115">
        <v>0</v>
      </c>
      <c r="E148" s="115">
        <v>0</v>
      </c>
      <c r="F148" s="115">
        <v>0</v>
      </c>
      <c r="G148" s="115">
        <v>0</v>
      </c>
      <c r="H148" s="115">
        <v>0</v>
      </c>
    </row>
    <row r="149" spans="1:8" x14ac:dyDescent="0.2">
      <c r="A149" s="161" t="s">
        <v>454</v>
      </c>
      <c r="B149" s="167">
        <v>1</v>
      </c>
      <c r="C149" s="167">
        <v>0</v>
      </c>
      <c r="D149" s="167">
        <v>0</v>
      </c>
      <c r="E149" s="167">
        <v>0</v>
      </c>
      <c r="F149" s="167">
        <v>0</v>
      </c>
      <c r="G149" s="167">
        <v>0</v>
      </c>
      <c r="H149" s="167">
        <v>1</v>
      </c>
    </row>
    <row r="150" spans="1:8" ht="16" x14ac:dyDescent="0.2">
      <c r="A150" s="168" t="s">
        <v>455</v>
      </c>
      <c r="B150" s="224">
        <v>0</v>
      </c>
      <c r="C150" s="224">
        <v>0</v>
      </c>
      <c r="D150" s="224">
        <v>0</v>
      </c>
      <c r="E150" s="224">
        <v>0</v>
      </c>
      <c r="F150" s="224">
        <v>0</v>
      </c>
      <c r="G150" s="224">
        <v>0</v>
      </c>
      <c r="H150" s="224">
        <v>0</v>
      </c>
    </row>
    <row r="151" spans="1:8" ht="16" x14ac:dyDescent="0.2">
      <c r="A151" s="168" t="s">
        <v>456</v>
      </c>
      <c r="B151" s="223">
        <v>0</v>
      </c>
      <c r="C151" s="223">
        <v>0</v>
      </c>
      <c r="D151" s="223">
        <v>0</v>
      </c>
      <c r="E151" s="223">
        <v>0</v>
      </c>
      <c r="F151" s="223">
        <v>0</v>
      </c>
      <c r="G151" s="223">
        <v>0</v>
      </c>
      <c r="H151" s="223">
        <v>0</v>
      </c>
    </row>
    <row r="152" spans="1:8" ht="16" x14ac:dyDescent="0.2">
      <c r="A152" s="168" t="s">
        <v>457</v>
      </c>
      <c r="B152" s="223">
        <v>0</v>
      </c>
      <c r="C152" s="223">
        <v>0</v>
      </c>
      <c r="D152" s="223">
        <v>0</v>
      </c>
      <c r="E152" s="223">
        <v>0</v>
      </c>
      <c r="F152" s="223">
        <v>0</v>
      </c>
      <c r="G152" s="223">
        <v>0</v>
      </c>
      <c r="H152" s="223">
        <v>0</v>
      </c>
    </row>
    <row r="153" spans="1:8" ht="16" x14ac:dyDescent="0.2">
      <c r="A153" s="168" t="s">
        <v>458</v>
      </c>
      <c r="B153" s="167">
        <v>0</v>
      </c>
      <c r="C153" s="167">
        <v>0</v>
      </c>
      <c r="D153" s="167">
        <v>0</v>
      </c>
      <c r="E153" s="167">
        <v>0</v>
      </c>
      <c r="F153" s="167">
        <v>0</v>
      </c>
      <c r="G153" s="167">
        <v>0</v>
      </c>
      <c r="H153" s="167">
        <v>0</v>
      </c>
    </row>
    <row r="154" spans="1:8" ht="16" x14ac:dyDescent="0.2">
      <c r="A154" s="168" t="s">
        <v>459</v>
      </c>
      <c r="B154" s="224">
        <v>0</v>
      </c>
      <c r="C154" s="224">
        <v>0</v>
      </c>
      <c r="D154" s="224">
        <v>0</v>
      </c>
      <c r="E154" s="224">
        <v>0</v>
      </c>
      <c r="F154" s="224">
        <v>0</v>
      </c>
      <c r="G154" s="224">
        <v>0</v>
      </c>
      <c r="H154" s="224">
        <v>0</v>
      </c>
    </row>
    <row r="155" spans="1:8" ht="16" x14ac:dyDescent="0.2">
      <c r="A155" s="168" t="s">
        <v>460</v>
      </c>
      <c r="B155" s="223">
        <v>0</v>
      </c>
      <c r="C155" s="223">
        <v>0</v>
      </c>
      <c r="D155" s="223">
        <v>0</v>
      </c>
      <c r="E155" s="223">
        <v>0</v>
      </c>
      <c r="F155" s="223">
        <v>0</v>
      </c>
      <c r="G155" s="223">
        <v>0</v>
      </c>
      <c r="H155" s="223">
        <v>0</v>
      </c>
    </row>
    <row r="156" spans="1:8" ht="17" thickBot="1" x14ac:dyDescent="0.25">
      <c r="A156" s="169" t="s">
        <v>461</v>
      </c>
      <c r="B156" s="226">
        <v>0</v>
      </c>
      <c r="C156" s="226">
        <v>0</v>
      </c>
      <c r="D156" s="226">
        <v>0</v>
      </c>
      <c r="E156" s="226">
        <v>0</v>
      </c>
      <c r="F156" s="226">
        <v>0</v>
      </c>
      <c r="G156" s="226">
        <v>0</v>
      </c>
      <c r="H156" s="226">
        <v>0</v>
      </c>
    </row>
    <row r="157" spans="1:8" x14ac:dyDescent="0.2">
      <c r="A157" s="172" t="s">
        <v>462</v>
      </c>
      <c r="B157" s="154">
        <v>0</v>
      </c>
      <c r="C157" s="154">
        <v>0</v>
      </c>
      <c r="D157" s="154">
        <v>0</v>
      </c>
      <c r="E157" s="154">
        <v>0</v>
      </c>
      <c r="F157" s="154">
        <v>0</v>
      </c>
      <c r="G157" s="154">
        <v>0</v>
      </c>
      <c r="H157" s="227">
        <v>0</v>
      </c>
    </row>
    <row r="158" spans="1:8" ht="16" x14ac:dyDescent="0.2">
      <c r="A158" s="132" t="s">
        <v>463</v>
      </c>
      <c r="B158" s="227">
        <v>0</v>
      </c>
      <c r="C158" s="227">
        <v>0</v>
      </c>
      <c r="D158" s="227">
        <v>0</v>
      </c>
      <c r="E158" s="227">
        <v>0</v>
      </c>
      <c r="F158" s="227">
        <v>0</v>
      </c>
      <c r="G158" s="227">
        <v>0</v>
      </c>
      <c r="H158" s="227">
        <v>0</v>
      </c>
    </row>
    <row r="159" spans="1:8" ht="17" thickBot="1" x14ac:dyDescent="0.25">
      <c r="A159" s="132" t="s">
        <v>464</v>
      </c>
      <c r="B159" s="138">
        <v>0</v>
      </c>
      <c r="C159" s="138">
        <v>0</v>
      </c>
      <c r="D159" s="138">
        <v>0</v>
      </c>
      <c r="E159" s="138">
        <v>0</v>
      </c>
      <c r="F159" s="138">
        <v>0</v>
      </c>
      <c r="G159" s="138">
        <v>0</v>
      </c>
      <c r="H159" s="126">
        <v>0</v>
      </c>
    </row>
    <row r="160" spans="1:8" ht="16" x14ac:dyDescent="0.2">
      <c r="A160" s="127" t="s">
        <v>465</v>
      </c>
      <c r="B160" s="228">
        <v>0</v>
      </c>
      <c r="C160" s="228">
        <v>0</v>
      </c>
      <c r="D160" s="228">
        <v>0</v>
      </c>
      <c r="E160" s="228">
        <v>0</v>
      </c>
      <c r="F160" s="228">
        <v>0</v>
      </c>
      <c r="G160" s="228">
        <v>0</v>
      </c>
      <c r="H160" s="227">
        <v>0</v>
      </c>
    </row>
    <row r="161" spans="1:8" ht="16" x14ac:dyDescent="0.2">
      <c r="A161" s="127" t="s">
        <v>466</v>
      </c>
      <c r="B161" s="189">
        <v>0</v>
      </c>
      <c r="C161" s="189">
        <v>0</v>
      </c>
      <c r="D161" s="189">
        <v>0</v>
      </c>
      <c r="E161" s="189">
        <v>0</v>
      </c>
      <c r="F161" s="189">
        <v>0</v>
      </c>
      <c r="G161" s="189">
        <v>0</v>
      </c>
      <c r="H161" s="222">
        <v>0</v>
      </c>
    </row>
    <row r="162" spans="1:8" ht="16" x14ac:dyDescent="0.2">
      <c r="A162" s="132" t="s">
        <v>467</v>
      </c>
      <c r="B162" s="154">
        <v>0</v>
      </c>
      <c r="C162" s="154">
        <v>0</v>
      </c>
      <c r="D162" s="154">
        <v>0</v>
      </c>
      <c r="E162" s="154">
        <v>0</v>
      </c>
      <c r="F162" s="154">
        <v>0</v>
      </c>
      <c r="G162" s="154">
        <v>0</v>
      </c>
      <c r="H162" s="227">
        <v>0</v>
      </c>
    </row>
    <row r="163" spans="1:8" ht="16" x14ac:dyDescent="0.2">
      <c r="A163" s="132" t="s">
        <v>468</v>
      </c>
      <c r="B163" s="216">
        <v>2</v>
      </c>
      <c r="C163" s="216">
        <v>2</v>
      </c>
      <c r="D163" s="216">
        <v>0</v>
      </c>
      <c r="E163" s="216">
        <v>2</v>
      </c>
      <c r="F163" s="216">
        <v>2</v>
      </c>
      <c r="G163" s="216">
        <v>1</v>
      </c>
      <c r="H163" s="227">
        <v>9</v>
      </c>
    </row>
    <row r="164" spans="1:8" ht="16" x14ac:dyDescent="0.2">
      <c r="A164" s="132" t="s">
        <v>469</v>
      </c>
      <c r="B164" s="154">
        <v>1</v>
      </c>
      <c r="C164" s="154">
        <v>0</v>
      </c>
      <c r="D164" s="154">
        <v>0</v>
      </c>
      <c r="E164" s="154">
        <v>0</v>
      </c>
      <c r="F164" s="154">
        <v>0</v>
      </c>
      <c r="G164" s="154">
        <v>0</v>
      </c>
      <c r="H164" s="227">
        <v>1</v>
      </c>
    </row>
    <row r="165" spans="1:8" ht="16" x14ac:dyDescent="0.2">
      <c r="A165" s="132" t="s">
        <v>470</v>
      </c>
      <c r="B165" s="115">
        <v>0</v>
      </c>
      <c r="C165" s="115">
        <v>0</v>
      </c>
      <c r="D165" s="115">
        <v>0</v>
      </c>
      <c r="E165" s="115">
        <v>1</v>
      </c>
      <c r="F165" s="115">
        <v>1</v>
      </c>
      <c r="G165" s="115">
        <v>0</v>
      </c>
      <c r="H165" s="222">
        <v>2</v>
      </c>
    </row>
    <row r="166" spans="1:8" ht="16" x14ac:dyDescent="0.2">
      <c r="A166" s="132" t="s">
        <v>471</v>
      </c>
      <c r="B166" s="115">
        <v>1</v>
      </c>
      <c r="C166" s="115">
        <v>1</v>
      </c>
      <c r="D166" s="115">
        <v>0</v>
      </c>
      <c r="E166" s="115">
        <v>0</v>
      </c>
      <c r="F166" s="115">
        <v>0</v>
      </c>
      <c r="G166" s="115">
        <v>0</v>
      </c>
      <c r="H166" s="222">
        <v>2</v>
      </c>
    </row>
    <row r="167" spans="1:8" ht="16" x14ac:dyDescent="0.2">
      <c r="A167" s="132" t="s">
        <v>472</v>
      </c>
      <c r="B167" s="115">
        <v>1</v>
      </c>
      <c r="C167" s="115">
        <v>0</v>
      </c>
      <c r="D167" s="115">
        <v>0</v>
      </c>
      <c r="E167" s="115">
        <v>0</v>
      </c>
      <c r="F167" s="115">
        <v>0</v>
      </c>
      <c r="G167" s="115">
        <v>0</v>
      </c>
      <c r="H167" s="222">
        <v>1</v>
      </c>
    </row>
    <row r="168" spans="1:8" ht="16" x14ac:dyDescent="0.2">
      <c r="A168" s="132" t="s">
        <v>473</v>
      </c>
      <c r="B168" s="115">
        <v>1</v>
      </c>
      <c r="C168" s="115">
        <v>0</v>
      </c>
      <c r="D168" s="115">
        <v>0</v>
      </c>
      <c r="E168" s="115">
        <v>0</v>
      </c>
      <c r="F168" s="115">
        <v>0</v>
      </c>
      <c r="G168" s="115">
        <v>0</v>
      </c>
      <c r="H168" s="222">
        <v>1</v>
      </c>
    </row>
    <row r="169" spans="1:8" ht="16" x14ac:dyDescent="0.2">
      <c r="A169" s="132" t="s">
        <v>474</v>
      </c>
      <c r="B169" s="115">
        <v>2</v>
      </c>
      <c r="C169" s="115">
        <v>2</v>
      </c>
      <c r="D169" s="115">
        <v>0</v>
      </c>
      <c r="E169" s="115">
        <v>1</v>
      </c>
      <c r="F169" s="115">
        <v>1</v>
      </c>
      <c r="G169" s="115">
        <v>0</v>
      </c>
      <c r="H169" s="222">
        <v>6</v>
      </c>
    </row>
    <row r="170" spans="1:8" ht="16" x14ac:dyDescent="0.2">
      <c r="A170" s="175" t="s">
        <v>475</v>
      </c>
      <c r="B170" s="115">
        <v>0</v>
      </c>
      <c r="C170" s="115">
        <v>0</v>
      </c>
      <c r="D170" s="115">
        <v>0</v>
      </c>
      <c r="E170" s="115">
        <v>0</v>
      </c>
      <c r="F170" s="115">
        <v>0</v>
      </c>
      <c r="G170" s="115">
        <v>0</v>
      </c>
      <c r="H170" s="222">
        <v>0</v>
      </c>
    </row>
    <row r="171" spans="1:8" ht="16" x14ac:dyDescent="0.2">
      <c r="A171" s="168" t="s">
        <v>476</v>
      </c>
      <c r="B171" s="115">
        <v>0</v>
      </c>
      <c r="C171" s="115">
        <v>0</v>
      </c>
      <c r="D171" s="115">
        <v>0</v>
      </c>
      <c r="E171" s="115">
        <v>0</v>
      </c>
      <c r="F171" s="115">
        <v>0</v>
      </c>
      <c r="G171" s="115">
        <v>0</v>
      </c>
      <c r="H171" s="222">
        <v>0</v>
      </c>
    </row>
    <row r="172" spans="1:8" ht="16" x14ac:dyDescent="0.2">
      <c r="A172" s="168" t="s">
        <v>477</v>
      </c>
      <c r="B172" s="115">
        <v>0</v>
      </c>
      <c r="C172" s="115">
        <v>0</v>
      </c>
      <c r="D172" s="115">
        <v>0</v>
      </c>
      <c r="E172" s="115">
        <v>0</v>
      </c>
      <c r="F172" s="115">
        <v>0</v>
      </c>
      <c r="G172" s="115">
        <v>0</v>
      </c>
      <c r="H172" s="222">
        <v>0</v>
      </c>
    </row>
    <row r="173" spans="1:8" ht="16" x14ac:dyDescent="0.2">
      <c r="A173" s="168" t="s">
        <v>478</v>
      </c>
      <c r="B173" s="115">
        <v>0</v>
      </c>
      <c r="C173" s="115">
        <v>0</v>
      </c>
      <c r="D173" s="115">
        <v>0</v>
      </c>
      <c r="E173" s="115">
        <v>0</v>
      </c>
      <c r="F173" s="115">
        <v>0</v>
      </c>
      <c r="G173" s="115">
        <v>0</v>
      </c>
      <c r="H173" s="222">
        <v>0</v>
      </c>
    </row>
    <row r="174" spans="1:8" ht="16" x14ac:dyDescent="0.2">
      <c r="A174" s="168" t="s">
        <v>479</v>
      </c>
      <c r="B174" s="115">
        <v>0</v>
      </c>
      <c r="C174" s="115">
        <v>0</v>
      </c>
      <c r="D174" s="115">
        <v>0</v>
      </c>
      <c r="E174" s="115">
        <v>0</v>
      </c>
      <c r="F174" s="115">
        <v>0</v>
      </c>
      <c r="G174" s="115">
        <v>0</v>
      </c>
      <c r="H174" s="222">
        <v>0</v>
      </c>
    </row>
    <row r="175" spans="1:8" ht="16" x14ac:dyDescent="0.2">
      <c r="A175" s="168" t="s">
        <v>480</v>
      </c>
      <c r="B175" s="115">
        <v>0</v>
      </c>
      <c r="C175" s="115">
        <v>0</v>
      </c>
      <c r="D175" s="115">
        <v>0</v>
      </c>
      <c r="E175" s="115">
        <v>0</v>
      </c>
      <c r="F175" s="115">
        <v>0</v>
      </c>
      <c r="G175" s="115">
        <v>0</v>
      </c>
      <c r="H175" s="222">
        <v>0</v>
      </c>
    </row>
    <row r="176" spans="1:8" ht="16" x14ac:dyDescent="0.2">
      <c r="A176" s="168" t="s">
        <v>481</v>
      </c>
      <c r="B176" s="115">
        <v>1</v>
      </c>
      <c r="C176" s="115">
        <v>1</v>
      </c>
      <c r="D176" s="115">
        <v>0</v>
      </c>
      <c r="E176" s="115">
        <v>1</v>
      </c>
      <c r="F176" s="115">
        <v>1</v>
      </c>
      <c r="G176" s="115">
        <v>0</v>
      </c>
      <c r="H176" s="115">
        <v>4</v>
      </c>
    </row>
    <row r="177" spans="1:8" ht="16" x14ac:dyDescent="0.2">
      <c r="A177" s="168" t="s">
        <v>482</v>
      </c>
      <c r="B177" s="115">
        <v>0</v>
      </c>
      <c r="C177" s="115">
        <v>0</v>
      </c>
      <c r="D177" s="115">
        <v>0</v>
      </c>
      <c r="E177" s="115">
        <v>0</v>
      </c>
      <c r="F177" s="115">
        <v>0</v>
      </c>
      <c r="G177" s="115">
        <v>0</v>
      </c>
      <c r="H177" s="115">
        <v>0</v>
      </c>
    </row>
    <row r="178" spans="1:8" ht="16" x14ac:dyDescent="0.2">
      <c r="A178" s="168" t="s">
        <v>483</v>
      </c>
      <c r="B178" s="115">
        <v>1</v>
      </c>
      <c r="C178" s="115">
        <v>0</v>
      </c>
      <c r="D178" s="115">
        <v>0</v>
      </c>
      <c r="E178" s="115">
        <v>0</v>
      </c>
      <c r="F178" s="115">
        <v>0</v>
      </c>
      <c r="G178" s="115">
        <v>0</v>
      </c>
      <c r="H178" s="115">
        <v>1</v>
      </c>
    </row>
    <row r="179" spans="1:8" ht="16" x14ac:dyDescent="0.2">
      <c r="A179" s="168" t="s">
        <v>484</v>
      </c>
      <c r="B179" s="115">
        <v>0</v>
      </c>
      <c r="C179" s="115">
        <v>0</v>
      </c>
      <c r="D179" s="115">
        <v>0</v>
      </c>
      <c r="E179" s="115">
        <v>0</v>
      </c>
      <c r="F179" s="115">
        <v>0</v>
      </c>
      <c r="G179" s="115">
        <v>0</v>
      </c>
      <c r="H179" s="115">
        <v>0</v>
      </c>
    </row>
    <row r="180" spans="1:8" ht="16" x14ac:dyDescent="0.2">
      <c r="A180" s="168" t="s">
        <v>485</v>
      </c>
      <c r="B180" s="115">
        <v>0</v>
      </c>
      <c r="C180" s="115">
        <v>0</v>
      </c>
      <c r="D180" s="115">
        <v>0</v>
      </c>
      <c r="E180" s="115">
        <v>0</v>
      </c>
      <c r="F180" s="115">
        <v>0</v>
      </c>
      <c r="G180" s="115">
        <v>0</v>
      </c>
      <c r="H180" s="115">
        <v>0</v>
      </c>
    </row>
    <row r="181" spans="1:8" ht="16" x14ac:dyDescent="0.2">
      <c r="A181" s="168" t="s">
        <v>486</v>
      </c>
      <c r="B181" s="115">
        <v>0</v>
      </c>
      <c r="C181" s="115">
        <v>0</v>
      </c>
      <c r="D181" s="115">
        <v>0</v>
      </c>
      <c r="E181" s="115">
        <v>0</v>
      </c>
      <c r="F181" s="115">
        <v>0</v>
      </c>
      <c r="G181" s="115">
        <v>0</v>
      </c>
      <c r="H181" s="115">
        <v>0</v>
      </c>
    </row>
    <row r="182" spans="1:8" ht="16" x14ac:dyDescent="0.2">
      <c r="A182" s="168" t="s">
        <v>487</v>
      </c>
      <c r="B182" s="154">
        <v>2</v>
      </c>
      <c r="C182" s="154">
        <v>2</v>
      </c>
      <c r="D182" s="154">
        <v>0</v>
      </c>
      <c r="E182" s="154">
        <v>0</v>
      </c>
      <c r="F182" s="154">
        <v>0</v>
      </c>
      <c r="G182" s="154">
        <v>0</v>
      </c>
      <c r="H182" s="154">
        <v>4</v>
      </c>
    </row>
    <row r="183" spans="1:8" ht="16" x14ac:dyDescent="0.2">
      <c r="A183" s="168" t="s">
        <v>488</v>
      </c>
      <c r="B183" s="167">
        <v>0</v>
      </c>
      <c r="C183" s="167">
        <v>0</v>
      </c>
      <c r="D183" s="167">
        <v>0</v>
      </c>
      <c r="E183" s="167">
        <v>0</v>
      </c>
      <c r="F183" s="167">
        <v>0</v>
      </c>
      <c r="G183" s="167">
        <v>0</v>
      </c>
      <c r="H183" s="167">
        <v>0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96"/>
  <sheetViews>
    <sheetView workbookViewId="0">
      <selection activeCell="D102" sqref="B92:D102"/>
    </sheetView>
  </sheetViews>
  <sheetFormatPr baseColWidth="10" defaultColWidth="32.5" defaultRowHeight="15" x14ac:dyDescent="0.2"/>
  <cols>
    <col min="1" max="1" width="32.5" style="14"/>
    <col min="2" max="2" width="32.5" style="9"/>
    <col min="3" max="7" width="32.5" style="8"/>
  </cols>
  <sheetData>
    <row r="1" spans="1:7" s="12" customFormat="1" ht="89.25" customHeight="1" x14ac:dyDescent="0.2">
      <c r="A1" s="350" t="s">
        <v>497</v>
      </c>
      <c r="B1" s="18" t="s">
        <v>164</v>
      </c>
      <c r="C1" s="5" t="s">
        <v>165</v>
      </c>
      <c r="D1" s="5" t="s">
        <v>166</v>
      </c>
      <c r="E1" s="5" t="s">
        <v>167</v>
      </c>
      <c r="F1" s="5" t="s">
        <v>168</v>
      </c>
      <c r="G1" s="3" t="s">
        <v>169</v>
      </c>
    </row>
    <row r="2" spans="1:7" ht="16" x14ac:dyDescent="0.2">
      <c r="A2" s="350" t="s">
        <v>497</v>
      </c>
      <c r="B2" s="344" t="str">
        <f>_xlfn.XLOOKUP(B1,EQ[Pregunta],EQ[ITEM_CODE],"XXXXXX")</f>
        <v>MOBILITY</v>
      </c>
      <c r="C2" s="344" t="str">
        <f>_xlfn.XLOOKUP(C1,EQ[Pregunta],EQ[ITEM_CODE],"XXXXXX")</f>
        <v>SELFCARE</v>
      </c>
      <c r="D2" s="344" t="str">
        <f>_xlfn.XLOOKUP(D1,EQ[Pregunta],EQ[ITEM_CODE],"XXXXXX")</f>
        <v>ADL</v>
      </c>
      <c r="E2" s="344" t="str">
        <f>_xlfn.XLOOKUP(E1,EQ[Pregunta],EQ[ITEM_CODE],"XXXXXX")</f>
        <v>PAIN</v>
      </c>
      <c r="F2" s="344" t="str">
        <f>_xlfn.XLOOKUP(F1,EQ[Pregunta],EQ[ITEM_CODE],"XXXXXX")</f>
        <v>DEPRESS</v>
      </c>
      <c r="G2" s="344" t="str">
        <f>_xlfn.XLOOKUP(G1,EQ[Pregunta],EQ[ITEM_CODE],"XXXXXX")</f>
        <v>SELF_HEALTH_COND</v>
      </c>
    </row>
    <row r="3" spans="1:7" s="6" customFormat="1" x14ac:dyDescent="0.2">
      <c r="A3" s="351" t="s">
        <v>297</v>
      </c>
      <c r="B3" s="93">
        <v>0</v>
      </c>
      <c r="C3" s="33">
        <v>0</v>
      </c>
      <c r="D3" s="33">
        <v>2</v>
      </c>
      <c r="E3" s="33">
        <v>2</v>
      </c>
      <c r="F3" s="33">
        <v>0</v>
      </c>
      <c r="G3" s="33">
        <v>70</v>
      </c>
    </row>
    <row r="4" spans="1:7" x14ac:dyDescent="0.2">
      <c r="A4" s="351" t="s">
        <v>298</v>
      </c>
      <c r="B4" s="93">
        <v>0</v>
      </c>
      <c r="C4" s="33">
        <v>2</v>
      </c>
      <c r="D4" s="33">
        <v>2</v>
      </c>
      <c r="E4" s="33">
        <v>2</v>
      </c>
      <c r="F4" s="33">
        <v>0</v>
      </c>
      <c r="G4" s="33">
        <v>80</v>
      </c>
    </row>
    <row r="5" spans="1:7" x14ac:dyDescent="0.2">
      <c r="A5" s="351" t="s">
        <v>299</v>
      </c>
      <c r="B5" s="93">
        <v>0</v>
      </c>
      <c r="C5" s="33">
        <v>0</v>
      </c>
      <c r="D5" s="33">
        <v>2</v>
      </c>
      <c r="E5" s="33">
        <v>2</v>
      </c>
      <c r="F5" s="33">
        <v>2</v>
      </c>
      <c r="G5" s="33">
        <v>25</v>
      </c>
    </row>
    <row r="6" spans="1:7" x14ac:dyDescent="0.2">
      <c r="A6" s="351" t="s">
        <v>300</v>
      </c>
      <c r="B6" s="93">
        <v>2</v>
      </c>
      <c r="C6" s="33">
        <v>4</v>
      </c>
      <c r="D6" s="33">
        <v>2</v>
      </c>
      <c r="E6" s="33">
        <v>2</v>
      </c>
      <c r="F6" s="33">
        <v>2</v>
      </c>
      <c r="G6" s="33">
        <v>50</v>
      </c>
    </row>
    <row r="7" spans="1:7" x14ac:dyDescent="0.2">
      <c r="A7" s="351" t="s">
        <v>301</v>
      </c>
      <c r="B7" s="93">
        <v>2</v>
      </c>
      <c r="C7" s="33">
        <v>0</v>
      </c>
      <c r="D7" s="33">
        <v>0</v>
      </c>
      <c r="E7" s="33">
        <v>2</v>
      </c>
      <c r="F7" s="33">
        <v>0</v>
      </c>
      <c r="G7" s="33">
        <v>80</v>
      </c>
    </row>
    <row r="8" spans="1:7" x14ac:dyDescent="0.2">
      <c r="A8" s="351" t="s">
        <v>302</v>
      </c>
      <c r="B8" s="93">
        <v>2</v>
      </c>
      <c r="C8" s="33">
        <v>0</v>
      </c>
      <c r="D8" s="33">
        <v>0</v>
      </c>
      <c r="E8" s="33">
        <v>0</v>
      </c>
      <c r="F8" s="33">
        <v>0</v>
      </c>
      <c r="G8" s="33">
        <v>70</v>
      </c>
    </row>
    <row r="9" spans="1:7" x14ac:dyDescent="0.2">
      <c r="A9" s="351" t="s">
        <v>303</v>
      </c>
      <c r="B9" s="93">
        <v>2</v>
      </c>
      <c r="C9" s="33">
        <v>2</v>
      </c>
      <c r="D9" s="33">
        <v>2</v>
      </c>
      <c r="E9" s="33">
        <v>2</v>
      </c>
      <c r="F9" s="33">
        <v>0</v>
      </c>
      <c r="G9" s="33">
        <v>70</v>
      </c>
    </row>
    <row r="10" spans="1:7" x14ac:dyDescent="0.2">
      <c r="A10" s="351" t="s">
        <v>304</v>
      </c>
      <c r="B10" s="93">
        <v>2</v>
      </c>
      <c r="C10" s="33">
        <v>0</v>
      </c>
      <c r="D10" s="33">
        <v>0</v>
      </c>
      <c r="E10" s="33">
        <v>2</v>
      </c>
      <c r="F10" s="33">
        <v>2</v>
      </c>
      <c r="G10" s="33">
        <v>70</v>
      </c>
    </row>
    <row r="11" spans="1:7" x14ac:dyDescent="0.2">
      <c r="A11" s="351" t="s">
        <v>305</v>
      </c>
      <c r="B11" s="93">
        <v>2</v>
      </c>
      <c r="C11" s="33">
        <v>2</v>
      </c>
      <c r="D11" s="33">
        <v>2</v>
      </c>
      <c r="E11" s="33">
        <v>2</v>
      </c>
      <c r="F11" s="33">
        <v>0</v>
      </c>
      <c r="G11" s="33">
        <v>35</v>
      </c>
    </row>
    <row r="12" spans="1:7" x14ac:dyDescent="0.2">
      <c r="A12" s="351" t="s">
        <v>306</v>
      </c>
      <c r="B12" s="93">
        <v>2</v>
      </c>
      <c r="C12" s="33">
        <v>2</v>
      </c>
      <c r="D12" s="33">
        <v>2</v>
      </c>
      <c r="E12" s="33">
        <v>2</v>
      </c>
      <c r="F12" s="33">
        <v>2</v>
      </c>
      <c r="G12" s="33">
        <v>60</v>
      </c>
    </row>
    <row r="13" spans="1:7" x14ac:dyDescent="0.2">
      <c r="A13" s="351" t="s">
        <v>307</v>
      </c>
      <c r="B13" s="93">
        <v>0</v>
      </c>
      <c r="C13" s="33">
        <v>0</v>
      </c>
      <c r="D13" s="33">
        <v>0</v>
      </c>
      <c r="E13" s="33">
        <v>2</v>
      </c>
      <c r="F13" s="33">
        <v>0</v>
      </c>
      <c r="G13" s="33">
        <v>70</v>
      </c>
    </row>
    <row r="14" spans="1:7" x14ac:dyDescent="0.2">
      <c r="A14" s="351" t="s">
        <v>308</v>
      </c>
      <c r="B14" s="93">
        <v>2</v>
      </c>
      <c r="C14" s="33">
        <v>0</v>
      </c>
      <c r="D14" s="33">
        <v>0</v>
      </c>
      <c r="E14" s="33">
        <v>0</v>
      </c>
      <c r="F14" s="33">
        <v>2</v>
      </c>
      <c r="G14" s="33">
        <v>60</v>
      </c>
    </row>
    <row r="15" spans="1:7" x14ac:dyDescent="0.2">
      <c r="A15" s="351" t="s">
        <v>309</v>
      </c>
      <c r="B15" s="93">
        <v>2</v>
      </c>
      <c r="C15" s="33">
        <v>2</v>
      </c>
      <c r="D15" s="33">
        <v>2</v>
      </c>
      <c r="E15" s="33">
        <v>0</v>
      </c>
      <c r="F15" s="33">
        <v>2</v>
      </c>
      <c r="G15" s="33">
        <v>50</v>
      </c>
    </row>
    <row r="16" spans="1:7" x14ac:dyDescent="0.2">
      <c r="A16" s="351" t="s">
        <v>310</v>
      </c>
      <c r="B16" s="93">
        <v>2</v>
      </c>
      <c r="C16" s="33">
        <v>0</v>
      </c>
      <c r="D16" s="33">
        <v>0</v>
      </c>
      <c r="E16" s="33">
        <v>2</v>
      </c>
      <c r="F16" s="33">
        <v>0</v>
      </c>
      <c r="G16" s="33">
        <v>90</v>
      </c>
    </row>
    <row r="17" spans="1:7" x14ac:dyDescent="0.2">
      <c r="A17" s="351" t="s">
        <v>311</v>
      </c>
      <c r="B17" s="93">
        <v>0</v>
      </c>
      <c r="C17" s="33">
        <v>0</v>
      </c>
      <c r="D17" s="33">
        <v>0</v>
      </c>
      <c r="E17" s="33">
        <v>2</v>
      </c>
      <c r="F17" s="33">
        <v>2</v>
      </c>
      <c r="G17" s="33">
        <v>70</v>
      </c>
    </row>
    <row r="18" spans="1:7" x14ac:dyDescent="0.2">
      <c r="A18" s="351" t="s">
        <v>312</v>
      </c>
      <c r="B18" s="93">
        <v>0</v>
      </c>
      <c r="C18" s="33">
        <v>0</v>
      </c>
      <c r="D18" s="33">
        <v>0</v>
      </c>
      <c r="E18" s="33">
        <v>2</v>
      </c>
      <c r="F18" s="33">
        <v>0</v>
      </c>
      <c r="G18" s="33">
        <v>80</v>
      </c>
    </row>
    <row r="19" spans="1:7" x14ac:dyDescent="0.2">
      <c r="A19" s="351" t="s">
        <v>313</v>
      </c>
      <c r="B19" s="93">
        <v>2</v>
      </c>
      <c r="C19" s="33">
        <v>2</v>
      </c>
      <c r="D19" s="33">
        <v>2</v>
      </c>
      <c r="E19" s="33">
        <v>0</v>
      </c>
      <c r="F19" s="33">
        <v>0</v>
      </c>
      <c r="G19" s="33">
        <v>75</v>
      </c>
    </row>
    <row r="20" spans="1:7" x14ac:dyDescent="0.2">
      <c r="A20" s="351" t="s">
        <v>314</v>
      </c>
      <c r="B20" s="93">
        <v>2</v>
      </c>
      <c r="C20" s="33">
        <v>2</v>
      </c>
      <c r="D20" s="33">
        <v>2</v>
      </c>
      <c r="E20" s="33">
        <v>2</v>
      </c>
      <c r="F20" s="33">
        <v>2</v>
      </c>
      <c r="G20" s="33">
        <v>50</v>
      </c>
    </row>
    <row r="21" spans="1:7" x14ac:dyDescent="0.2">
      <c r="A21" s="352" t="s">
        <v>315</v>
      </c>
      <c r="B21" s="93">
        <v>2</v>
      </c>
      <c r="C21" s="33">
        <v>4</v>
      </c>
      <c r="D21" s="33">
        <v>2</v>
      </c>
      <c r="E21" s="33">
        <v>0</v>
      </c>
      <c r="F21" s="33">
        <v>2</v>
      </c>
      <c r="G21" s="33">
        <v>50</v>
      </c>
    </row>
    <row r="22" spans="1:7" x14ac:dyDescent="0.2">
      <c r="A22" s="352" t="s">
        <v>316</v>
      </c>
      <c r="B22" s="93">
        <v>2</v>
      </c>
      <c r="C22" s="33">
        <v>4</v>
      </c>
      <c r="D22" s="33">
        <v>2</v>
      </c>
      <c r="E22" s="33">
        <v>0</v>
      </c>
      <c r="F22" s="33">
        <v>2</v>
      </c>
      <c r="G22" s="33">
        <v>50</v>
      </c>
    </row>
    <row r="23" spans="1:7" x14ac:dyDescent="0.2">
      <c r="A23" s="352" t="s">
        <v>317</v>
      </c>
      <c r="B23" s="35">
        <v>0</v>
      </c>
      <c r="C23" s="94">
        <v>1</v>
      </c>
      <c r="D23" s="94">
        <v>0</v>
      </c>
      <c r="E23" s="94">
        <v>0</v>
      </c>
      <c r="F23" s="94">
        <v>0</v>
      </c>
      <c r="G23" s="94">
        <v>75</v>
      </c>
    </row>
    <row r="24" spans="1:7" x14ac:dyDescent="0.2">
      <c r="A24" s="352" t="s">
        <v>318</v>
      </c>
      <c r="B24" s="35">
        <v>1</v>
      </c>
      <c r="C24" s="94">
        <v>1</v>
      </c>
      <c r="D24" s="94">
        <v>1</v>
      </c>
      <c r="E24" s="94">
        <v>0</v>
      </c>
      <c r="F24" s="94">
        <v>0</v>
      </c>
      <c r="G24" s="94">
        <v>80</v>
      </c>
    </row>
    <row r="25" spans="1:7" x14ac:dyDescent="0.2">
      <c r="A25" s="352" t="s">
        <v>319</v>
      </c>
      <c r="B25" s="35">
        <v>0</v>
      </c>
      <c r="C25" s="94">
        <v>0</v>
      </c>
      <c r="D25" s="94">
        <v>0</v>
      </c>
      <c r="E25" s="94">
        <v>1</v>
      </c>
      <c r="F25" s="94">
        <v>1</v>
      </c>
      <c r="G25" s="94">
        <v>80</v>
      </c>
    </row>
    <row r="26" spans="1:7" x14ac:dyDescent="0.2">
      <c r="A26" s="352" t="s">
        <v>489</v>
      </c>
      <c r="B26" s="35">
        <v>1</v>
      </c>
      <c r="C26" s="94">
        <v>1</v>
      </c>
      <c r="D26" s="94">
        <v>1</v>
      </c>
      <c r="E26" s="94">
        <v>1</v>
      </c>
      <c r="F26" s="94">
        <v>1</v>
      </c>
      <c r="G26" s="94">
        <v>65</v>
      </c>
    </row>
    <row r="27" spans="1:7" x14ac:dyDescent="0.2">
      <c r="A27" s="351" t="s">
        <v>320</v>
      </c>
      <c r="B27" s="93">
        <v>2</v>
      </c>
      <c r="C27" s="33">
        <v>2</v>
      </c>
      <c r="D27" s="33">
        <v>2</v>
      </c>
      <c r="E27" s="33">
        <v>0</v>
      </c>
      <c r="F27" s="33">
        <v>2</v>
      </c>
      <c r="G27" s="33">
        <v>65</v>
      </c>
    </row>
    <row r="28" spans="1:7" x14ac:dyDescent="0.2">
      <c r="A28" s="352" t="s">
        <v>321</v>
      </c>
      <c r="B28" s="93">
        <v>2</v>
      </c>
      <c r="C28" s="33">
        <v>0</v>
      </c>
      <c r="D28" s="33">
        <v>0</v>
      </c>
      <c r="E28" s="33">
        <v>2</v>
      </c>
      <c r="F28" s="33">
        <v>0</v>
      </c>
      <c r="G28" s="33">
        <v>70</v>
      </c>
    </row>
    <row r="29" spans="1:7" x14ac:dyDescent="0.2">
      <c r="A29" s="352" t="s">
        <v>322</v>
      </c>
      <c r="B29" s="93">
        <v>0</v>
      </c>
      <c r="C29" s="33">
        <v>0</v>
      </c>
      <c r="D29" s="33">
        <v>2</v>
      </c>
      <c r="E29" s="33">
        <v>0</v>
      </c>
      <c r="F29" s="33">
        <v>0</v>
      </c>
      <c r="G29" s="33">
        <v>90</v>
      </c>
    </row>
    <row r="30" spans="1:7" x14ac:dyDescent="0.2">
      <c r="A30" s="352" t="s">
        <v>323</v>
      </c>
      <c r="B30" s="33">
        <v>2</v>
      </c>
      <c r="C30" s="93">
        <v>2</v>
      </c>
      <c r="D30" s="93">
        <v>2</v>
      </c>
      <c r="E30" s="93">
        <v>2</v>
      </c>
      <c r="F30" s="93">
        <v>2</v>
      </c>
      <c r="G30" s="93">
        <v>60</v>
      </c>
    </row>
    <row r="31" spans="1:7" x14ac:dyDescent="0.2">
      <c r="A31" s="352" t="s">
        <v>324</v>
      </c>
      <c r="B31" s="33">
        <v>0</v>
      </c>
      <c r="C31" s="93">
        <v>0</v>
      </c>
      <c r="D31" s="93">
        <v>0</v>
      </c>
      <c r="E31" s="93">
        <v>0</v>
      </c>
      <c r="F31" s="93">
        <v>0</v>
      </c>
      <c r="G31" s="93">
        <v>100</v>
      </c>
    </row>
    <row r="32" spans="1:7" x14ac:dyDescent="0.2">
      <c r="A32" s="352" t="s">
        <v>325</v>
      </c>
      <c r="B32" s="33">
        <v>2</v>
      </c>
      <c r="C32" s="93">
        <v>2</v>
      </c>
      <c r="D32" s="93">
        <v>2</v>
      </c>
      <c r="E32" s="93">
        <v>0</v>
      </c>
      <c r="F32" s="93">
        <v>4</v>
      </c>
      <c r="G32" s="93">
        <v>50</v>
      </c>
    </row>
    <row r="33" spans="1:7" x14ac:dyDescent="0.2">
      <c r="A33" s="353" t="s">
        <v>326</v>
      </c>
      <c r="B33" s="94">
        <v>2</v>
      </c>
      <c r="C33" s="35">
        <v>2</v>
      </c>
      <c r="D33" s="35">
        <v>2</v>
      </c>
      <c r="E33" s="35">
        <v>2</v>
      </c>
      <c r="F33" s="35">
        <v>2</v>
      </c>
      <c r="G33" s="35">
        <v>55</v>
      </c>
    </row>
    <row r="34" spans="1:7" x14ac:dyDescent="0.2">
      <c r="A34" s="353" t="s">
        <v>540</v>
      </c>
      <c r="B34" s="94">
        <v>2</v>
      </c>
      <c r="C34" s="35">
        <v>2</v>
      </c>
      <c r="D34" s="35">
        <v>2</v>
      </c>
      <c r="E34" s="35">
        <v>2</v>
      </c>
      <c r="F34" s="35">
        <v>2</v>
      </c>
      <c r="G34" s="35">
        <v>50</v>
      </c>
    </row>
    <row r="35" spans="1:7" x14ac:dyDescent="0.2">
      <c r="A35" s="352" t="s">
        <v>327</v>
      </c>
      <c r="B35" s="93">
        <v>0</v>
      </c>
      <c r="C35" s="33">
        <v>0</v>
      </c>
      <c r="D35" s="33">
        <v>0</v>
      </c>
      <c r="E35" s="33">
        <v>2</v>
      </c>
      <c r="F35" s="33">
        <v>0</v>
      </c>
      <c r="G35" s="33">
        <v>89</v>
      </c>
    </row>
    <row r="36" spans="1:7" x14ac:dyDescent="0.2">
      <c r="A36" s="352" t="s">
        <v>328</v>
      </c>
      <c r="B36" s="93">
        <v>0</v>
      </c>
      <c r="C36" s="33">
        <v>2</v>
      </c>
      <c r="D36" s="33">
        <v>2</v>
      </c>
      <c r="E36" s="33">
        <v>0</v>
      </c>
      <c r="F36" s="33">
        <v>2</v>
      </c>
      <c r="G36" s="33">
        <v>60</v>
      </c>
    </row>
    <row r="37" spans="1:7" x14ac:dyDescent="0.2">
      <c r="A37" s="352" t="s">
        <v>329</v>
      </c>
      <c r="B37" s="33">
        <v>2</v>
      </c>
      <c r="C37" s="93">
        <v>4</v>
      </c>
      <c r="D37" s="93">
        <v>2</v>
      </c>
      <c r="E37" s="93">
        <v>2</v>
      </c>
      <c r="F37" s="93">
        <v>2</v>
      </c>
      <c r="G37" s="93">
        <v>70</v>
      </c>
    </row>
    <row r="38" spans="1:7" x14ac:dyDescent="0.2">
      <c r="A38" s="352" t="s">
        <v>330</v>
      </c>
      <c r="B38" s="33">
        <v>0</v>
      </c>
      <c r="C38" s="93">
        <v>0</v>
      </c>
      <c r="D38" s="93">
        <v>0</v>
      </c>
      <c r="E38" s="93">
        <v>1</v>
      </c>
      <c r="F38" s="93">
        <v>0</v>
      </c>
      <c r="G38" s="93">
        <v>80</v>
      </c>
    </row>
    <row r="39" spans="1:7" x14ac:dyDescent="0.2">
      <c r="A39" s="352" t="s">
        <v>331</v>
      </c>
      <c r="B39" s="33">
        <v>0</v>
      </c>
      <c r="C39" s="94">
        <v>1</v>
      </c>
      <c r="D39" s="94">
        <v>1</v>
      </c>
      <c r="E39" s="94">
        <v>1</v>
      </c>
      <c r="F39" s="94">
        <v>1</v>
      </c>
      <c r="G39" s="93">
        <v>70</v>
      </c>
    </row>
    <row r="40" spans="1:7" x14ac:dyDescent="0.2">
      <c r="A40" s="352" t="s">
        <v>332</v>
      </c>
      <c r="B40" s="33">
        <v>2</v>
      </c>
      <c r="C40" s="93">
        <v>2</v>
      </c>
      <c r="D40" s="93">
        <v>2</v>
      </c>
      <c r="E40" s="93">
        <v>4</v>
      </c>
      <c r="F40" s="93">
        <v>4</v>
      </c>
      <c r="G40" s="93">
        <v>60</v>
      </c>
    </row>
    <row r="41" spans="1:7" x14ac:dyDescent="0.2">
      <c r="A41" s="352" t="s">
        <v>333</v>
      </c>
      <c r="B41" s="33">
        <v>2</v>
      </c>
      <c r="C41" s="93">
        <v>2</v>
      </c>
      <c r="D41" s="93">
        <v>2</v>
      </c>
      <c r="E41" s="93">
        <v>4</v>
      </c>
      <c r="F41" s="93">
        <v>2</v>
      </c>
      <c r="G41" s="93">
        <v>50</v>
      </c>
    </row>
    <row r="42" spans="1:7" x14ac:dyDescent="0.2">
      <c r="A42" s="352" t="s">
        <v>334</v>
      </c>
      <c r="B42" s="93">
        <v>2</v>
      </c>
      <c r="C42" s="33">
        <v>2</v>
      </c>
      <c r="D42" s="33">
        <v>2</v>
      </c>
      <c r="E42" s="33">
        <v>2</v>
      </c>
      <c r="F42" s="33">
        <v>4</v>
      </c>
      <c r="G42" s="33">
        <v>50</v>
      </c>
    </row>
    <row r="43" spans="1:7" x14ac:dyDescent="0.2">
      <c r="A43" s="354" t="s">
        <v>335</v>
      </c>
      <c r="B43" s="8">
        <v>0</v>
      </c>
      <c r="C43" s="9">
        <v>1</v>
      </c>
      <c r="D43" s="9">
        <v>1</v>
      </c>
      <c r="E43" s="9">
        <v>0</v>
      </c>
      <c r="F43" s="9">
        <v>0</v>
      </c>
      <c r="G43" s="9">
        <v>80</v>
      </c>
    </row>
    <row r="44" spans="1:7" x14ac:dyDescent="0.2">
      <c r="A44" s="354" t="s">
        <v>336</v>
      </c>
      <c r="B44" s="33">
        <v>0</v>
      </c>
      <c r="C44" s="93">
        <v>0</v>
      </c>
      <c r="D44" s="93">
        <v>0</v>
      </c>
      <c r="E44" s="93">
        <v>0</v>
      </c>
      <c r="F44" s="93">
        <v>0</v>
      </c>
      <c r="G44" s="93">
        <v>85</v>
      </c>
    </row>
    <row r="45" spans="1:7" x14ac:dyDescent="0.2">
      <c r="A45" s="354" t="s">
        <v>337</v>
      </c>
      <c r="B45" s="33">
        <v>1</v>
      </c>
      <c r="C45" s="93">
        <v>0</v>
      </c>
      <c r="D45" s="93">
        <v>1</v>
      </c>
      <c r="E45" s="93">
        <v>0</v>
      </c>
      <c r="F45" s="93">
        <v>0</v>
      </c>
      <c r="G45" s="93">
        <v>60</v>
      </c>
    </row>
    <row r="46" spans="1:7" x14ac:dyDescent="0.2">
      <c r="A46" s="355" t="s">
        <v>338</v>
      </c>
      <c r="B46" s="94">
        <v>2</v>
      </c>
      <c r="C46" s="35">
        <v>0</v>
      </c>
      <c r="D46" s="35">
        <v>0</v>
      </c>
      <c r="E46" s="35">
        <v>0</v>
      </c>
      <c r="F46" s="35">
        <v>0</v>
      </c>
      <c r="G46" s="35">
        <v>75</v>
      </c>
    </row>
    <row r="47" spans="1:7" x14ac:dyDescent="0.2">
      <c r="A47" s="352" t="s">
        <v>339</v>
      </c>
      <c r="B47" s="176">
        <v>2</v>
      </c>
      <c r="C47" s="289">
        <v>2</v>
      </c>
      <c r="D47" s="289">
        <v>2</v>
      </c>
      <c r="E47" s="289">
        <v>2</v>
      </c>
      <c r="F47" s="289">
        <v>2</v>
      </c>
      <c r="G47" s="289">
        <v>90</v>
      </c>
    </row>
    <row r="48" spans="1:7" x14ac:dyDescent="0.2">
      <c r="A48" s="356" t="s">
        <v>340</v>
      </c>
      <c r="B48" s="33">
        <v>0</v>
      </c>
      <c r="C48" s="93">
        <v>0</v>
      </c>
      <c r="D48" s="93">
        <v>1</v>
      </c>
      <c r="E48" s="93">
        <v>0</v>
      </c>
      <c r="F48" s="93">
        <v>0</v>
      </c>
      <c r="G48" s="93">
        <v>70</v>
      </c>
    </row>
    <row r="49" spans="1:7" x14ac:dyDescent="0.2">
      <c r="A49" s="356" t="s">
        <v>341</v>
      </c>
      <c r="B49" s="33">
        <v>1</v>
      </c>
      <c r="C49" s="93">
        <v>1</v>
      </c>
      <c r="D49" s="93">
        <v>0</v>
      </c>
      <c r="E49" s="93">
        <v>0</v>
      </c>
      <c r="F49" s="93">
        <v>0</v>
      </c>
      <c r="G49" s="93">
        <v>70</v>
      </c>
    </row>
    <row r="50" spans="1:7" x14ac:dyDescent="0.2">
      <c r="A50" s="356" t="s">
        <v>342</v>
      </c>
      <c r="B50" s="33">
        <v>0</v>
      </c>
      <c r="C50" s="93">
        <v>0</v>
      </c>
      <c r="D50" s="93">
        <v>0</v>
      </c>
      <c r="E50" s="93">
        <v>0</v>
      </c>
      <c r="F50" s="93">
        <v>0</v>
      </c>
      <c r="G50" s="93">
        <v>60</v>
      </c>
    </row>
    <row r="51" spans="1:7" x14ac:dyDescent="0.2">
      <c r="A51" s="356" t="s">
        <v>343</v>
      </c>
      <c r="B51" s="93">
        <v>2</v>
      </c>
      <c r="C51" s="33">
        <v>2</v>
      </c>
      <c r="D51" s="33">
        <v>0</v>
      </c>
      <c r="E51" s="33">
        <v>2</v>
      </c>
      <c r="F51" s="33">
        <v>2</v>
      </c>
      <c r="G51" s="33">
        <v>60</v>
      </c>
    </row>
    <row r="52" spans="1:7" x14ac:dyDescent="0.2">
      <c r="A52" s="356" t="s">
        <v>344</v>
      </c>
      <c r="B52" s="33">
        <v>0</v>
      </c>
      <c r="C52" s="93">
        <v>0</v>
      </c>
      <c r="D52" s="93">
        <v>0</v>
      </c>
      <c r="E52" s="93">
        <v>0</v>
      </c>
      <c r="F52" s="93">
        <v>0</v>
      </c>
      <c r="G52" s="93">
        <v>80</v>
      </c>
    </row>
    <row r="53" spans="1:7" x14ac:dyDescent="0.2">
      <c r="A53" s="357" t="s">
        <v>345</v>
      </c>
      <c r="B53" s="40">
        <v>2</v>
      </c>
      <c r="C53" s="93">
        <v>2</v>
      </c>
      <c r="D53" s="93">
        <v>2</v>
      </c>
      <c r="E53" s="93">
        <v>2</v>
      </c>
      <c r="F53" s="93">
        <v>2</v>
      </c>
      <c r="G53" s="93">
        <v>50</v>
      </c>
    </row>
    <row r="54" spans="1:7" x14ac:dyDescent="0.2">
      <c r="A54" s="357" t="s">
        <v>346</v>
      </c>
      <c r="B54" s="40">
        <v>2</v>
      </c>
      <c r="C54" s="93">
        <v>2</v>
      </c>
      <c r="D54" s="93">
        <v>2</v>
      </c>
      <c r="E54" s="93">
        <v>2</v>
      </c>
      <c r="F54" s="93">
        <v>0</v>
      </c>
      <c r="G54" s="93">
        <v>70</v>
      </c>
    </row>
    <row r="55" spans="1:7" x14ac:dyDescent="0.2">
      <c r="A55" s="351" t="s">
        <v>347</v>
      </c>
      <c r="B55" s="93">
        <v>0</v>
      </c>
      <c r="C55" s="33">
        <v>0</v>
      </c>
      <c r="D55" s="33">
        <v>0</v>
      </c>
      <c r="E55" s="33">
        <v>0</v>
      </c>
      <c r="F55" s="33">
        <v>0</v>
      </c>
      <c r="G55" s="33">
        <v>80</v>
      </c>
    </row>
    <row r="56" spans="1:7" x14ac:dyDescent="0.2">
      <c r="A56" s="351" t="s">
        <v>348</v>
      </c>
      <c r="B56" s="291">
        <v>2</v>
      </c>
      <c r="C56" s="290">
        <v>2</v>
      </c>
      <c r="D56" s="290">
        <v>2</v>
      </c>
      <c r="E56" s="290">
        <v>2</v>
      </c>
      <c r="F56" s="290">
        <v>2</v>
      </c>
      <c r="G56" s="290">
        <v>40</v>
      </c>
    </row>
    <row r="57" spans="1:7" x14ac:dyDescent="0.2">
      <c r="A57" s="351" t="s">
        <v>349</v>
      </c>
      <c r="B57" s="93">
        <v>2</v>
      </c>
      <c r="C57" s="33">
        <v>2</v>
      </c>
      <c r="D57" s="33">
        <v>2</v>
      </c>
      <c r="E57" s="33">
        <v>2</v>
      </c>
      <c r="F57" s="33">
        <v>2</v>
      </c>
      <c r="G57" s="33">
        <v>70</v>
      </c>
    </row>
    <row r="58" spans="1:7" x14ac:dyDescent="0.2">
      <c r="A58" s="351" t="s">
        <v>350</v>
      </c>
      <c r="B58" s="93">
        <v>2</v>
      </c>
      <c r="C58" s="33">
        <v>2</v>
      </c>
      <c r="D58" s="33">
        <v>2</v>
      </c>
      <c r="E58" s="33">
        <v>2</v>
      </c>
      <c r="F58" s="33">
        <v>0</v>
      </c>
      <c r="G58" s="33">
        <v>60</v>
      </c>
    </row>
    <row r="59" spans="1:7" x14ac:dyDescent="0.2">
      <c r="A59" s="351" t="s">
        <v>351</v>
      </c>
      <c r="B59" s="93">
        <v>2</v>
      </c>
      <c r="C59" s="33">
        <v>0</v>
      </c>
      <c r="D59" s="33">
        <v>2</v>
      </c>
      <c r="E59" s="33">
        <v>4</v>
      </c>
      <c r="F59" s="33">
        <v>2</v>
      </c>
      <c r="G59" s="33">
        <v>55</v>
      </c>
    </row>
    <row r="60" spans="1:7" x14ac:dyDescent="0.2">
      <c r="A60" s="351" t="s">
        <v>352</v>
      </c>
      <c r="B60" s="93">
        <v>0</v>
      </c>
      <c r="C60" s="33">
        <v>0</v>
      </c>
      <c r="D60" s="33">
        <v>0</v>
      </c>
      <c r="E60" s="33">
        <v>0</v>
      </c>
      <c r="F60" s="33">
        <v>0</v>
      </c>
      <c r="G60" s="33">
        <v>90</v>
      </c>
    </row>
    <row r="61" spans="1:7" x14ac:dyDescent="0.2">
      <c r="A61" s="351" t="s">
        <v>353</v>
      </c>
      <c r="B61" s="93">
        <v>0</v>
      </c>
      <c r="C61" s="33">
        <v>0</v>
      </c>
      <c r="D61" s="33">
        <v>0</v>
      </c>
      <c r="E61" s="33">
        <v>0</v>
      </c>
      <c r="F61" s="33">
        <v>0</v>
      </c>
      <c r="G61" s="33">
        <v>70</v>
      </c>
    </row>
    <row r="62" spans="1:7" x14ac:dyDescent="0.2">
      <c r="A62" s="351" t="s">
        <v>354</v>
      </c>
      <c r="B62" s="93">
        <v>2</v>
      </c>
      <c r="C62" s="33">
        <v>0</v>
      </c>
      <c r="D62" s="33">
        <v>0</v>
      </c>
      <c r="E62" s="33">
        <v>2</v>
      </c>
      <c r="F62" s="33">
        <v>2</v>
      </c>
      <c r="G62" s="33">
        <v>80</v>
      </c>
    </row>
    <row r="63" spans="1:7" x14ac:dyDescent="0.2">
      <c r="A63" s="351" t="s">
        <v>355</v>
      </c>
      <c r="B63" s="93">
        <v>0</v>
      </c>
      <c r="C63" s="33">
        <v>0</v>
      </c>
      <c r="D63" s="33">
        <v>0</v>
      </c>
      <c r="E63" s="33">
        <v>0</v>
      </c>
      <c r="F63" s="33">
        <v>0</v>
      </c>
      <c r="G63" s="33">
        <v>0</v>
      </c>
    </row>
    <row r="64" spans="1:7" x14ac:dyDescent="0.2">
      <c r="A64" s="351" t="s">
        <v>356</v>
      </c>
      <c r="B64" s="93">
        <v>0</v>
      </c>
      <c r="C64" s="33">
        <v>0</v>
      </c>
      <c r="D64" s="33">
        <v>0</v>
      </c>
      <c r="E64" s="33">
        <v>0</v>
      </c>
      <c r="F64" s="33">
        <v>0</v>
      </c>
      <c r="G64" s="33">
        <v>70</v>
      </c>
    </row>
    <row r="65" spans="1:7" x14ac:dyDescent="0.2">
      <c r="A65" s="351" t="s">
        <v>357</v>
      </c>
      <c r="B65" s="93">
        <v>2</v>
      </c>
      <c r="C65" s="33">
        <v>0</v>
      </c>
      <c r="D65" s="33">
        <v>0</v>
      </c>
      <c r="E65" s="33">
        <v>2</v>
      </c>
      <c r="F65" s="33">
        <v>2</v>
      </c>
      <c r="G65" s="33">
        <v>75</v>
      </c>
    </row>
    <row r="66" spans="1:7" x14ac:dyDescent="0.2">
      <c r="A66" s="351" t="s">
        <v>358</v>
      </c>
      <c r="B66" s="93">
        <v>2</v>
      </c>
      <c r="C66" s="33">
        <v>2</v>
      </c>
      <c r="D66" s="33">
        <v>2</v>
      </c>
      <c r="E66" s="33">
        <v>2</v>
      </c>
      <c r="F66" s="33">
        <v>0</v>
      </c>
      <c r="G66" s="33">
        <v>60</v>
      </c>
    </row>
    <row r="67" spans="1:7" x14ac:dyDescent="0.2">
      <c r="A67" s="351" t="s">
        <v>359</v>
      </c>
      <c r="B67" s="93">
        <v>0</v>
      </c>
      <c r="C67" s="33">
        <v>0</v>
      </c>
      <c r="D67" s="33">
        <v>2</v>
      </c>
      <c r="E67" s="33">
        <v>0</v>
      </c>
      <c r="F67" s="33">
        <v>0</v>
      </c>
      <c r="G67" s="33">
        <v>60</v>
      </c>
    </row>
    <row r="68" spans="1:7" x14ac:dyDescent="0.2">
      <c r="A68" s="351" t="s">
        <v>360</v>
      </c>
      <c r="B68" s="93">
        <v>0</v>
      </c>
      <c r="C68" s="33">
        <v>0</v>
      </c>
      <c r="D68" s="33">
        <v>0</v>
      </c>
      <c r="E68" s="33">
        <v>2</v>
      </c>
      <c r="F68" s="33">
        <v>0</v>
      </c>
      <c r="G68" s="33">
        <v>80</v>
      </c>
    </row>
    <row r="69" spans="1:7" x14ac:dyDescent="0.2">
      <c r="A69" s="351" t="s">
        <v>361</v>
      </c>
      <c r="B69" s="93">
        <v>2</v>
      </c>
      <c r="C69" s="33">
        <v>2</v>
      </c>
      <c r="D69" s="33">
        <v>2</v>
      </c>
      <c r="E69" s="33">
        <v>0</v>
      </c>
      <c r="F69" s="33">
        <v>0</v>
      </c>
      <c r="G69" s="33">
        <v>62</v>
      </c>
    </row>
    <row r="70" spans="1:7" x14ac:dyDescent="0.2">
      <c r="A70" s="351" t="s">
        <v>362</v>
      </c>
      <c r="B70" s="93">
        <v>0</v>
      </c>
      <c r="C70" s="33">
        <v>0</v>
      </c>
      <c r="D70" s="33">
        <v>2</v>
      </c>
      <c r="E70" s="33">
        <v>2</v>
      </c>
      <c r="F70" s="33">
        <v>2</v>
      </c>
      <c r="G70" s="33">
        <v>50</v>
      </c>
    </row>
    <row r="71" spans="1:7" x14ac:dyDescent="0.2">
      <c r="A71" s="351" t="s">
        <v>363</v>
      </c>
      <c r="B71" s="93">
        <v>2</v>
      </c>
      <c r="C71" s="33">
        <v>2</v>
      </c>
      <c r="D71" s="33">
        <v>2</v>
      </c>
      <c r="E71" s="33">
        <v>2</v>
      </c>
      <c r="F71" s="33">
        <v>2</v>
      </c>
      <c r="G71" s="33">
        <v>50</v>
      </c>
    </row>
    <row r="72" spans="1:7" x14ac:dyDescent="0.2">
      <c r="A72" s="351" t="s">
        <v>364</v>
      </c>
      <c r="B72" s="93">
        <v>2</v>
      </c>
      <c r="C72" s="33">
        <v>2</v>
      </c>
      <c r="D72" s="33">
        <v>2</v>
      </c>
      <c r="E72" s="33">
        <v>2</v>
      </c>
      <c r="F72" s="33">
        <v>0</v>
      </c>
      <c r="G72" s="33">
        <v>50</v>
      </c>
    </row>
    <row r="73" spans="1:7" x14ac:dyDescent="0.2">
      <c r="A73" s="351" t="s">
        <v>365</v>
      </c>
      <c r="B73" s="93">
        <v>2</v>
      </c>
      <c r="C73" s="33">
        <v>0</v>
      </c>
      <c r="D73" s="33">
        <v>0</v>
      </c>
      <c r="E73" s="33">
        <v>2</v>
      </c>
      <c r="F73" s="33">
        <v>2</v>
      </c>
      <c r="G73" s="33">
        <v>50</v>
      </c>
    </row>
    <row r="74" spans="1:7" x14ac:dyDescent="0.2">
      <c r="A74" s="351" t="s">
        <v>366</v>
      </c>
      <c r="B74" s="93">
        <v>0</v>
      </c>
      <c r="C74" s="33">
        <v>0</v>
      </c>
      <c r="D74" s="33">
        <v>0</v>
      </c>
      <c r="E74" s="33">
        <v>0</v>
      </c>
      <c r="F74" s="33">
        <v>0</v>
      </c>
      <c r="G74" s="33">
        <v>65</v>
      </c>
    </row>
    <row r="75" spans="1:7" x14ac:dyDescent="0.2">
      <c r="A75" s="351" t="s">
        <v>367</v>
      </c>
      <c r="B75" s="93">
        <v>2</v>
      </c>
      <c r="C75" s="33">
        <v>2</v>
      </c>
      <c r="D75" s="33">
        <v>2</v>
      </c>
      <c r="E75" s="33">
        <v>2</v>
      </c>
      <c r="F75" s="33">
        <v>2</v>
      </c>
      <c r="G75" s="33">
        <v>45</v>
      </c>
    </row>
    <row r="76" spans="1:7" x14ac:dyDescent="0.2">
      <c r="A76" s="351" t="s">
        <v>368</v>
      </c>
      <c r="B76" s="93">
        <v>0</v>
      </c>
      <c r="C76" s="33">
        <v>0</v>
      </c>
      <c r="D76" s="33">
        <v>0</v>
      </c>
      <c r="E76" s="33">
        <v>2</v>
      </c>
      <c r="F76" s="33">
        <v>0</v>
      </c>
      <c r="G76" s="33">
        <v>85</v>
      </c>
    </row>
    <row r="77" spans="1:7" x14ac:dyDescent="0.2">
      <c r="A77" s="351" t="s">
        <v>369</v>
      </c>
      <c r="B77" s="93">
        <v>2</v>
      </c>
      <c r="C77" s="33">
        <v>2</v>
      </c>
      <c r="D77" s="33">
        <v>0</v>
      </c>
      <c r="E77" s="33">
        <v>2</v>
      </c>
      <c r="F77" s="33">
        <v>2</v>
      </c>
      <c r="G77" s="33">
        <v>80</v>
      </c>
    </row>
    <row r="78" spans="1:7" x14ac:dyDescent="0.2">
      <c r="A78" s="351" t="s">
        <v>370</v>
      </c>
      <c r="B78" s="93">
        <v>2</v>
      </c>
      <c r="C78" s="33">
        <v>2</v>
      </c>
      <c r="D78" s="33">
        <v>2</v>
      </c>
      <c r="E78" s="33">
        <v>2</v>
      </c>
      <c r="F78" s="33">
        <v>2</v>
      </c>
      <c r="G78" s="33">
        <v>70</v>
      </c>
    </row>
    <row r="79" spans="1:7" x14ac:dyDescent="0.2">
      <c r="A79" s="351" t="s">
        <v>371</v>
      </c>
      <c r="B79" s="93">
        <v>2</v>
      </c>
      <c r="C79" s="33">
        <v>0</v>
      </c>
      <c r="D79" s="33">
        <v>0</v>
      </c>
      <c r="E79" s="33">
        <v>2</v>
      </c>
      <c r="F79" s="33">
        <v>2</v>
      </c>
      <c r="G79" s="33">
        <v>40</v>
      </c>
    </row>
    <row r="80" spans="1:7" x14ac:dyDescent="0.2">
      <c r="A80" s="351" t="s">
        <v>372</v>
      </c>
      <c r="B80" s="93">
        <v>0</v>
      </c>
      <c r="C80" s="33">
        <v>0</v>
      </c>
      <c r="D80" s="33">
        <v>0</v>
      </c>
      <c r="E80" s="33">
        <v>0</v>
      </c>
      <c r="F80" s="33">
        <v>0</v>
      </c>
      <c r="G80" s="33">
        <v>80</v>
      </c>
    </row>
    <row r="81" spans="1:7" x14ac:dyDescent="0.2">
      <c r="A81" s="351" t="s">
        <v>373</v>
      </c>
      <c r="B81" s="93">
        <v>2</v>
      </c>
      <c r="C81" s="33">
        <v>2</v>
      </c>
      <c r="D81" s="33">
        <v>2</v>
      </c>
      <c r="E81" s="33">
        <v>2</v>
      </c>
      <c r="F81" s="33">
        <v>2</v>
      </c>
      <c r="G81" s="33">
        <v>70</v>
      </c>
    </row>
    <row r="82" spans="1:7" x14ac:dyDescent="0.2">
      <c r="A82" s="351" t="s">
        <v>374</v>
      </c>
      <c r="B82" s="101">
        <v>2</v>
      </c>
      <c r="C82" s="32">
        <v>2</v>
      </c>
      <c r="D82" s="32">
        <v>2</v>
      </c>
      <c r="E82" s="32">
        <v>2</v>
      </c>
      <c r="F82" s="32">
        <v>0</v>
      </c>
      <c r="G82" s="32">
        <v>60</v>
      </c>
    </row>
    <row r="83" spans="1:7" x14ac:dyDescent="0.2">
      <c r="A83" s="351" t="s">
        <v>375</v>
      </c>
      <c r="B83" s="101">
        <v>0</v>
      </c>
      <c r="C83" s="32">
        <v>0</v>
      </c>
      <c r="D83" s="32">
        <v>0</v>
      </c>
      <c r="E83" s="32">
        <v>2</v>
      </c>
      <c r="F83" s="32">
        <v>0</v>
      </c>
      <c r="G83" s="32">
        <v>50</v>
      </c>
    </row>
    <row r="84" spans="1:7" x14ac:dyDescent="0.2">
      <c r="A84" s="351" t="s">
        <v>376</v>
      </c>
      <c r="B84" s="101">
        <v>2</v>
      </c>
      <c r="C84" s="32">
        <v>0</v>
      </c>
      <c r="D84" s="32">
        <v>0</v>
      </c>
      <c r="E84" s="32">
        <v>0</v>
      </c>
      <c r="F84" s="32">
        <v>0</v>
      </c>
      <c r="G84" s="32">
        <v>70</v>
      </c>
    </row>
    <row r="85" spans="1:7" x14ac:dyDescent="0.2">
      <c r="A85" s="351" t="s">
        <v>377</v>
      </c>
      <c r="B85" s="101">
        <v>0</v>
      </c>
      <c r="C85" s="32">
        <v>2</v>
      </c>
      <c r="D85" s="32">
        <v>2</v>
      </c>
      <c r="E85" s="32">
        <v>0</v>
      </c>
      <c r="F85" s="32">
        <v>0</v>
      </c>
      <c r="G85" s="32">
        <v>80</v>
      </c>
    </row>
    <row r="86" spans="1:7" x14ac:dyDescent="0.2">
      <c r="A86" s="351" t="s">
        <v>378</v>
      </c>
      <c r="B86" s="101">
        <v>2</v>
      </c>
      <c r="C86" s="32">
        <v>2</v>
      </c>
      <c r="D86" s="32">
        <v>2</v>
      </c>
      <c r="E86" s="32">
        <v>2</v>
      </c>
      <c r="F86" s="32">
        <v>2</v>
      </c>
      <c r="G86" s="32">
        <v>60</v>
      </c>
    </row>
    <row r="87" spans="1:7" x14ac:dyDescent="0.2">
      <c r="A87" s="351" t="s">
        <v>379</v>
      </c>
      <c r="B87" s="101">
        <v>0</v>
      </c>
      <c r="C87" s="32">
        <v>0</v>
      </c>
      <c r="D87" s="32">
        <v>0</v>
      </c>
      <c r="E87" s="32">
        <v>2</v>
      </c>
      <c r="F87" s="32">
        <v>0</v>
      </c>
      <c r="G87" s="32">
        <v>65</v>
      </c>
    </row>
    <row r="88" spans="1:7" x14ac:dyDescent="0.2">
      <c r="A88" s="351" t="s">
        <v>380</v>
      </c>
      <c r="B88" s="101">
        <v>0</v>
      </c>
      <c r="C88" s="32">
        <v>0</v>
      </c>
      <c r="D88" s="32">
        <v>0</v>
      </c>
      <c r="E88" s="32">
        <v>2</v>
      </c>
      <c r="F88" s="32">
        <v>0</v>
      </c>
      <c r="G88" s="32">
        <v>80</v>
      </c>
    </row>
    <row r="89" spans="1:7" x14ac:dyDescent="0.2">
      <c r="A89" s="351" t="s">
        <v>381</v>
      </c>
      <c r="B89" s="93">
        <v>2</v>
      </c>
      <c r="C89" s="33">
        <v>2</v>
      </c>
      <c r="D89" s="33">
        <v>4</v>
      </c>
      <c r="E89" s="33">
        <v>2</v>
      </c>
      <c r="F89" s="33">
        <v>2</v>
      </c>
      <c r="G89" s="33">
        <v>50</v>
      </c>
    </row>
    <row r="90" spans="1:7" x14ac:dyDescent="0.2">
      <c r="A90" s="351" t="s">
        <v>382</v>
      </c>
      <c r="B90" s="101">
        <v>2</v>
      </c>
      <c r="C90" s="33">
        <v>0</v>
      </c>
      <c r="D90" s="33">
        <v>2</v>
      </c>
      <c r="E90" s="33">
        <v>2</v>
      </c>
      <c r="F90" s="33">
        <v>0</v>
      </c>
      <c r="G90" s="33">
        <v>70</v>
      </c>
    </row>
    <row r="91" spans="1:7" x14ac:dyDescent="0.2">
      <c r="A91" s="351" t="s">
        <v>383</v>
      </c>
      <c r="B91" s="93">
        <v>2</v>
      </c>
      <c r="C91" s="33">
        <v>0</v>
      </c>
      <c r="D91" s="33">
        <v>0</v>
      </c>
      <c r="E91" s="33">
        <v>2</v>
      </c>
      <c r="F91" s="33">
        <v>0</v>
      </c>
      <c r="G91" s="33">
        <v>85</v>
      </c>
    </row>
    <row r="92" spans="1:7" x14ac:dyDescent="0.2">
      <c r="A92" s="351" t="s">
        <v>384</v>
      </c>
      <c r="B92" s="93">
        <v>2</v>
      </c>
      <c r="C92" s="33">
        <v>0</v>
      </c>
      <c r="D92" s="33">
        <v>2</v>
      </c>
      <c r="E92" s="33">
        <v>2</v>
      </c>
      <c r="F92" s="33">
        <v>2</v>
      </c>
      <c r="G92" s="33">
        <v>60</v>
      </c>
    </row>
    <row r="93" spans="1:7" x14ac:dyDescent="0.2">
      <c r="A93" s="351" t="s">
        <v>385</v>
      </c>
      <c r="B93" s="93">
        <v>0</v>
      </c>
      <c r="C93" s="33">
        <v>2</v>
      </c>
      <c r="D93" s="33">
        <v>2</v>
      </c>
      <c r="E93" s="33">
        <v>2</v>
      </c>
      <c r="F93" s="33">
        <v>0</v>
      </c>
      <c r="G93" s="33">
        <v>80</v>
      </c>
    </row>
    <row r="94" spans="1:7" x14ac:dyDescent="0.2">
      <c r="A94" s="351" t="s">
        <v>386</v>
      </c>
      <c r="B94" s="93">
        <v>2</v>
      </c>
      <c r="C94" s="33">
        <v>2</v>
      </c>
      <c r="D94" s="33">
        <v>2</v>
      </c>
      <c r="E94" s="33">
        <v>2</v>
      </c>
      <c r="F94" s="33">
        <v>2</v>
      </c>
      <c r="G94" s="33">
        <v>65</v>
      </c>
    </row>
    <row r="95" spans="1:7" x14ac:dyDescent="0.2">
      <c r="A95" s="351" t="s">
        <v>387</v>
      </c>
      <c r="B95" s="93">
        <v>2</v>
      </c>
      <c r="C95" s="33">
        <v>2</v>
      </c>
      <c r="D95" s="33">
        <v>2</v>
      </c>
      <c r="E95" s="33">
        <v>2</v>
      </c>
      <c r="F95" s="33">
        <v>2</v>
      </c>
      <c r="G95" s="33">
        <v>70</v>
      </c>
    </row>
    <row r="96" spans="1:7" x14ac:dyDescent="0.2">
      <c r="A96" s="351" t="s">
        <v>388</v>
      </c>
      <c r="B96" s="93">
        <v>2</v>
      </c>
      <c r="C96" s="33">
        <v>2</v>
      </c>
      <c r="D96" s="33">
        <v>2</v>
      </c>
      <c r="E96" s="33">
        <v>2</v>
      </c>
      <c r="F96" s="33">
        <v>2</v>
      </c>
      <c r="G96" s="33">
        <v>50</v>
      </c>
    </row>
    <row r="97" spans="1:7" x14ac:dyDescent="0.2">
      <c r="A97" s="351" t="s">
        <v>389</v>
      </c>
      <c r="B97" s="93">
        <v>2</v>
      </c>
      <c r="C97" s="33">
        <v>2</v>
      </c>
      <c r="D97" s="33">
        <v>2</v>
      </c>
      <c r="E97" s="33">
        <v>2</v>
      </c>
      <c r="F97" s="33">
        <v>2</v>
      </c>
      <c r="G97" s="33">
        <v>40</v>
      </c>
    </row>
    <row r="98" spans="1:7" x14ac:dyDescent="0.2">
      <c r="A98" s="351" t="s">
        <v>390</v>
      </c>
      <c r="B98" s="93">
        <v>2</v>
      </c>
      <c r="C98" s="33">
        <v>0</v>
      </c>
      <c r="D98" s="33">
        <v>2</v>
      </c>
      <c r="E98" s="33">
        <v>2</v>
      </c>
      <c r="F98" s="33">
        <v>2</v>
      </c>
      <c r="G98" s="33">
        <v>50</v>
      </c>
    </row>
    <row r="99" spans="1:7" x14ac:dyDescent="0.2">
      <c r="A99" s="351" t="s">
        <v>391</v>
      </c>
      <c r="B99" s="93">
        <v>2</v>
      </c>
      <c r="C99" s="33">
        <v>2</v>
      </c>
      <c r="D99" s="33">
        <v>2</v>
      </c>
      <c r="E99" s="33">
        <v>2</v>
      </c>
      <c r="F99" s="33">
        <v>2</v>
      </c>
      <c r="G99" s="33">
        <v>50</v>
      </c>
    </row>
    <row r="100" spans="1:7" x14ac:dyDescent="0.2">
      <c r="A100" s="351" t="s">
        <v>392</v>
      </c>
      <c r="B100" s="93">
        <v>0</v>
      </c>
      <c r="C100" s="33">
        <v>0</v>
      </c>
      <c r="D100" s="33">
        <v>0</v>
      </c>
      <c r="E100" s="33">
        <v>0</v>
      </c>
      <c r="F100" s="33">
        <v>2</v>
      </c>
      <c r="G100" s="33">
        <v>69</v>
      </c>
    </row>
    <row r="101" spans="1:7" x14ac:dyDescent="0.2">
      <c r="A101" s="351" t="s">
        <v>393</v>
      </c>
      <c r="B101" s="93">
        <v>2</v>
      </c>
      <c r="C101" s="33">
        <v>2</v>
      </c>
      <c r="D101" s="33">
        <v>2</v>
      </c>
      <c r="E101" s="33">
        <v>0</v>
      </c>
      <c r="F101" s="33">
        <v>0</v>
      </c>
      <c r="G101" s="33">
        <v>70</v>
      </c>
    </row>
    <row r="102" spans="1:7" x14ac:dyDescent="0.2">
      <c r="A102" s="351" t="s">
        <v>394</v>
      </c>
      <c r="B102" s="93">
        <v>0</v>
      </c>
      <c r="C102" s="33">
        <v>0</v>
      </c>
      <c r="D102" s="33">
        <v>0</v>
      </c>
      <c r="E102" s="33">
        <v>0</v>
      </c>
      <c r="F102" s="33">
        <v>0</v>
      </c>
      <c r="G102" s="33">
        <v>60</v>
      </c>
    </row>
    <row r="103" spans="1:7" x14ac:dyDescent="0.2">
      <c r="A103" s="351" t="s">
        <v>395</v>
      </c>
      <c r="B103" s="93">
        <v>0</v>
      </c>
      <c r="C103" s="33">
        <v>0</v>
      </c>
      <c r="D103" s="33">
        <v>0</v>
      </c>
      <c r="E103" s="33">
        <v>0</v>
      </c>
      <c r="F103" s="33">
        <v>0</v>
      </c>
      <c r="G103" s="33">
        <v>80</v>
      </c>
    </row>
    <row r="104" spans="1:7" x14ac:dyDescent="0.2">
      <c r="A104" s="351" t="s">
        <v>396</v>
      </c>
      <c r="B104" s="93">
        <v>2</v>
      </c>
      <c r="C104" s="33">
        <v>2</v>
      </c>
      <c r="D104" s="33">
        <v>2</v>
      </c>
      <c r="E104" s="33">
        <v>4</v>
      </c>
      <c r="F104" s="33">
        <v>0</v>
      </c>
      <c r="G104" s="33">
        <v>40</v>
      </c>
    </row>
    <row r="105" spans="1:7" x14ac:dyDescent="0.2">
      <c r="A105" s="351" t="s">
        <v>397</v>
      </c>
      <c r="B105" s="93">
        <v>0</v>
      </c>
      <c r="C105" s="33">
        <v>0</v>
      </c>
      <c r="D105" s="33">
        <v>0</v>
      </c>
      <c r="E105" s="33">
        <v>2</v>
      </c>
      <c r="F105" s="33">
        <v>2</v>
      </c>
      <c r="G105" s="33">
        <v>60</v>
      </c>
    </row>
    <row r="106" spans="1:7" x14ac:dyDescent="0.2">
      <c r="A106" s="351" t="s">
        <v>398</v>
      </c>
      <c r="B106" s="93">
        <v>2</v>
      </c>
      <c r="C106" s="33">
        <v>2</v>
      </c>
      <c r="D106" s="33">
        <v>2</v>
      </c>
      <c r="E106" s="33">
        <v>2</v>
      </c>
      <c r="F106" s="33">
        <v>2</v>
      </c>
      <c r="G106" s="33">
        <v>60</v>
      </c>
    </row>
    <row r="107" spans="1:7" x14ac:dyDescent="0.2">
      <c r="A107" s="351" t="s">
        <v>399</v>
      </c>
      <c r="B107" s="32">
        <v>2</v>
      </c>
      <c r="C107" s="93">
        <v>0</v>
      </c>
      <c r="D107" s="93">
        <v>0</v>
      </c>
      <c r="E107" s="93">
        <v>2</v>
      </c>
      <c r="F107" s="93">
        <v>2</v>
      </c>
      <c r="G107" s="93">
        <v>70</v>
      </c>
    </row>
    <row r="108" spans="1:7" x14ac:dyDescent="0.2">
      <c r="A108" s="351" t="s">
        <v>400</v>
      </c>
      <c r="B108" s="32">
        <v>2</v>
      </c>
      <c r="C108" s="32">
        <v>2</v>
      </c>
      <c r="D108" s="32">
        <v>2</v>
      </c>
      <c r="E108" s="32">
        <v>2</v>
      </c>
      <c r="F108" s="32">
        <v>2</v>
      </c>
      <c r="G108" s="32">
        <v>55</v>
      </c>
    </row>
    <row r="109" spans="1:7" x14ac:dyDescent="0.2">
      <c r="A109" s="351" t="s">
        <v>401</v>
      </c>
      <c r="B109" s="93">
        <v>0</v>
      </c>
      <c r="C109" s="33">
        <v>0</v>
      </c>
      <c r="D109" s="33">
        <v>0</v>
      </c>
      <c r="E109" s="33">
        <v>2</v>
      </c>
      <c r="F109" s="33">
        <v>2</v>
      </c>
      <c r="G109" s="33">
        <v>50</v>
      </c>
    </row>
    <row r="110" spans="1:7" x14ac:dyDescent="0.2">
      <c r="A110" s="351" t="s">
        <v>402</v>
      </c>
      <c r="B110" s="93">
        <v>0</v>
      </c>
      <c r="C110" s="33">
        <v>0</v>
      </c>
      <c r="D110" s="33">
        <v>0</v>
      </c>
      <c r="E110" s="33">
        <v>2</v>
      </c>
      <c r="F110" s="33">
        <v>0</v>
      </c>
      <c r="G110" s="33">
        <v>80</v>
      </c>
    </row>
    <row r="111" spans="1:7" x14ac:dyDescent="0.2">
      <c r="A111" s="351" t="s">
        <v>403</v>
      </c>
      <c r="B111" s="100">
        <v>2</v>
      </c>
      <c r="C111" s="37">
        <v>0</v>
      </c>
      <c r="D111" s="37">
        <v>0</v>
      </c>
      <c r="E111" s="37">
        <v>2</v>
      </c>
      <c r="F111" s="37">
        <v>0</v>
      </c>
      <c r="G111" s="37">
        <v>65</v>
      </c>
    </row>
    <row r="112" spans="1:7" ht="16" x14ac:dyDescent="0.2">
      <c r="A112" s="358" t="s">
        <v>404</v>
      </c>
      <c r="B112" s="292">
        <v>3</v>
      </c>
      <c r="C112" s="46">
        <v>2</v>
      </c>
      <c r="D112" s="46">
        <v>2</v>
      </c>
      <c r="E112" s="46">
        <v>1</v>
      </c>
      <c r="F112" s="46">
        <v>2</v>
      </c>
      <c r="G112" s="67">
        <v>50</v>
      </c>
    </row>
    <row r="113" spans="1:7" x14ac:dyDescent="0.2">
      <c r="A113" s="359" t="s">
        <v>405</v>
      </c>
      <c r="B113" s="292">
        <v>3</v>
      </c>
      <c r="C113" s="46">
        <v>2</v>
      </c>
      <c r="D113" s="46">
        <v>3</v>
      </c>
      <c r="E113" s="46">
        <v>2</v>
      </c>
      <c r="F113" s="46">
        <v>2</v>
      </c>
      <c r="G113" s="67">
        <v>50</v>
      </c>
    </row>
    <row r="114" spans="1:7" x14ac:dyDescent="0.2">
      <c r="A114" s="359" t="s">
        <v>406</v>
      </c>
      <c r="B114" s="292">
        <v>2</v>
      </c>
      <c r="C114" s="46">
        <v>2</v>
      </c>
      <c r="D114" s="46">
        <v>1</v>
      </c>
      <c r="E114" s="46">
        <v>1</v>
      </c>
      <c r="F114" s="46">
        <v>2</v>
      </c>
      <c r="G114" s="67">
        <v>75</v>
      </c>
    </row>
    <row r="115" spans="1:7" x14ac:dyDescent="0.2">
      <c r="A115" s="359" t="s">
        <v>407</v>
      </c>
      <c r="B115" s="292">
        <v>2</v>
      </c>
      <c r="C115" s="46">
        <v>2</v>
      </c>
      <c r="D115" s="46">
        <v>1</v>
      </c>
      <c r="E115" s="46">
        <v>2</v>
      </c>
      <c r="F115" s="46">
        <v>1</v>
      </c>
      <c r="G115" s="67">
        <v>50</v>
      </c>
    </row>
    <row r="116" spans="1:7" ht="16" x14ac:dyDescent="0.2">
      <c r="A116" s="360" t="s">
        <v>408</v>
      </c>
      <c r="B116" s="293">
        <v>1</v>
      </c>
      <c r="C116" s="48">
        <v>2</v>
      </c>
      <c r="D116" s="48">
        <v>2</v>
      </c>
      <c r="E116" s="48">
        <v>1</v>
      </c>
      <c r="F116" s="48">
        <v>2</v>
      </c>
      <c r="G116" s="47">
        <v>70</v>
      </c>
    </row>
    <row r="117" spans="1:7" x14ac:dyDescent="0.2">
      <c r="A117" s="359" t="s">
        <v>409</v>
      </c>
      <c r="B117" s="292">
        <v>2</v>
      </c>
      <c r="C117" s="46">
        <v>1</v>
      </c>
      <c r="D117" s="46">
        <v>1</v>
      </c>
      <c r="E117" s="46">
        <v>1</v>
      </c>
      <c r="F117" s="46">
        <v>1</v>
      </c>
      <c r="G117" s="67">
        <v>60</v>
      </c>
    </row>
    <row r="118" spans="1:7" x14ac:dyDescent="0.2">
      <c r="A118" s="359" t="s">
        <v>410</v>
      </c>
      <c r="B118" s="292">
        <v>2</v>
      </c>
      <c r="C118" s="46">
        <v>2</v>
      </c>
      <c r="D118" s="46">
        <v>2</v>
      </c>
      <c r="E118" s="46">
        <v>2</v>
      </c>
      <c r="F118" s="46">
        <v>0</v>
      </c>
      <c r="G118" s="67">
        <v>65</v>
      </c>
    </row>
    <row r="119" spans="1:7" ht="16" x14ac:dyDescent="0.2">
      <c r="A119" s="361" t="s">
        <v>411</v>
      </c>
      <c r="B119" s="293">
        <v>2</v>
      </c>
      <c r="C119" s="48">
        <v>2</v>
      </c>
      <c r="D119" s="48">
        <v>2</v>
      </c>
      <c r="E119" s="48">
        <v>3</v>
      </c>
      <c r="F119" s="48">
        <v>2</v>
      </c>
      <c r="G119" s="48">
        <v>80</v>
      </c>
    </row>
    <row r="120" spans="1:7" x14ac:dyDescent="0.2">
      <c r="A120" s="362" t="s">
        <v>412</v>
      </c>
      <c r="B120" s="293">
        <v>2</v>
      </c>
      <c r="C120" s="48">
        <v>2</v>
      </c>
      <c r="D120" s="48">
        <v>2</v>
      </c>
      <c r="E120" s="48">
        <v>2</v>
      </c>
      <c r="F120" s="48">
        <v>2</v>
      </c>
      <c r="G120" s="33">
        <v>50</v>
      </c>
    </row>
    <row r="121" spans="1:7" x14ac:dyDescent="0.2">
      <c r="A121" s="362" t="s">
        <v>413</v>
      </c>
      <c r="B121" s="293">
        <v>3</v>
      </c>
      <c r="C121" s="48">
        <v>3</v>
      </c>
      <c r="D121" s="48">
        <v>3</v>
      </c>
      <c r="E121" s="48">
        <v>2</v>
      </c>
      <c r="F121" s="48">
        <v>2</v>
      </c>
      <c r="G121" s="47">
        <v>50</v>
      </c>
    </row>
    <row r="122" spans="1:7" x14ac:dyDescent="0.2">
      <c r="A122" s="362" t="s">
        <v>414</v>
      </c>
      <c r="B122" s="292">
        <v>1</v>
      </c>
      <c r="C122" s="46">
        <v>1</v>
      </c>
      <c r="D122" s="46">
        <v>1</v>
      </c>
      <c r="E122" s="46">
        <v>2</v>
      </c>
      <c r="F122" s="46">
        <v>2</v>
      </c>
      <c r="G122" s="67">
        <v>50</v>
      </c>
    </row>
    <row r="123" spans="1:7" ht="16" x14ac:dyDescent="0.2">
      <c r="A123" s="363" t="s">
        <v>415</v>
      </c>
      <c r="B123" s="295">
        <v>2</v>
      </c>
      <c r="C123" s="296">
        <v>2</v>
      </c>
      <c r="D123" s="296">
        <v>2</v>
      </c>
      <c r="E123" s="296">
        <v>2</v>
      </c>
      <c r="F123" s="296">
        <v>1</v>
      </c>
      <c r="G123" s="297">
        <v>40</v>
      </c>
    </row>
    <row r="124" spans="1:7" x14ac:dyDescent="0.2">
      <c r="A124" s="363" t="s">
        <v>416</v>
      </c>
      <c r="B124" s="292">
        <v>2</v>
      </c>
      <c r="C124" s="46">
        <v>2</v>
      </c>
      <c r="D124" s="46">
        <v>2</v>
      </c>
      <c r="E124" s="46">
        <v>2</v>
      </c>
      <c r="F124" s="46">
        <v>2</v>
      </c>
      <c r="G124" s="67">
        <v>50</v>
      </c>
    </row>
    <row r="125" spans="1:7" x14ac:dyDescent="0.2">
      <c r="A125" s="363" t="s">
        <v>417</v>
      </c>
      <c r="B125" s="292">
        <v>1</v>
      </c>
      <c r="C125" s="46">
        <v>1</v>
      </c>
      <c r="D125" s="46">
        <v>1</v>
      </c>
      <c r="E125" s="46">
        <v>1</v>
      </c>
      <c r="F125" s="46">
        <v>1</v>
      </c>
      <c r="G125" s="67">
        <v>50</v>
      </c>
    </row>
    <row r="126" spans="1:7" x14ac:dyDescent="0.2">
      <c r="A126" s="363" t="s">
        <v>418</v>
      </c>
      <c r="B126" s="298">
        <v>2</v>
      </c>
      <c r="C126" s="61">
        <v>1</v>
      </c>
      <c r="D126" s="61">
        <v>2</v>
      </c>
      <c r="E126" s="61">
        <v>1</v>
      </c>
      <c r="F126" s="61">
        <v>2</v>
      </c>
      <c r="G126" s="81">
        <v>30</v>
      </c>
    </row>
    <row r="127" spans="1:7" x14ac:dyDescent="0.2">
      <c r="A127" s="363" t="s">
        <v>419</v>
      </c>
      <c r="B127" s="292">
        <v>1</v>
      </c>
      <c r="C127" s="46">
        <v>1</v>
      </c>
      <c r="D127" s="46">
        <v>1</v>
      </c>
      <c r="E127" s="46">
        <v>3</v>
      </c>
      <c r="F127" s="46">
        <v>2</v>
      </c>
      <c r="G127" s="67">
        <v>70</v>
      </c>
    </row>
    <row r="128" spans="1:7" x14ac:dyDescent="0.2">
      <c r="A128" s="363" t="s">
        <v>420</v>
      </c>
      <c r="B128" s="292">
        <v>1</v>
      </c>
      <c r="C128" s="46">
        <v>1</v>
      </c>
      <c r="D128" s="46">
        <v>2</v>
      </c>
      <c r="E128" s="46">
        <v>2</v>
      </c>
      <c r="F128" s="46">
        <v>2</v>
      </c>
      <c r="G128" s="67">
        <v>70</v>
      </c>
    </row>
    <row r="129" spans="1:7" x14ac:dyDescent="0.2">
      <c r="A129" s="363" t="s">
        <v>421</v>
      </c>
      <c r="B129" s="292">
        <v>1</v>
      </c>
      <c r="C129" s="46">
        <v>1</v>
      </c>
      <c r="D129" s="46">
        <v>3</v>
      </c>
      <c r="E129" s="46">
        <v>1</v>
      </c>
      <c r="F129" s="46">
        <v>2</v>
      </c>
      <c r="G129" s="67">
        <v>50</v>
      </c>
    </row>
    <row r="130" spans="1:7" x14ac:dyDescent="0.2">
      <c r="A130" s="363" t="s">
        <v>422</v>
      </c>
      <c r="B130" s="292">
        <v>2</v>
      </c>
      <c r="C130" s="46">
        <v>2</v>
      </c>
      <c r="D130" s="46">
        <v>1</v>
      </c>
      <c r="E130" s="46">
        <v>2</v>
      </c>
      <c r="F130" s="46">
        <v>1</v>
      </c>
      <c r="G130" s="67">
        <v>65</v>
      </c>
    </row>
    <row r="131" spans="1:7" x14ac:dyDescent="0.2">
      <c r="A131" s="363" t="s">
        <v>423</v>
      </c>
      <c r="B131" s="292">
        <v>2</v>
      </c>
      <c r="C131" s="46">
        <v>2</v>
      </c>
      <c r="D131" s="46">
        <v>2</v>
      </c>
      <c r="E131" s="46">
        <v>2</v>
      </c>
      <c r="F131" s="46">
        <v>1</v>
      </c>
      <c r="G131" s="67">
        <v>70</v>
      </c>
    </row>
    <row r="132" spans="1:7" ht="16" x14ac:dyDescent="0.2">
      <c r="A132" s="358" t="s">
        <v>424</v>
      </c>
      <c r="B132" s="293">
        <v>2</v>
      </c>
      <c r="C132" s="48">
        <v>2</v>
      </c>
      <c r="D132" s="48">
        <v>2</v>
      </c>
      <c r="E132" s="48">
        <v>1</v>
      </c>
      <c r="F132" s="48">
        <v>2</v>
      </c>
      <c r="G132" s="48">
        <v>50</v>
      </c>
    </row>
    <row r="133" spans="1:7" x14ac:dyDescent="0.2">
      <c r="A133" s="363" t="s">
        <v>425</v>
      </c>
      <c r="B133" s="293">
        <v>1</v>
      </c>
      <c r="C133" s="48">
        <v>2</v>
      </c>
      <c r="D133" s="48">
        <v>1</v>
      </c>
      <c r="E133" s="48">
        <v>2</v>
      </c>
      <c r="F133" s="48">
        <v>2</v>
      </c>
      <c r="G133" s="47">
        <v>60</v>
      </c>
    </row>
    <row r="134" spans="1:7" x14ac:dyDescent="0.2">
      <c r="A134" s="363" t="s">
        <v>426</v>
      </c>
      <c r="B134" s="292">
        <v>2</v>
      </c>
      <c r="C134" s="46">
        <v>2</v>
      </c>
      <c r="D134" s="46">
        <v>2</v>
      </c>
      <c r="E134" s="46">
        <v>2</v>
      </c>
      <c r="F134" s="46">
        <v>2</v>
      </c>
      <c r="G134" s="67">
        <v>50</v>
      </c>
    </row>
    <row r="135" spans="1:7" x14ac:dyDescent="0.2">
      <c r="A135" s="364" t="s">
        <v>427</v>
      </c>
      <c r="B135" s="292">
        <v>2</v>
      </c>
      <c r="C135" s="46">
        <v>2</v>
      </c>
      <c r="D135" s="46">
        <v>2</v>
      </c>
      <c r="E135" s="46">
        <v>2</v>
      </c>
      <c r="F135" s="46">
        <v>1</v>
      </c>
      <c r="G135" s="67">
        <v>65</v>
      </c>
    </row>
    <row r="136" spans="1:7" ht="16" x14ac:dyDescent="0.2">
      <c r="A136" s="365" t="s">
        <v>428</v>
      </c>
      <c r="B136" s="293">
        <v>2</v>
      </c>
      <c r="C136" s="48">
        <v>1</v>
      </c>
      <c r="D136" s="48">
        <v>1</v>
      </c>
      <c r="E136" s="48">
        <v>1</v>
      </c>
      <c r="F136" s="48">
        <v>1</v>
      </c>
      <c r="G136" s="48">
        <v>70</v>
      </c>
    </row>
    <row r="137" spans="1:7" ht="16" x14ac:dyDescent="0.2">
      <c r="A137" s="365" t="s">
        <v>429</v>
      </c>
      <c r="B137" s="292">
        <v>2</v>
      </c>
      <c r="C137" s="46">
        <v>2</v>
      </c>
      <c r="D137" s="46">
        <v>2</v>
      </c>
      <c r="E137" s="46">
        <v>3</v>
      </c>
      <c r="F137" s="46">
        <v>2</v>
      </c>
      <c r="G137" s="46">
        <v>45</v>
      </c>
    </row>
    <row r="138" spans="1:7" ht="16" x14ac:dyDescent="0.2">
      <c r="A138" s="366" t="s">
        <v>430</v>
      </c>
      <c r="B138" s="299">
        <v>2</v>
      </c>
      <c r="C138" s="66">
        <v>2</v>
      </c>
      <c r="D138" s="66">
        <v>2</v>
      </c>
      <c r="E138" s="66">
        <v>1</v>
      </c>
      <c r="F138" s="66">
        <v>1</v>
      </c>
      <c r="G138" s="66">
        <v>60</v>
      </c>
    </row>
    <row r="139" spans="1:7" ht="16" x14ac:dyDescent="0.2">
      <c r="A139" s="366" t="s">
        <v>431</v>
      </c>
      <c r="B139" s="293">
        <v>1</v>
      </c>
      <c r="C139" s="48">
        <v>1</v>
      </c>
      <c r="D139" s="48">
        <v>1</v>
      </c>
      <c r="E139" s="48">
        <v>2</v>
      </c>
      <c r="F139" s="48">
        <v>2</v>
      </c>
      <c r="G139" s="33">
        <v>80</v>
      </c>
    </row>
    <row r="140" spans="1:7" x14ac:dyDescent="0.2">
      <c r="A140" s="362" t="s">
        <v>432</v>
      </c>
      <c r="B140" s="293">
        <v>2</v>
      </c>
      <c r="C140" s="48">
        <v>2</v>
      </c>
      <c r="D140" s="48">
        <v>2</v>
      </c>
      <c r="E140" s="48">
        <v>2</v>
      </c>
      <c r="F140" s="48">
        <v>2</v>
      </c>
      <c r="G140" s="48">
        <v>50</v>
      </c>
    </row>
    <row r="141" spans="1:7" x14ac:dyDescent="0.2">
      <c r="A141" s="362" t="s">
        <v>433</v>
      </c>
      <c r="B141" s="293">
        <v>2</v>
      </c>
      <c r="C141" s="48">
        <v>3</v>
      </c>
      <c r="D141" s="48">
        <v>3</v>
      </c>
      <c r="E141" s="48">
        <v>2</v>
      </c>
      <c r="F141" s="48">
        <v>2</v>
      </c>
      <c r="G141" s="33">
        <v>40</v>
      </c>
    </row>
    <row r="142" spans="1:7" x14ac:dyDescent="0.2">
      <c r="A142" s="362" t="s">
        <v>434</v>
      </c>
      <c r="B142" s="293">
        <v>2</v>
      </c>
      <c r="C142" s="48">
        <v>3</v>
      </c>
      <c r="D142" s="48">
        <v>3</v>
      </c>
      <c r="E142" s="48">
        <v>2</v>
      </c>
      <c r="F142" s="48">
        <v>2</v>
      </c>
      <c r="G142" s="48">
        <v>45</v>
      </c>
    </row>
    <row r="143" spans="1:7" x14ac:dyDescent="0.2">
      <c r="A143" s="362" t="s">
        <v>435</v>
      </c>
      <c r="B143" s="293">
        <v>2</v>
      </c>
      <c r="C143" s="48">
        <v>3</v>
      </c>
      <c r="D143" s="48">
        <v>3</v>
      </c>
      <c r="E143" s="48">
        <v>2</v>
      </c>
      <c r="F143" s="48">
        <v>2</v>
      </c>
      <c r="G143" s="47">
        <v>50</v>
      </c>
    </row>
    <row r="144" spans="1:7" x14ac:dyDescent="0.2">
      <c r="A144" s="362" t="s">
        <v>436</v>
      </c>
      <c r="B144" s="292">
        <v>1</v>
      </c>
      <c r="C144" s="46">
        <v>2</v>
      </c>
      <c r="D144" s="46">
        <v>2</v>
      </c>
      <c r="E144" s="46">
        <v>1</v>
      </c>
      <c r="F144" s="46">
        <v>2</v>
      </c>
      <c r="G144" s="67">
        <v>70</v>
      </c>
    </row>
    <row r="145" spans="1:7" x14ac:dyDescent="0.2">
      <c r="A145" s="362" t="s">
        <v>437</v>
      </c>
      <c r="B145" s="300">
        <v>3</v>
      </c>
      <c r="C145" s="46">
        <v>2</v>
      </c>
      <c r="D145" s="46">
        <v>2</v>
      </c>
      <c r="E145" s="46">
        <v>1</v>
      </c>
      <c r="F145" s="46">
        <v>1</v>
      </c>
      <c r="G145" s="67">
        <v>60</v>
      </c>
    </row>
    <row r="146" spans="1:7" x14ac:dyDescent="0.2">
      <c r="A146" s="362" t="s">
        <v>438</v>
      </c>
      <c r="B146" s="294">
        <v>2</v>
      </c>
      <c r="C146" s="52">
        <v>2</v>
      </c>
      <c r="D146" s="52">
        <v>2</v>
      </c>
      <c r="E146" s="52">
        <v>1</v>
      </c>
      <c r="F146" s="52">
        <v>2</v>
      </c>
      <c r="G146" s="51">
        <v>50</v>
      </c>
    </row>
    <row r="147" spans="1:7" ht="16" x14ac:dyDescent="0.2">
      <c r="A147" s="367" t="s">
        <v>439</v>
      </c>
      <c r="B147" s="293">
        <v>1</v>
      </c>
      <c r="C147" s="48">
        <v>1</v>
      </c>
      <c r="D147" s="48">
        <v>1</v>
      </c>
      <c r="E147" s="48">
        <v>2</v>
      </c>
      <c r="F147" s="48">
        <v>1</v>
      </c>
      <c r="G147" s="48">
        <v>60</v>
      </c>
    </row>
    <row r="148" spans="1:7" ht="16" x14ac:dyDescent="0.2">
      <c r="A148" s="360" t="s">
        <v>440</v>
      </c>
      <c r="B148" s="301">
        <v>1</v>
      </c>
      <c r="C148" s="75">
        <v>1</v>
      </c>
      <c r="D148" s="75">
        <v>1</v>
      </c>
      <c r="E148" s="75">
        <v>1</v>
      </c>
      <c r="F148" s="75">
        <v>1</v>
      </c>
      <c r="G148" s="46">
        <v>80</v>
      </c>
    </row>
    <row r="149" spans="1:7" x14ac:dyDescent="0.2">
      <c r="A149" s="362" t="s">
        <v>441</v>
      </c>
      <c r="B149" s="302">
        <v>1</v>
      </c>
      <c r="C149" s="178">
        <v>2</v>
      </c>
      <c r="D149" s="178">
        <v>1</v>
      </c>
      <c r="E149" s="178">
        <v>1</v>
      </c>
      <c r="F149" s="178">
        <v>1</v>
      </c>
      <c r="G149" s="303">
        <v>60</v>
      </c>
    </row>
    <row r="150" spans="1:7" x14ac:dyDescent="0.2">
      <c r="A150" s="362" t="s">
        <v>442</v>
      </c>
      <c r="B150" s="294">
        <v>2</v>
      </c>
      <c r="C150" s="45">
        <v>2</v>
      </c>
      <c r="D150" s="45">
        <v>2</v>
      </c>
      <c r="E150" s="45">
        <v>2</v>
      </c>
      <c r="F150" s="45">
        <v>2</v>
      </c>
      <c r="G150" s="45">
        <v>50</v>
      </c>
    </row>
    <row r="151" spans="1:7" x14ac:dyDescent="0.2">
      <c r="A151" s="362" t="s">
        <v>443</v>
      </c>
      <c r="B151" s="294">
        <v>1</v>
      </c>
      <c r="C151" s="45">
        <v>1</v>
      </c>
      <c r="D151" s="45">
        <v>1</v>
      </c>
      <c r="E151" s="45">
        <v>1</v>
      </c>
      <c r="F151" s="45">
        <v>2</v>
      </c>
      <c r="G151" s="45">
        <v>80</v>
      </c>
    </row>
    <row r="152" spans="1:7" x14ac:dyDescent="0.2">
      <c r="A152" s="362" t="s">
        <v>444</v>
      </c>
      <c r="B152" s="292">
        <v>2</v>
      </c>
      <c r="C152" s="46">
        <v>2</v>
      </c>
      <c r="D152" s="46">
        <v>2</v>
      </c>
      <c r="E152" s="46">
        <v>2</v>
      </c>
      <c r="F152" s="46">
        <v>1</v>
      </c>
      <c r="G152" s="67">
        <v>70</v>
      </c>
    </row>
    <row r="153" spans="1:7" x14ac:dyDescent="0.2">
      <c r="A153" s="362" t="s">
        <v>445</v>
      </c>
      <c r="B153" s="292">
        <v>1</v>
      </c>
      <c r="C153" s="46">
        <v>1</v>
      </c>
      <c r="D153" s="46">
        <v>1</v>
      </c>
      <c r="E153" s="46">
        <v>1</v>
      </c>
      <c r="F153" s="46">
        <v>1</v>
      </c>
      <c r="G153" s="67">
        <v>70</v>
      </c>
    </row>
    <row r="154" spans="1:7" ht="16" x14ac:dyDescent="0.2">
      <c r="A154" s="360" t="s">
        <v>446</v>
      </c>
      <c r="B154" s="293">
        <v>2</v>
      </c>
      <c r="C154" s="48">
        <v>2</v>
      </c>
      <c r="D154" s="48">
        <v>1</v>
      </c>
      <c r="E154" s="48">
        <v>2</v>
      </c>
      <c r="F154" s="48">
        <v>1</v>
      </c>
      <c r="G154" s="45">
        <v>60</v>
      </c>
    </row>
    <row r="155" spans="1:7" x14ac:dyDescent="0.2">
      <c r="A155" s="359" t="s">
        <v>447</v>
      </c>
      <c r="B155" s="293">
        <v>2</v>
      </c>
      <c r="C155" s="48">
        <v>2</v>
      </c>
      <c r="D155" s="48">
        <v>1</v>
      </c>
      <c r="E155" s="48">
        <v>1</v>
      </c>
      <c r="F155" s="48">
        <v>2</v>
      </c>
      <c r="G155" s="45">
        <v>80</v>
      </c>
    </row>
    <row r="156" spans="1:7" x14ac:dyDescent="0.2">
      <c r="A156" s="359" t="s">
        <v>448</v>
      </c>
      <c r="B156" s="293">
        <v>2</v>
      </c>
      <c r="C156" s="48">
        <v>2</v>
      </c>
      <c r="D156" s="48">
        <v>2</v>
      </c>
      <c r="E156" s="48">
        <v>2</v>
      </c>
      <c r="F156" s="48">
        <v>2</v>
      </c>
      <c r="G156" s="45">
        <v>30</v>
      </c>
    </row>
    <row r="157" spans="1:7" x14ac:dyDescent="0.2">
      <c r="A157" s="359" t="s">
        <v>449</v>
      </c>
      <c r="B157" s="293">
        <v>1</v>
      </c>
      <c r="C157" s="48">
        <v>1</v>
      </c>
      <c r="D157" s="48">
        <v>1</v>
      </c>
      <c r="E157" s="48">
        <v>1</v>
      </c>
      <c r="F157" s="48">
        <v>2</v>
      </c>
      <c r="G157" s="45">
        <v>80</v>
      </c>
    </row>
    <row r="158" spans="1:7" x14ac:dyDescent="0.2">
      <c r="A158" s="368" t="s">
        <v>450</v>
      </c>
      <c r="B158" s="293">
        <v>2</v>
      </c>
      <c r="C158" s="48">
        <v>2</v>
      </c>
      <c r="D158" s="48">
        <v>2</v>
      </c>
      <c r="E158" s="48">
        <v>2</v>
      </c>
      <c r="F158" s="48">
        <v>1</v>
      </c>
      <c r="G158" s="304">
        <v>50</v>
      </c>
    </row>
    <row r="159" spans="1:7" x14ac:dyDescent="0.2">
      <c r="A159" s="368" t="s">
        <v>451</v>
      </c>
      <c r="B159" s="292">
        <v>2</v>
      </c>
      <c r="C159" s="46">
        <v>2</v>
      </c>
      <c r="D159" s="46">
        <v>2</v>
      </c>
      <c r="E159" s="46">
        <v>2</v>
      </c>
      <c r="F159" s="46">
        <v>2</v>
      </c>
      <c r="G159" s="305">
        <v>50</v>
      </c>
    </row>
    <row r="160" spans="1:7" x14ac:dyDescent="0.2">
      <c r="A160" s="368" t="s">
        <v>452</v>
      </c>
      <c r="B160" s="47">
        <v>1</v>
      </c>
      <c r="C160" s="48">
        <v>1</v>
      </c>
      <c r="D160" s="48">
        <v>1</v>
      </c>
      <c r="E160" s="48">
        <v>1</v>
      </c>
      <c r="F160" s="48">
        <v>2</v>
      </c>
      <c r="G160" s="45">
        <v>40</v>
      </c>
    </row>
    <row r="161" spans="1:7" x14ac:dyDescent="0.2">
      <c r="A161" s="368" t="s">
        <v>453</v>
      </c>
      <c r="B161" s="67">
        <v>2</v>
      </c>
      <c r="C161" s="46">
        <v>2</v>
      </c>
      <c r="D161" s="46">
        <v>2</v>
      </c>
      <c r="E161" s="46">
        <v>2</v>
      </c>
      <c r="F161" s="46">
        <v>2</v>
      </c>
      <c r="G161" s="45">
        <v>50</v>
      </c>
    </row>
    <row r="162" spans="1:7" x14ac:dyDescent="0.2">
      <c r="A162" s="368" t="s">
        <v>454</v>
      </c>
      <c r="B162" s="306">
        <v>1</v>
      </c>
      <c r="C162" s="60">
        <v>1</v>
      </c>
      <c r="D162" s="60">
        <v>1</v>
      </c>
      <c r="E162" s="60">
        <v>2</v>
      </c>
      <c r="F162" s="60">
        <v>1</v>
      </c>
      <c r="G162" s="60">
        <v>60</v>
      </c>
    </row>
    <row r="163" spans="1:7" ht="16" x14ac:dyDescent="0.2">
      <c r="A163" s="369" t="s">
        <v>455</v>
      </c>
      <c r="B163" s="47">
        <v>2</v>
      </c>
      <c r="C163" s="48">
        <v>2</v>
      </c>
      <c r="D163" s="48">
        <v>2</v>
      </c>
      <c r="E163" s="48">
        <v>2</v>
      </c>
      <c r="F163" s="48">
        <v>1</v>
      </c>
      <c r="G163" s="304">
        <v>90</v>
      </c>
    </row>
    <row r="164" spans="1:7" ht="16" x14ac:dyDescent="0.2">
      <c r="A164" s="369" t="s">
        <v>456</v>
      </c>
      <c r="B164" s="67">
        <v>1</v>
      </c>
      <c r="C164" s="46">
        <v>1</v>
      </c>
      <c r="D164" s="46">
        <v>1</v>
      </c>
      <c r="E164" s="46">
        <v>1</v>
      </c>
      <c r="F164" s="46">
        <v>1</v>
      </c>
      <c r="G164" s="305">
        <v>80</v>
      </c>
    </row>
    <row r="165" spans="1:7" ht="16" x14ac:dyDescent="0.2">
      <c r="A165" s="369" t="s">
        <v>457</v>
      </c>
      <c r="B165" s="81">
        <v>3</v>
      </c>
      <c r="C165" s="61">
        <v>2</v>
      </c>
      <c r="D165" s="61">
        <v>2</v>
      </c>
      <c r="E165" s="61">
        <v>2</v>
      </c>
      <c r="F165" s="61">
        <v>1</v>
      </c>
      <c r="G165" s="307">
        <v>50</v>
      </c>
    </row>
    <row r="166" spans="1:7" ht="16" x14ac:dyDescent="0.2">
      <c r="A166" s="369" t="s">
        <v>458</v>
      </c>
      <c r="B166" s="70">
        <v>1</v>
      </c>
      <c r="C166" s="60">
        <v>1</v>
      </c>
      <c r="D166" s="60">
        <v>1</v>
      </c>
      <c r="E166" s="60">
        <v>1</v>
      </c>
      <c r="F166" s="60">
        <v>1</v>
      </c>
      <c r="G166" s="60">
        <v>50</v>
      </c>
    </row>
    <row r="167" spans="1:7" ht="16" x14ac:dyDescent="0.2">
      <c r="A167" s="369" t="s">
        <v>459</v>
      </c>
      <c r="B167" s="81">
        <v>2</v>
      </c>
      <c r="C167" s="61">
        <v>2</v>
      </c>
      <c r="D167" s="61">
        <v>2</v>
      </c>
      <c r="E167" s="61">
        <v>2</v>
      </c>
      <c r="F167" s="61">
        <v>1</v>
      </c>
      <c r="G167" s="307">
        <v>80</v>
      </c>
    </row>
    <row r="168" spans="1:7" ht="16" x14ac:dyDescent="0.2">
      <c r="A168" s="369" t="s">
        <v>460</v>
      </c>
      <c r="B168" s="81">
        <v>2</v>
      </c>
      <c r="C168" s="61">
        <v>1</v>
      </c>
      <c r="D168" s="61">
        <v>1</v>
      </c>
      <c r="E168" s="61">
        <v>1</v>
      </c>
      <c r="F168" s="61">
        <v>1</v>
      </c>
      <c r="G168" s="307">
        <v>90</v>
      </c>
    </row>
    <row r="169" spans="1:7" ht="17" thickBot="1" x14ac:dyDescent="0.25">
      <c r="A169" s="370" t="s">
        <v>461</v>
      </c>
      <c r="B169" s="84">
        <v>2</v>
      </c>
      <c r="C169" s="85">
        <v>2</v>
      </c>
      <c r="D169" s="85">
        <v>2</v>
      </c>
      <c r="E169" s="85">
        <v>2</v>
      </c>
      <c r="F169" s="85">
        <v>2</v>
      </c>
      <c r="G169" s="111">
        <v>40</v>
      </c>
    </row>
    <row r="170" spans="1:7" x14ac:dyDescent="0.2">
      <c r="A170" s="371" t="s">
        <v>462</v>
      </c>
      <c r="B170" s="47">
        <v>2</v>
      </c>
      <c r="C170" s="48">
        <v>2</v>
      </c>
      <c r="D170" s="48">
        <v>2</v>
      </c>
      <c r="E170" s="48">
        <v>2</v>
      </c>
      <c r="F170" s="48">
        <v>2</v>
      </c>
      <c r="G170" s="45">
        <v>55</v>
      </c>
    </row>
    <row r="171" spans="1:7" ht="16" x14ac:dyDescent="0.2">
      <c r="A171" s="360" t="s">
        <v>463</v>
      </c>
      <c r="B171" s="70">
        <v>2</v>
      </c>
      <c r="C171" s="60">
        <v>2</v>
      </c>
      <c r="D171" s="60">
        <v>2</v>
      </c>
      <c r="E171" s="60">
        <v>2</v>
      </c>
      <c r="F171" s="60">
        <v>1</v>
      </c>
      <c r="G171" s="45">
        <v>50</v>
      </c>
    </row>
    <row r="172" spans="1:7" ht="17" thickBot="1" x14ac:dyDescent="0.25">
      <c r="A172" s="360" t="s">
        <v>464</v>
      </c>
      <c r="B172" s="89">
        <v>1</v>
      </c>
      <c r="C172" s="90">
        <v>1</v>
      </c>
      <c r="D172" s="90">
        <v>1</v>
      </c>
      <c r="E172" s="90">
        <v>1</v>
      </c>
      <c r="F172" s="90">
        <v>1</v>
      </c>
      <c r="G172" s="111">
        <v>80</v>
      </c>
    </row>
    <row r="173" spans="1:7" x14ac:dyDescent="0.2">
      <c r="A173" s="359" t="s">
        <v>465</v>
      </c>
      <c r="B173" s="47">
        <v>1</v>
      </c>
      <c r="C173" s="48">
        <v>1</v>
      </c>
      <c r="D173" s="48">
        <v>1</v>
      </c>
      <c r="E173" s="48">
        <v>2</v>
      </c>
      <c r="F173" s="48">
        <v>1</v>
      </c>
      <c r="G173" s="45">
        <v>80</v>
      </c>
    </row>
    <row r="174" spans="1:7" x14ac:dyDescent="0.2">
      <c r="A174" s="359" t="s">
        <v>466</v>
      </c>
      <c r="B174" s="67">
        <v>2</v>
      </c>
      <c r="C174" s="46">
        <v>1</v>
      </c>
      <c r="D174" s="46">
        <v>1</v>
      </c>
      <c r="E174" s="46">
        <v>2</v>
      </c>
      <c r="F174" s="46">
        <v>1</v>
      </c>
      <c r="G174" s="45">
        <v>80</v>
      </c>
    </row>
    <row r="175" spans="1:7" ht="16" x14ac:dyDescent="0.2">
      <c r="A175" s="360" t="s">
        <v>467</v>
      </c>
      <c r="B175" s="47">
        <v>2</v>
      </c>
      <c r="C175" s="48">
        <v>2</v>
      </c>
      <c r="D175" s="48">
        <v>2</v>
      </c>
      <c r="E175" s="48">
        <v>1</v>
      </c>
      <c r="F175" s="48">
        <v>2</v>
      </c>
      <c r="G175" s="45">
        <v>65</v>
      </c>
    </row>
    <row r="176" spans="1:7" ht="16" x14ac:dyDescent="0.2">
      <c r="A176" s="360" t="s">
        <v>468</v>
      </c>
      <c r="B176" s="47">
        <v>3</v>
      </c>
      <c r="C176" s="48">
        <v>2</v>
      </c>
      <c r="D176" s="48">
        <v>2</v>
      </c>
      <c r="E176" s="48">
        <v>2</v>
      </c>
      <c r="F176" s="48">
        <v>2</v>
      </c>
      <c r="G176" s="45">
        <v>30</v>
      </c>
    </row>
    <row r="177" spans="1:7" ht="16" x14ac:dyDescent="0.2">
      <c r="A177" s="360" t="s">
        <v>469</v>
      </c>
      <c r="B177" s="47">
        <v>2</v>
      </c>
      <c r="C177" s="48">
        <v>2</v>
      </c>
      <c r="D177" s="48">
        <v>2</v>
      </c>
      <c r="E177" s="48">
        <v>2</v>
      </c>
      <c r="F177" s="48">
        <v>2</v>
      </c>
      <c r="G177" s="308">
        <v>25</v>
      </c>
    </row>
    <row r="178" spans="1:7" ht="16" x14ac:dyDescent="0.2">
      <c r="A178" s="360" t="s">
        <v>470</v>
      </c>
      <c r="B178" s="67">
        <v>2</v>
      </c>
      <c r="C178" s="46">
        <v>2</v>
      </c>
      <c r="D178" s="46">
        <v>2</v>
      </c>
      <c r="E178" s="46">
        <v>2</v>
      </c>
      <c r="F178" s="46">
        <v>2</v>
      </c>
      <c r="G178" s="309">
        <v>40</v>
      </c>
    </row>
    <row r="179" spans="1:7" ht="16" x14ac:dyDescent="0.2">
      <c r="A179" s="360" t="s">
        <v>471</v>
      </c>
      <c r="B179" s="67">
        <v>2</v>
      </c>
      <c r="C179" s="46">
        <v>2</v>
      </c>
      <c r="D179" s="46">
        <v>2</v>
      </c>
      <c r="E179" s="46">
        <v>2</v>
      </c>
      <c r="F179" s="46">
        <v>1</v>
      </c>
      <c r="G179" s="309">
        <v>60</v>
      </c>
    </row>
    <row r="180" spans="1:7" ht="16" x14ac:dyDescent="0.2">
      <c r="A180" s="360" t="s">
        <v>472</v>
      </c>
      <c r="B180" s="67">
        <v>1</v>
      </c>
      <c r="C180" s="46">
        <v>1</v>
      </c>
      <c r="D180" s="46">
        <v>1</v>
      </c>
      <c r="E180" s="46">
        <v>1</v>
      </c>
      <c r="F180" s="46">
        <v>1</v>
      </c>
      <c r="G180" s="309">
        <v>90</v>
      </c>
    </row>
    <row r="181" spans="1:7" ht="16" x14ac:dyDescent="0.2">
      <c r="A181" s="360" t="s">
        <v>473</v>
      </c>
      <c r="B181" s="67">
        <v>2</v>
      </c>
      <c r="C181" s="46">
        <v>2</v>
      </c>
      <c r="D181" s="46">
        <v>2</v>
      </c>
      <c r="E181" s="46">
        <v>1</v>
      </c>
      <c r="F181" s="46">
        <v>1</v>
      </c>
      <c r="G181" s="309">
        <v>25</v>
      </c>
    </row>
    <row r="182" spans="1:7" ht="16" x14ac:dyDescent="0.2">
      <c r="A182" s="360" t="s">
        <v>474</v>
      </c>
      <c r="B182" s="67">
        <v>2</v>
      </c>
      <c r="C182" s="46">
        <v>2</v>
      </c>
      <c r="D182" s="46">
        <v>2</v>
      </c>
      <c r="E182" s="46">
        <v>2</v>
      </c>
      <c r="F182" s="46">
        <v>1</v>
      </c>
      <c r="G182" s="309">
        <v>65</v>
      </c>
    </row>
    <row r="183" spans="1:7" ht="16" x14ac:dyDescent="0.2">
      <c r="A183" s="372" t="s">
        <v>475</v>
      </c>
      <c r="B183" s="67">
        <v>2</v>
      </c>
      <c r="C183" s="46">
        <v>2</v>
      </c>
      <c r="D183" s="46">
        <v>2</v>
      </c>
      <c r="E183" s="46">
        <v>1</v>
      </c>
      <c r="F183" s="46">
        <v>2</v>
      </c>
      <c r="G183" s="309">
        <v>70</v>
      </c>
    </row>
    <row r="184" spans="1:7" ht="16" x14ac:dyDescent="0.2">
      <c r="A184" s="369" t="s">
        <v>476</v>
      </c>
      <c r="B184" s="67">
        <v>2</v>
      </c>
      <c r="C184" s="46">
        <v>1</v>
      </c>
      <c r="D184" s="46">
        <v>1</v>
      </c>
      <c r="E184" s="46">
        <v>2</v>
      </c>
      <c r="F184" s="46">
        <v>2</v>
      </c>
      <c r="G184" s="309">
        <v>65</v>
      </c>
    </row>
    <row r="185" spans="1:7" ht="16" x14ac:dyDescent="0.2">
      <c r="A185" s="369" t="s">
        <v>477</v>
      </c>
      <c r="B185" s="67">
        <v>1</v>
      </c>
      <c r="C185" s="46">
        <v>2</v>
      </c>
      <c r="D185" s="46">
        <v>1</v>
      </c>
      <c r="E185" s="46">
        <v>1</v>
      </c>
      <c r="F185" s="46">
        <v>1</v>
      </c>
      <c r="G185" s="309">
        <v>75</v>
      </c>
    </row>
    <row r="186" spans="1:7" ht="16" x14ac:dyDescent="0.2">
      <c r="A186" s="369" t="s">
        <v>478</v>
      </c>
      <c r="B186" s="67">
        <v>3</v>
      </c>
      <c r="C186" s="46">
        <v>2</v>
      </c>
      <c r="D186" s="46">
        <v>3</v>
      </c>
      <c r="E186" s="46">
        <v>2</v>
      </c>
      <c r="F186" s="46">
        <v>1</v>
      </c>
      <c r="G186" s="309">
        <v>80</v>
      </c>
    </row>
    <row r="187" spans="1:7" ht="16" x14ac:dyDescent="0.2">
      <c r="A187" s="369" t="s">
        <v>479</v>
      </c>
      <c r="B187" s="67">
        <v>3</v>
      </c>
      <c r="C187" s="46">
        <v>2</v>
      </c>
      <c r="D187" s="46">
        <v>2</v>
      </c>
      <c r="E187" s="46">
        <v>2</v>
      </c>
      <c r="F187" s="46">
        <v>2</v>
      </c>
      <c r="G187" s="309">
        <v>50</v>
      </c>
    </row>
    <row r="188" spans="1:7" ht="16" x14ac:dyDescent="0.2">
      <c r="A188" s="369" t="s">
        <v>480</v>
      </c>
      <c r="B188" s="67">
        <v>2</v>
      </c>
      <c r="C188" s="46">
        <v>1</v>
      </c>
      <c r="D188" s="46">
        <v>1</v>
      </c>
      <c r="E188" s="46">
        <v>1</v>
      </c>
      <c r="F188" s="46">
        <v>1</v>
      </c>
      <c r="G188" s="309">
        <v>90</v>
      </c>
    </row>
    <row r="189" spans="1:7" ht="16" x14ac:dyDescent="0.2">
      <c r="A189" s="369" t="s">
        <v>481</v>
      </c>
      <c r="B189" s="67">
        <v>2</v>
      </c>
      <c r="C189" s="46">
        <v>1</v>
      </c>
      <c r="D189" s="46">
        <v>2</v>
      </c>
      <c r="E189" s="46">
        <v>2</v>
      </c>
      <c r="F189" s="46">
        <v>2</v>
      </c>
      <c r="G189" s="309">
        <v>80</v>
      </c>
    </row>
    <row r="190" spans="1:7" ht="16" x14ac:dyDescent="0.2">
      <c r="A190" s="369" t="s">
        <v>482</v>
      </c>
      <c r="B190" s="67">
        <v>1</v>
      </c>
      <c r="C190" s="46">
        <v>1</v>
      </c>
      <c r="D190" s="46">
        <v>1</v>
      </c>
      <c r="E190" s="46">
        <v>1</v>
      </c>
      <c r="F190" s="46">
        <v>1</v>
      </c>
      <c r="G190" s="46">
        <v>60</v>
      </c>
    </row>
    <row r="191" spans="1:7" ht="16" x14ac:dyDescent="0.2">
      <c r="A191" s="369" t="s">
        <v>483</v>
      </c>
      <c r="B191" s="67">
        <v>2</v>
      </c>
      <c r="C191" s="46">
        <v>2</v>
      </c>
      <c r="D191" s="46">
        <v>2</v>
      </c>
      <c r="E191" s="46">
        <v>1</v>
      </c>
      <c r="F191" s="46">
        <v>1</v>
      </c>
      <c r="G191" s="309">
        <v>90</v>
      </c>
    </row>
    <row r="192" spans="1:7" ht="16" x14ac:dyDescent="0.2">
      <c r="A192" s="369" t="s">
        <v>484</v>
      </c>
      <c r="B192" s="81">
        <v>2</v>
      </c>
      <c r="C192" s="61">
        <v>2</v>
      </c>
      <c r="D192" s="61">
        <v>2</v>
      </c>
      <c r="E192" s="61">
        <v>2</v>
      </c>
      <c r="F192" s="61">
        <v>1</v>
      </c>
      <c r="G192" s="310">
        <v>50</v>
      </c>
    </row>
    <row r="193" spans="1:7" ht="16" x14ac:dyDescent="0.2">
      <c r="A193" s="369" t="s">
        <v>485</v>
      </c>
      <c r="B193" s="81">
        <v>2</v>
      </c>
      <c r="C193" s="61">
        <v>2</v>
      </c>
      <c r="D193" s="61">
        <v>2</v>
      </c>
      <c r="E193" s="61">
        <v>2</v>
      </c>
      <c r="F193" s="61">
        <v>1</v>
      </c>
      <c r="G193" s="310">
        <v>60</v>
      </c>
    </row>
    <row r="194" spans="1:7" ht="16" x14ac:dyDescent="0.2">
      <c r="A194" s="369" t="s">
        <v>486</v>
      </c>
      <c r="B194" s="81">
        <v>2</v>
      </c>
      <c r="C194" s="61">
        <v>2</v>
      </c>
      <c r="D194" s="61">
        <v>2</v>
      </c>
      <c r="E194" s="61">
        <v>2</v>
      </c>
      <c r="F194" s="61">
        <v>1</v>
      </c>
      <c r="G194" s="310">
        <v>50</v>
      </c>
    </row>
    <row r="195" spans="1:7" ht="16" x14ac:dyDescent="0.2">
      <c r="A195" s="369" t="s">
        <v>487</v>
      </c>
      <c r="B195" s="67">
        <v>2</v>
      </c>
      <c r="C195" s="46">
        <v>2</v>
      </c>
      <c r="D195" s="46">
        <v>2</v>
      </c>
      <c r="E195" s="46">
        <v>2</v>
      </c>
      <c r="F195" s="46">
        <v>2</v>
      </c>
      <c r="G195" s="309">
        <v>50</v>
      </c>
    </row>
    <row r="196" spans="1:7" ht="16" x14ac:dyDescent="0.2">
      <c r="A196" s="369" t="s">
        <v>488</v>
      </c>
      <c r="B196" s="60">
        <v>2</v>
      </c>
      <c r="C196" s="60">
        <v>2</v>
      </c>
      <c r="D196" s="60">
        <v>2</v>
      </c>
      <c r="E196" s="60">
        <v>2</v>
      </c>
      <c r="F196" s="60">
        <v>1</v>
      </c>
      <c r="G196" s="111">
        <v>65</v>
      </c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19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8" sqref="F38"/>
    </sheetView>
  </sheetViews>
  <sheetFormatPr baseColWidth="10" defaultColWidth="20.6640625" defaultRowHeight="15" x14ac:dyDescent="0.2"/>
  <cols>
    <col min="20" max="20" width="25.33203125" customWidth="1"/>
  </cols>
  <sheetData>
    <row r="1" spans="1:28" ht="48" x14ac:dyDescent="0.2">
      <c r="A1" s="327" t="s">
        <v>497</v>
      </c>
      <c r="B1" s="4">
        <v>1</v>
      </c>
      <c r="C1" s="4">
        <v>1</v>
      </c>
      <c r="D1" s="4" t="s">
        <v>146</v>
      </c>
      <c r="E1" s="4" t="s">
        <v>146</v>
      </c>
      <c r="F1" s="4">
        <v>3</v>
      </c>
      <c r="G1" s="4">
        <v>3</v>
      </c>
      <c r="H1" s="4" t="s">
        <v>147</v>
      </c>
      <c r="I1" s="4" t="s">
        <v>148</v>
      </c>
      <c r="J1" s="4" t="s">
        <v>149</v>
      </c>
      <c r="K1" s="4" t="s">
        <v>150</v>
      </c>
      <c r="L1" s="4" t="s">
        <v>151</v>
      </c>
      <c r="M1" s="4" t="s">
        <v>152</v>
      </c>
      <c r="N1" s="4" t="s">
        <v>153</v>
      </c>
      <c r="O1" s="4" t="s">
        <v>154</v>
      </c>
      <c r="P1" s="4" t="s">
        <v>155</v>
      </c>
      <c r="Q1" s="4" t="s">
        <v>156</v>
      </c>
      <c r="R1" s="4" t="s">
        <v>157</v>
      </c>
      <c r="S1" s="4" t="s">
        <v>158</v>
      </c>
      <c r="T1" s="4" t="s">
        <v>159</v>
      </c>
      <c r="U1" s="4" t="s">
        <v>158</v>
      </c>
      <c r="V1" s="4" t="s">
        <v>159</v>
      </c>
      <c r="W1" s="4" t="s">
        <v>160</v>
      </c>
      <c r="X1" s="4" t="s">
        <v>161</v>
      </c>
      <c r="Y1" s="4" t="s">
        <v>162</v>
      </c>
      <c r="Z1" s="4" t="s">
        <v>163</v>
      </c>
      <c r="AA1" s="409">
        <v>10</v>
      </c>
      <c r="AB1" s="4" t="s">
        <v>54</v>
      </c>
    </row>
    <row r="2" spans="1:28" ht="32" x14ac:dyDescent="0.2">
      <c r="A2" s="346" t="s">
        <v>497</v>
      </c>
      <c r="B2" s="345" t="s">
        <v>783</v>
      </c>
      <c r="C2" s="345" t="str">
        <f>_xlfn.XLOOKUP(C1,PITTS[Pregunta],PITTS[ITEM_CODE],"XXXXXX")</f>
        <v>BEDTIME</v>
      </c>
      <c r="D2" s="345" t="s">
        <v>784</v>
      </c>
      <c r="E2" s="345" t="str">
        <f>_xlfn.XLOOKUP(E1,PITTS[Pregunta],PITTS[ITEM_CODE],"XXXXXX")</f>
        <v>FALL_ASLEEP_TIME</v>
      </c>
      <c r="F2" s="345" t="s">
        <v>785</v>
      </c>
      <c r="G2" s="345" t="str">
        <f>_xlfn.XLOOKUP(G1,PITTS[Pregunta],PITTS[ITEM_CODE],"XXXXXX")</f>
        <v>GETUP_TIME</v>
      </c>
      <c r="H2" s="345" t="str">
        <f>_xlfn.XLOOKUP(H1,PITTS[Pregunta],PITTS[ITEM_CODE],"XXXXXX")</f>
        <v>SLEEP_TIME_NIGHT</v>
      </c>
      <c r="I2" s="345">
        <f>_xlfn.XLOOKUP(I1,PITTS[Pregunta],PITTS[ITEM_CODE],"XXXXXX")</f>
        <v>0</v>
      </c>
      <c r="J2" s="345" t="str">
        <f>_xlfn.XLOOKUP(J1,PITTS[Pregunta],PITTS[ITEM_CODE],"XXXXXX")</f>
        <v>INABILITY_SLEEP</v>
      </c>
      <c r="K2" s="345" t="str">
        <f>_xlfn.XLOOKUP(K1,PITTS[Pregunta],PITTS[ITEM_CODE],"XXXXXX")</f>
        <v>WAKING_UP</v>
      </c>
      <c r="L2" s="345" t="str">
        <f>_xlfn.XLOOKUP(L1,PITTS[Pregunta],PITTS[ITEM_CODE],"XXXXXX")</f>
        <v>GO_BATHROOM</v>
      </c>
      <c r="M2" s="345" t="str">
        <f>_xlfn.XLOOKUP(M1,PITTS[Pregunta],PITTS[ITEM_CODE],"XXXXXX")</f>
        <v>BREATHING</v>
      </c>
      <c r="N2" s="345" t="str">
        <f>_xlfn.XLOOKUP(N1,PITTS[Pregunta],PITTS[ITEM_CODE],"XXXXXX")</f>
        <v>COUGH_SNORE</v>
      </c>
      <c r="O2" s="345" t="str">
        <f>_xlfn.XLOOKUP(O1,PITTS[Pregunta],PITTS[ITEM_CODE],"XXXXXX")</f>
        <v>COLD</v>
      </c>
      <c r="P2" s="345" t="str">
        <f>_xlfn.XLOOKUP(P1,PITTS[Pregunta],PITTS[ITEM_CODE],"XXXXXX")</f>
        <v>HOT</v>
      </c>
      <c r="Q2" s="345" t="str">
        <f>_xlfn.XLOOKUP(Q1,PITTS[Pregunta],PITTS[ITEM_CODE],"XXXXXX")</f>
        <v>BAD_DREAMS</v>
      </c>
      <c r="R2" s="345" t="str">
        <f>_xlfn.XLOOKUP(R1,PITTS[Pregunta],PITTS[ITEM_CODE],"XXXXXX")</f>
        <v>PAIN</v>
      </c>
      <c r="S2" s="407" t="s">
        <v>786</v>
      </c>
      <c r="T2" s="345" t="s">
        <v>787</v>
      </c>
      <c r="U2" s="407" t="str">
        <f>_xlfn.XLOOKUP(U1,PITTS[Pregunta],PITTS[ITEM_CODE],"XXXXXX")</f>
        <v>OTHER_REASONS</v>
      </c>
      <c r="V2" s="345" t="str">
        <f>_xlfn.XLOOKUP(V1,PITTS[Pregunta],PITTS[ITEM_CODE],"XXXXXX")</f>
        <v>OTHER_REASONS_SPECIFY</v>
      </c>
      <c r="W2" s="345" t="str">
        <f>_xlfn.XLOOKUP(W1,PITTS[Pregunta],PITTS[ITEM_CODE],"XXXXXX")</f>
        <v>SUBJ_SLEEP_QUALITY</v>
      </c>
      <c r="X2" s="345" t="str">
        <f>_xlfn.XLOOKUP(X1,PITTS[Pregunta],PITTS[ITEM_CODE],"XXXXXX")</f>
        <v>MEDICINES_SLEEP</v>
      </c>
      <c r="Y2" s="345" t="str">
        <f>_xlfn.XLOOKUP(Y1,PITTS[Pregunta],PITTS[ITEM_CODE],"XXXXXX")</f>
        <v>TROUBLE_STAYING_AWAKE</v>
      </c>
      <c r="Z2" s="345" t="str">
        <f>_xlfn.XLOOKUP(Z1,PITTS[Pregunta],PITTS[ITEM_CODE],"XXXXXX")</f>
        <v>THINGS_DONE</v>
      </c>
      <c r="AA2" s="410" t="str">
        <f>_xlfn.XLOOKUP(AA1,PITTS[Pregunta],PITTS[ITEM_CODE],"XXXXXX")</f>
        <v>BED_PARTNER</v>
      </c>
      <c r="AB2" s="408" t="s">
        <v>788</v>
      </c>
    </row>
    <row r="3" spans="1:28" x14ac:dyDescent="0.2">
      <c r="A3" s="112" t="s">
        <v>297</v>
      </c>
      <c r="B3" s="26">
        <v>0</v>
      </c>
      <c r="C3" s="379" t="str">
        <f>IF(B3&lt;1,HOUR(B3)&amp;":"&amp;TEXT(MINUTE(B3),"00"),B3&amp;":00")</f>
        <v>0:00</v>
      </c>
      <c r="D3" s="26">
        <v>0</v>
      </c>
      <c r="E3" s="379">
        <f>15*(D3=0)+30*(D3=1)+60*(D3=2)+61*(D3=3)</f>
        <v>15</v>
      </c>
      <c r="F3" s="181">
        <v>0.35416666666666669</v>
      </c>
      <c r="G3" s="406" t="str">
        <f>HOUR(F3)&amp;":"&amp;TEXT(MINUTE(F3),"00")</f>
        <v>8:30</v>
      </c>
      <c r="H3" s="26">
        <v>7</v>
      </c>
      <c r="I3" s="26">
        <v>0</v>
      </c>
      <c r="J3" s="26">
        <v>1</v>
      </c>
      <c r="K3" s="26">
        <v>1</v>
      </c>
      <c r="L3" s="26">
        <v>3</v>
      </c>
      <c r="M3" s="26">
        <v>0</v>
      </c>
      <c r="N3" s="26">
        <v>3</v>
      </c>
      <c r="O3" s="26">
        <v>2</v>
      </c>
      <c r="P3" s="26">
        <v>0</v>
      </c>
      <c r="Q3" s="26">
        <v>0</v>
      </c>
      <c r="R3" s="26">
        <v>0</v>
      </c>
      <c r="S3" s="26" t="s">
        <v>506</v>
      </c>
      <c r="T3" s="26" t="s">
        <v>11</v>
      </c>
      <c r="U3" s="379">
        <f>IF(S3="YES",1,0)</f>
        <v>0</v>
      </c>
      <c r="V3" s="379" t="str">
        <f>IF(U3=1,T3,"")</f>
        <v/>
      </c>
      <c r="W3" s="26">
        <v>0</v>
      </c>
      <c r="X3" s="26">
        <v>0</v>
      </c>
      <c r="Y3" s="26">
        <v>0</v>
      </c>
      <c r="Z3" s="27">
        <v>2</v>
      </c>
      <c r="AA3" s="379">
        <v>1</v>
      </c>
      <c r="AB3" s="28">
        <v>5</v>
      </c>
    </row>
    <row r="4" spans="1:28" x14ac:dyDescent="0.2">
      <c r="A4" s="112" t="s">
        <v>298</v>
      </c>
      <c r="B4" s="26">
        <v>23</v>
      </c>
      <c r="C4" s="379" t="str">
        <f t="shared" ref="C4:C67" si="0">IF(B4&lt;1,HOUR(B4)&amp;":"&amp;TEXT(MINUTE(B4),"00"),B4&amp;":00")</f>
        <v>23:00</v>
      </c>
      <c r="D4" s="26">
        <v>0</v>
      </c>
      <c r="E4" s="379">
        <f t="shared" ref="E4:E67" si="1">15*(D4=0)+30*(D4=1)+60*(D4=2)+61*(D4=3)</f>
        <v>15</v>
      </c>
      <c r="F4" s="181">
        <v>0.27083333333333331</v>
      </c>
      <c r="G4" s="406" t="str">
        <f t="shared" ref="G4:G67" si="2">HOUR(F4)&amp;":"&amp;TEXT(MINUTE(F4),"00")</f>
        <v>6:30</v>
      </c>
      <c r="H4" s="26">
        <v>7</v>
      </c>
      <c r="I4" s="26">
        <v>0</v>
      </c>
      <c r="J4" s="26">
        <v>1</v>
      </c>
      <c r="K4" s="26">
        <v>2</v>
      </c>
      <c r="L4" s="26">
        <v>2</v>
      </c>
      <c r="M4" s="26">
        <v>1</v>
      </c>
      <c r="N4" s="26">
        <v>1</v>
      </c>
      <c r="O4" s="26">
        <v>2</v>
      </c>
      <c r="P4" s="26">
        <v>1</v>
      </c>
      <c r="Q4" s="26">
        <v>1</v>
      </c>
      <c r="R4" s="26">
        <v>1</v>
      </c>
      <c r="S4" s="26" t="s">
        <v>506</v>
      </c>
      <c r="T4" s="26" t="s">
        <v>11</v>
      </c>
      <c r="U4" s="379">
        <f t="shared" ref="U4:U67" si="3">IF(S4="YES",1,0)</f>
        <v>0</v>
      </c>
      <c r="V4" s="379" t="str">
        <f t="shared" ref="V4:V67" si="4">IF(U4=1,T4,"")</f>
        <v/>
      </c>
      <c r="W4" s="26">
        <v>1</v>
      </c>
      <c r="X4" s="26">
        <v>0</v>
      </c>
      <c r="Y4" s="26">
        <v>0</v>
      </c>
      <c r="Z4" s="27">
        <v>1</v>
      </c>
      <c r="AA4" s="379">
        <v>1</v>
      </c>
      <c r="AB4" s="231">
        <v>5</v>
      </c>
    </row>
    <row r="5" spans="1:28" x14ac:dyDescent="0.2">
      <c r="A5" s="112" t="s">
        <v>299</v>
      </c>
      <c r="B5" s="26">
        <v>23</v>
      </c>
      <c r="C5" s="379" t="str">
        <f t="shared" si="0"/>
        <v>23:00</v>
      </c>
      <c r="D5" s="26">
        <v>0</v>
      </c>
      <c r="E5" s="379">
        <f t="shared" si="1"/>
        <v>15</v>
      </c>
      <c r="F5" s="181">
        <v>0.35416666666666669</v>
      </c>
      <c r="G5" s="406" t="str">
        <f t="shared" si="2"/>
        <v>8:30</v>
      </c>
      <c r="H5" s="26">
        <v>6</v>
      </c>
      <c r="I5" s="26">
        <v>1</v>
      </c>
      <c r="J5" s="26">
        <v>1</v>
      </c>
      <c r="K5" s="26">
        <v>2</v>
      </c>
      <c r="L5" s="26">
        <v>3</v>
      </c>
      <c r="M5" s="26">
        <v>1</v>
      </c>
      <c r="N5" s="26">
        <v>3</v>
      </c>
      <c r="O5" s="26">
        <v>0</v>
      </c>
      <c r="P5" s="26">
        <v>0</v>
      </c>
      <c r="Q5" s="26">
        <v>1</v>
      </c>
      <c r="R5" s="26">
        <v>0</v>
      </c>
      <c r="S5" s="27" t="s">
        <v>494</v>
      </c>
      <c r="T5" s="26" t="s">
        <v>507</v>
      </c>
      <c r="U5" s="379">
        <f t="shared" si="3"/>
        <v>1</v>
      </c>
      <c r="V5" s="379" t="str">
        <f t="shared" si="4"/>
        <v>personal problems</v>
      </c>
      <c r="W5" s="26">
        <v>2</v>
      </c>
      <c r="X5" s="26">
        <v>3</v>
      </c>
      <c r="Y5" s="26">
        <v>0</v>
      </c>
      <c r="Z5" s="27">
        <v>3</v>
      </c>
      <c r="AA5" s="379">
        <v>1</v>
      </c>
      <c r="AB5" s="231">
        <v>11</v>
      </c>
    </row>
    <row r="6" spans="1:28" x14ac:dyDescent="0.2">
      <c r="A6" s="112" t="s">
        <v>300</v>
      </c>
      <c r="B6" s="26">
        <v>23</v>
      </c>
      <c r="C6" s="379" t="str">
        <f t="shared" si="0"/>
        <v>23:00</v>
      </c>
      <c r="D6" s="26">
        <v>0</v>
      </c>
      <c r="E6" s="379">
        <f t="shared" si="1"/>
        <v>15</v>
      </c>
      <c r="F6" s="181">
        <v>0.25</v>
      </c>
      <c r="G6" s="406" t="str">
        <f t="shared" si="2"/>
        <v>6:00</v>
      </c>
      <c r="H6" s="26">
        <v>6</v>
      </c>
      <c r="I6" s="26">
        <v>1</v>
      </c>
      <c r="J6" s="26">
        <v>0</v>
      </c>
      <c r="K6" s="26">
        <v>2</v>
      </c>
      <c r="L6" s="26">
        <v>0</v>
      </c>
      <c r="M6" s="26">
        <v>0</v>
      </c>
      <c r="N6" s="26">
        <v>1</v>
      </c>
      <c r="O6" s="26">
        <v>1</v>
      </c>
      <c r="P6" s="26">
        <v>0</v>
      </c>
      <c r="Q6" s="26">
        <v>2</v>
      </c>
      <c r="R6" s="26">
        <v>3</v>
      </c>
      <c r="S6" s="26" t="s">
        <v>506</v>
      </c>
      <c r="T6" s="26" t="s">
        <v>11</v>
      </c>
      <c r="U6" s="379">
        <f t="shared" si="3"/>
        <v>0</v>
      </c>
      <c r="V6" s="379" t="str">
        <f t="shared" si="4"/>
        <v/>
      </c>
      <c r="W6" s="26">
        <v>1</v>
      </c>
      <c r="X6" s="26">
        <v>1</v>
      </c>
      <c r="Y6" s="26">
        <v>0</v>
      </c>
      <c r="Z6" s="27">
        <v>2</v>
      </c>
      <c r="AA6" s="379">
        <v>1</v>
      </c>
      <c r="AB6" s="231">
        <v>7</v>
      </c>
    </row>
    <row r="7" spans="1:28" x14ac:dyDescent="0.2">
      <c r="A7" s="112" t="s">
        <v>301</v>
      </c>
      <c r="B7" s="26">
        <v>1</v>
      </c>
      <c r="C7" s="379" t="str">
        <f t="shared" si="0"/>
        <v>1:00</v>
      </c>
      <c r="D7" s="26">
        <v>0</v>
      </c>
      <c r="E7" s="379">
        <f t="shared" si="1"/>
        <v>15</v>
      </c>
      <c r="F7" s="181">
        <v>0.41666666666666669</v>
      </c>
      <c r="G7" s="406" t="str">
        <f t="shared" si="2"/>
        <v>10:00</v>
      </c>
      <c r="H7" s="26">
        <v>6</v>
      </c>
      <c r="I7" s="26">
        <v>1</v>
      </c>
      <c r="J7" s="26">
        <v>0</v>
      </c>
      <c r="K7" s="26">
        <v>0</v>
      </c>
      <c r="L7" s="26">
        <v>3</v>
      </c>
      <c r="M7" s="26">
        <v>0</v>
      </c>
      <c r="N7" s="26">
        <v>3</v>
      </c>
      <c r="O7" s="26">
        <v>0</v>
      </c>
      <c r="P7" s="26">
        <v>0</v>
      </c>
      <c r="Q7" s="26">
        <v>1</v>
      </c>
      <c r="R7" s="26">
        <v>0</v>
      </c>
      <c r="S7" s="27" t="s">
        <v>499</v>
      </c>
      <c r="T7" s="26" t="s">
        <v>11</v>
      </c>
      <c r="U7" s="379">
        <f t="shared" si="3"/>
        <v>0</v>
      </c>
      <c r="V7" s="379" t="str">
        <f t="shared" si="4"/>
        <v/>
      </c>
      <c r="W7" s="26">
        <v>2</v>
      </c>
      <c r="X7" s="26">
        <v>0</v>
      </c>
      <c r="Y7" s="26">
        <v>0</v>
      </c>
      <c r="Z7" s="27">
        <v>2</v>
      </c>
      <c r="AA7" s="379">
        <v>1</v>
      </c>
      <c r="AB7" s="231">
        <v>6</v>
      </c>
    </row>
    <row r="8" spans="1:28" x14ac:dyDescent="0.2">
      <c r="A8" s="112" t="s">
        <v>302</v>
      </c>
      <c r="B8" s="26">
        <v>2</v>
      </c>
      <c r="C8" s="379" t="str">
        <f t="shared" si="0"/>
        <v>2:00</v>
      </c>
      <c r="D8" s="26">
        <v>2</v>
      </c>
      <c r="E8" s="379">
        <f t="shared" si="1"/>
        <v>60</v>
      </c>
      <c r="F8" s="181">
        <v>0.25</v>
      </c>
      <c r="G8" s="406" t="str">
        <f t="shared" si="2"/>
        <v>6:00</v>
      </c>
      <c r="H8" s="26">
        <v>4</v>
      </c>
      <c r="I8" s="26">
        <v>3</v>
      </c>
      <c r="J8" s="26">
        <v>3</v>
      </c>
      <c r="K8" s="26">
        <v>3</v>
      </c>
      <c r="L8" s="26">
        <v>1</v>
      </c>
      <c r="M8" s="26">
        <v>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 t="s">
        <v>506</v>
      </c>
      <c r="T8" s="26" t="s">
        <v>11</v>
      </c>
      <c r="U8" s="379">
        <f t="shared" si="3"/>
        <v>0</v>
      </c>
      <c r="V8" s="379" t="str">
        <f t="shared" si="4"/>
        <v/>
      </c>
      <c r="W8" s="26">
        <v>2</v>
      </c>
      <c r="X8" s="26">
        <v>2</v>
      </c>
      <c r="Y8" s="26">
        <v>3</v>
      </c>
      <c r="Z8" s="27">
        <v>1</v>
      </c>
      <c r="AA8" s="379">
        <v>1</v>
      </c>
      <c r="AB8" s="231">
        <v>13</v>
      </c>
    </row>
    <row r="9" spans="1:28" x14ac:dyDescent="0.2">
      <c r="A9" s="112" t="s">
        <v>303</v>
      </c>
      <c r="B9" s="26">
        <v>23</v>
      </c>
      <c r="C9" s="379" t="str">
        <f t="shared" si="0"/>
        <v>23:00</v>
      </c>
      <c r="D9" s="26">
        <v>1</v>
      </c>
      <c r="E9" s="379">
        <f t="shared" si="1"/>
        <v>30</v>
      </c>
      <c r="F9" s="181">
        <v>0.25</v>
      </c>
      <c r="G9" s="406" t="str">
        <f t="shared" si="2"/>
        <v>6:00</v>
      </c>
      <c r="H9" s="26">
        <v>5</v>
      </c>
      <c r="I9" s="26">
        <v>2</v>
      </c>
      <c r="J9" s="26">
        <v>2</v>
      </c>
      <c r="K9" s="26">
        <v>2</v>
      </c>
      <c r="L9" s="26">
        <v>3</v>
      </c>
      <c r="M9" s="26">
        <v>0</v>
      </c>
      <c r="N9" s="26">
        <v>3</v>
      </c>
      <c r="O9" s="26">
        <v>3</v>
      </c>
      <c r="P9" s="26">
        <v>3</v>
      </c>
      <c r="Q9" s="26">
        <v>0</v>
      </c>
      <c r="R9" s="26">
        <v>3</v>
      </c>
      <c r="S9" s="27" t="s">
        <v>499</v>
      </c>
      <c r="T9" s="26" t="s">
        <v>11</v>
      </c>
      <c r="U9" s="379">
        <f t="shared" si="3"/>
        <v>0</v>
      </c>
      <c r="V9" s="379" t="str">
        <f t="shared" si="4"/>
        <v/>
      </c>
      <c r="W9" s="26">
        <v>1</v>
      </c>
      <c r="X9" s="26">
        <v>0</v>
      </c>
      <c r="Y9" s="26">
        <v>1</v>
      </c>
      <c r="Z9" s="27">
        <v>2</v>
      </c>
      <c r="AA9" s="379">
        <v>1</v>
      </c>
      <c r="AB9" s="231">
        <v>11</v>
      </c>
    </row>
    <row r="10" spans="1:28" x14ac:dyDescent="0.2">
      <c r="A10" s="112" t="s">
        <v>304</v>
      </c>
      <c r="B10" s="26">
        <v>0</v>
      </c>
      <c r="C10" s="379" t="str">
        <f t="shared" si="0"/>
        <v>0:00</v>
      </c>
      <c r="D10" s="26">
        <v>1</v>
      </c>
      <c r="E10" s="379">
        <f t="shared" si="1"/>
        <v>30</v>
      </c>
      <c r="F10" s="181">
        <v>0.29166666666666669</v>
      </c>
      <c r="G10" s="406" t="str">
        <f t="shared" si="2"/>
        <v>7:00</v>
      </c>
      <c r="H10" s="26">
        <v>7</v>
      </c>
      <c r="I10" s="26">
        <v>1</v>
      </c>
      <c r="J10" s="26">
        <v>1</v>
      </c>
      <c r="K10" s="26">
        <v>1</v>
      </c>
      <c r="L10" s="26">
        <v>3</v>
      </c>
      <c r="M10" s="26">
        <v>1</v>
      </c>
      <c r="N10" s="26">
        <v>3</v>
      </c>
      <c r="O10" s="26">
        <v>0</v>
      </c>
      <c r="P10" s="26">
        <v>3</v>
      </c>
      <c r="Q10" s="26">
        <v>1</v>
      </c>
      <c r="R10" s="26">
        <v>2</v>
      </c>
      <c r="S10" s="27" t="s">
        <v>499</v>
      </c>
      <c r="T10" s="26" t="s">
        <v>11</v>
      </c>
      <c r="U10" s="379">
        <f t="shared" si="3"/>
        <v>0</v>
      </c>
      <c r="V10" s="379" t="str">
        <f t="shared" si="4"/>
        <v/>
      </c>
      <c r="W10" s="26">
        <v>1</v>
      </c>
      <c r="X10" s="26">
        <v>3</v>
      </c>
      <c r="Y10" s="26">
        <v>3</v>
      </c>
      <c r="Z10" s="27">
        <v>1</v>
      </c>
      <c r="AA10" s="379">
        <v>1</v>
      </c>
      <c r="AB10" s="231">
        <v>9</v>
      </c>
    </row>
    <row r="11" spans="1:28" x14ac:dyDescent="0.2">
      <c r="A11" s="112" t="s">
        <v>305</v>
      </c>
      <c r="B11" s="181">
        <v>0.4375</v>
      </c>
      <c r="C11" s="379" t="str">
        <f t="shared" si="0"/>
        <v>10:30</v>
      </c>
      <c r="D11" s="26">
        <v>0</v>
      </c>
      <c r="E11" s="379">
        <f t="shared" si="1"/>
        <v>15</v>
      </c>
      <c r="F11" s="181">
        <v>0.29166666666666669</v>
      </c>
      <c r="G11" s="406" t="str">
        <f t="shared" si="2"/>
        <v>7:00</v>
      </c>
      <c r="H11" s="26">
        <v>7</v>
      </c>
      <c r="I11" s="26">
        <v>1</v>
      </c>
      <c r="J11" s="26">
        <v>0</v>
      </c>
      <c r="K11" s="26">
        <v>0</v>
      </c>
      <c r="L11" s="26">
        <v>0</v>
      </c>
      <c r="M11" s="26">
        <v>0</v>
      </c>
      <c r="N11" s="26">
        <v>2</v>
      </c>
      <c r="O11" s="26">
        <v>2</v>
      </c>
      <c r="P11" s="26">
        <v>0</v>
      </c>
      <c r="Q11" s="26">
        <v>0</v>
      </c>
      <c r="R11" s="26">
        <v>3</v>
      </c>
      <c r="S11" s="27" t="s">
        <v>508</v>
      </c>
      <c r="T11" s="26" t="s">
        <v>11</v>
      </c>
      <c r="U11" s="379">
        <f t="shared" si="3"/>
        <v>0</v>
      </c>
      <c r="V11" s="379" t="str">
        <f t="shared" si="4"/>
        <v/>
      </c>
      <c r="W11" s="26">
        <v>1</v>
      </c>
      <c r="X11" s="26">
        <v>0</v>
      </c>
      <c r="Y11" s="26">
        <v>3</v>
      </c>
      <c r="Z11" s="27">
        <v>1</v>
      </c>
      <c r="AA11" s="379">
        <v>1</v>
      </c>
      <c r="AB11" s="231">
        <v>6</v>
      </c>
    </row>
    <row r="12" spans="1:28" x14ac:dyDescent="0.2">
      <c r="A12" s="112" t="s">
        <v>306</v>
      </c>
      <c r="B12" s="26">
        <v>23</v>
      </c>
      <c r="C12" s="379" t="str">
        <f t="shared" si="0"/>
        <v>23:00</v>
      </c>
      <c r="D12" s="26">
        <v>0</v>
      </c>
      <c r="E12" s="379">
        <f t="shared" si="1"/>
        <v>15</v>
      </c>
      <c r="F12" s="181">
        <v>0.375</v>
      </c>
      <c r="G12" s="406" t="str">
        <f t="shared" si="2"/>
        <v>9:00</v>
      </c>
      <c r="H12" s="26">
        <v>7</v>
      </c>
      <c r="I12" s="26">
        <v>1</v>
      </c>
      <c r="J12" s="26">
        <v>1</v>
      </c>
      <c r="K12" s="26">
        <v>3</v>
      </c>
      <c r="L12" s="26">
        <v>1</v>
      </c>
      <c r="M12" s="26">
        <v>1</v>
      </c>
      <c r="N12" s="26">
        <v>1</v>
      </c>
      <c r="O12" s="26">
        <v>1</v>
      </c>
      <c r="P12" s="26">
        <v>3</v>
      </c>
      <c r="Q12" s="26">
        <v>1</v>
      </c>
      <c r="R12" s="26">
        <v>1</v>
      </c>
      <c r="S12" s="27" t="s">
        <v>494</v>
      </c>
      <c r="T12" s="26" t="s">
        <v>509</v>
      </c>
      <c r="U12" s="379">
        <f t="shared" si="3"/>
        <v>1</v>
      </c>
      <c r="V12" s="379" t="str">
        <f t="shared" si="4"/>
        <v>dry mouth</v>
      </c>
      <c r="W12" s="27">
        <v>1</v>
      </c>
      <c r="X12" s="26">
        <v>0</v>
      </c>
      <c r="Y12" s="26">
        <v>1</v>
      </c>
      <c r="Z12" s="27">
        <v>2</v>
      </c>
      <c r="AA12" s="379">
        <v>1</v>
      </c>
      <c r="AB12" s="231">
        <v>8</v>
      </c>
    </row>
    <row r="13" spans="1:28" x14ac:dyDescent="0.2">
      <c r="A13" s="112" t="s">
        <v>307</v>
      </c>
      <c r="B13" s="26">
        <v>22</v>
      </c>
      <c r="C13" s="379" t="str">
        <f t="shared" si="0"/>
        <v>22:00</v>
      </c>
      <c r="D13" s="26">
        <v>0</v>
      </c>
      <c r="E13" s="379">
        <f t="shared" si="1"/>
        <v>15</v>
      </c>
      <c r="F13" s="181">
        <v>0.3125</v>
      </c>
      <c r="G13" s="406" t="str">
        <f t="shared" si="2"/>
        <v>7:30</v>
      </c>
      <c r="H13" s="26">
        <v>9</v>
      </c>
      <c r="I13" s="26">
        <v>0</v>
      </c>
      <c r="J13" s="26">
        <v>0</v>
      </c>
      <c r="K13" s="26">
        <v>2</v>
      </c>
      <c r="L13" s="26">
        <v>2</v>
      </c>
      <c r="M13" s="26">
        <v>0</v>
      </c>
      <c r="N13" s="26">
        <v>0</v>
      </c>
      <c r="O13" s="26">
        <v>0</v>
      </c>
      <c r="P13" s="26">
        <v>1</v>
      </c>
      <c r="Q13" s="26">
        <v>2</v>
      </c>
      <c r="R13" s="26">
        <v>3</v>
      </c>
      <c r="S13" s="27" t="s">
        <v>499</v>
      </c>
      <c r="T13" s="26" t="s">
        <v>491</v>
      </c>
      <c r="U13" s="379">
        <f t="shared" si="3"/>
        <v>0</v>
      </c>
      <c r="V13" s="379" t="str">
        <f t="shared" si="4"/>
        <v/>
      </c>
      <c r="W13" s="26">
        <v>1</v>
      </c>
      <c r="X13" s="26">
        <v>0</v>
      </c>
      <c r="Y13" s="26">
        <v>0</v>
      </c>
      <c r="Z13" s="27">
        <v>2</v>
      </c>
      <c r="AA13" s="379">
        <v>1</v>
      </c>
      <c r="AB13" s="231">
        <v>5</v>
      </c>
    </row>
    <row r="14" spans="1:28" x14ac:dyDescent="0.2">
      <c r="A14" s="112" t="s">
        <v>308</v>
      </c>
      <c r="B14" s="26">
        <v>22</v>
      </c>
      <c r="C14" s="379" t="str">
        <f t="shared" si="0"/>
        <v>22:00</v>
      </c>
      <c r="D14" s="26">
        <v>1</v>
      </c>
      <c r="E14" s="379">
        <f t="shared" si="1"/>
        <v>30</v>
      </c>
      <c r="F14" s="181">
        <v>0.25</v>
      </c>
      <c r="G14" s="406" t="str">
        <f t="shared" si="2"/>
        <v>6:00</v>
      </c>
      <c r="H14" s="26">
        <v>6</v>
      </c>
      <c r="I14" s="26">
        <v>3</v>
      </c>
      <c r="J14" s="26">
        <v>0</v>
      </c>
      <c r="K14" s="26">
        <v>1</v>
      </c>
      <c r="L14" s="26">
        <v>1</v>
      </c>
      <c r="M14" s="26">
        <v>0</v>
      </c>
      <c r="N14" s="26">
        <v>0</v>
      </c>
      <c r="O14" s="26">
        <v>3</v>
      </c>
      <c r="P14" s="26">
        <v>1</v>
      </c>
      <c r="Q14" s="26">
        <v>1</v>
      </c>
      <c r="R14" s="26">
        <v>1</v>
      </c>
      <c r="S14" s="27" t="s">
        <v>499</v>
      </c>
      <c r="T14" s="26" t="s">
        <v>11</v>
      </c>
      <c r="U14" s="379">
        <f t="shared" si="3"/>
        <v>0</v>
      </c>
      <c r="V14" s="379" t="str">
        <f t="shared" si="4"/>
        <v/>
      </c>
      <c r="W14" s="26">
        <v>1</v>
      </c>
      <c r="X14" s="26">
        <v>0</v>
      </c>
      <c r="Y14" s="26">
        <v>1</v>
      </c>
      <c r="Z14" s="27">
        <v>1</v>
      </c>
      <c r="AA14" s="379">
        <v>1</v>
      </c>
      <c r="AB14" s="231">
        <v>8</v>
      </c>
    </row>
    <row r="15" spans="1:28" x14ac:dyDescent="0.2">
      <c r="A15" s="112" t="s">
        <v>309</v>
      </c>
      <c r="B15" s="26">
        <v>23</v>
      </c>
      <c r="C15" s="379" t="str">
        <f t="shared" si="0"/>
        <v>23:00</v>
      </c>
      <c r="D15" s="26">
        <v>0</v>
      </c>
      <c r="E15" s="379">
        <f t="shared" si="1"/>
        <v>15</v>
      </c>
      <c r="F15" s="181">
        <v>0.25</v>
      </c>
      <c r="G15" s="406" t="str">
        <f t="shared" si="2"/>
        <v>6:00</v>
      </c>
      <c r="H15" s="26">
        <v>6</v>
      </c>
      <c r="I15" s="26">
        <v>3</v>
      </c>
      <c r="J15" s="26">
        <v>0</v>
      </c>
      <c r="K15" s="26">
        <v>3</v>
      </c>
      <c r="L15" s="26">
        <v>3</v>
      </c>
      <c r="M15" s="26">
        <v>0</v>
      </c>
      <c r="N15" s="26">
        <v>0</v>
      </c>
      <c r="O15" s="26">
        <v>2</v>
      </c>
      <c r="P15" s="26">
        <v>2</v>
      </c>
      <c r="Q15" s="26">
        <v>0</v>
      </c>
      <c r="R15" s="26">
        <v>0</v>
      </c>
      <c r="S15" s="27" t="s">
        <v>499</v>
      </c>
      <c r="T15" s="26" t="s">
        <v>11</v>
      </c>
      <c r="U15" s="379">
        <f t="shared" si="3"/>
        <v>0</v>
      </c>
      <c r="V15" s="379" t="str">
        <f t="shared" si="4"/>
        <v/>
      </c>
      <c r="W15" s="26">
        <v>1</v>
      </c>
      <c r="X15" s="26">
        <v>3</v>
      </c>
      <c r="Y15" s="26">
        <v>2</v>
      </c>
      <c r="Z15" s="27">
        <v>1</v>
      </c>
      <c r="AA15" s="379">
        <v>1</v>
      </c>
      <c r="AB15" s="231">
        <v>8</v>
      </c>
    </row>
    <row r="16" spans="1:28" x14ac:dyDescent="0.2">
      <c r="A16" s="112" t="s">
        <v>310</v>
      </c>
      <c r="B16" s="26">
        <v>23</v>
      </c>
      <c r="C16" s="379" t="str">
        <f t="shared" si="0"/>
        <v>23:00</v>
      </c>
      <c r="D16" s="26">
        <v>0</v>
      </c>
      <c r="E16" s="379">
        <f t="shared" si="1"/>
        <v>15</v>
      </c>
      <c r="F16" s="181">
        <v>0.25</v>
      </c>
      <c r="G16" s="406" t="str">
        <f t="shared" si="2"/>
        <v>6:00</v>
      </c>
      <c r="H16" s="26">
        <v>6</v>
      </c>
      <c r="I16" s="26">
        <v>2</v>
      </c>
      <c r="J16" s="26">
        <v>0</v>
      </c>
      <c r="K16" s="26">
        <v>0</v>
      </c>
      <c r="L16" s="26">
        <v>0</v>
      </c>
      <c r="M16" s="26">
        <v>0</v>
      </c>
      <c r="N16" s="26">
        <v>3</v>
      </c>
      <c r="O16" s="26">
        <v>0</v>
      </c>
      <c r="P16" s="26">
        <v>3</v>
      </c>
      <c r="Q16" s="26">
        <v>1</v>
      </c>
      <c r="R16" s="26">
        <v>1</v>
      </c>
      <c r="S16" s="27">
        <v>1</v>
      </c>
      <c r="T16" s="26" t="s">
        <v>11</v>
      </c>
      <c r="U16" s="379">
        <f t="shared" si="3"/>
        <v>0</v>
      </c>
      <c r="V16" s="379" t="str">
        <f t="shared" si="4"/>
        <v/>
      </c>
      <c r="W16" s="26">
        <v>1</v>
      </c>
      <c r="X16" s="26">
        <v>0</v>
      </c>
      <c r="Y16" s="26">
        <v>0</v>
      </c>
      <c r="Z16" s="27">
        <v>0</v>
      </c>
      <c r="AA16" s="379">
        <v>1</v>
      </c>
      <c r="AB16" s="231">
        <v>4</v>
      </c>
    </row>
    <row r="17" spans="1:28" x14ac:dyDescent="0.2">
      <c r="A17" s="112" t="s">
        <v>311</v>
      </c>
      <c r="B17" s="181">
        <v>0.97916666666666663</v>
      </c>
      <c r="C17" s="379" t="str">
        <f t="shared" si="0"/>
        <v>23:30</v>
      </c>
      <c r="D17" s="26">
        <v>0</v>
      </c>
      <c r="E17" s="379">
        <f t="shared" si="1"/>
        <v>15</v>
      </c>
      <c r="F17" s="181">
        <v>0.39583333333333331</v>
      </c>
      <c r="G17" s="406" t="str">
        <f t="shared" si="2"/>
        <v>9:30</v>
      </c>
      <c r="H17" s="26">
        <v>7</v>
      </c>
      <c r="I17" s="26">
        <v>1</v>
      </c>
      <c r="J17" s="26">
        <v>0</v>
      </c>
      <c r="K17" s="92"/>
      <c r="L17" s="26">
        <v>1</v>
      </c>
      <c r="M17" s="26">
        <v>0</v>
      </c>
      <c r="N17" s="26">
        <v>0</v>
      </c>
      <c r="O17" s="26">
        <v>1</v>
      </c>
      <c r="P17" s="26">
        <v>1</v>
      </c>
      <c r="Q17" s="26">
        <v>2</v>
      </c>
      <c r="R17" s="26">
        <v>0</v>
      </c>
      <c r="S17" s="27" t="s">
        <v>494</v>
      </c>
      <c r="T17" s="26" t="s">
        <v>510</v>
      </c>
      <c r="U17" s="379">
        <f t="shared" si="3"/>
        <v>1</v>
      </c>
      <c r="V17" s="379" t="str">
        <f t="shared" si="4"/>
        <v>concerns, pains</v>
      </c>
      <c r="W17" s="26">
        <v>1</v>
      </c>
      <c r="X17" s="26">
        <v>0</v>
      </c>
      <c r="Y17" s="26">
        <v>0</v>
      </c>
      <c r="Z17" s="27">
        <v>0</v>
      </c>
      <c r="AA17" s="379">
        <v>1</v>
      </c>
      <c r="AB17" s="231">
        <v>3</v>
      </c>
    </row>
    <row r="18" spans="1:28" x14ac:dyDescent="0.2">
      <c r="A18" s="112" t="s">
        <v>312</v>
      </c>
      <c r="B18" s="181">
        <v>0.97916666666666663</v>
      </c>
      <c r="C18" s="379" t="str">
        <f t="shared" si="0"/>
        <v>23:30</v>
      </c>
      <c r="D18" s="26">
        <v>0</v>
      </c>
      <c r="E18" s="379">
        <f t="shared" si="1"/>
        <v>15</v>
      </c>
      <c r="F18" s="181">
        <v>0.20833333333333334</v>
      </c>
      <c r="G18" s="406" t="str">
        <f t="shared" si="2"/>
        <v>5:00</v>
      </c>
      <c r="H18" s="26">
        <v>4</v>
      </c>
      <c r="I18" s="26">
        <v>3</v>
      </c>
      <c r="J18" s="26">
        <v>0</v>
      </c>
      <c r="K18" s="26">
        <v>3</v>
      </c>
      <c r="L18" s="26">
        <v>2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3</v>
      </c>
      <c r="S18" s="26" t="s">
        <v>499</v>
      </c>
      <c r="T18" s="26" t="s">
        <v>11</v>
      </c>
      <c r="U18" s="379">
        <f t="shared" si="3"/>
        <v>0</v>
      </c>
      <c r="V18" s="379" t="str">
        <f t="shared" si="4"/>
        <v/>
      </c>
      <c r="W18" s="26">
        <v>2</v>
      </c>
      <c r="X18" s="26">
        <v>0</v>
      </c>
      <c r="Y18" s="26">
        <v>0</v>
      </c>
      <c r="Z18" s="27">
        <v>1</v>
      </c>
      <c r="AA18" s="379">
        <v>1</v>
      </c>
      <c r="AB18" s="231">
        <v>8</v>
      </c>
    </row>
    <row r="19" spans="1:28" x14ac:dyDescent="0.2">
      <c r="A19" s="112" t="s">
        <v>313</v>
      </c>
      <c r="B19" s="181">
        <v>0.9375</v>
      </c>
      <c r="C19" s="379" t="str">
        <f t="shared" si="0"/>
        <v>22:30</v>
      </c>
      <c r="D19" s="26">
        <v>0</v>
      </c>
      <c r="E19" s="379">
        <f t="shared" si="1"/>
        <v>15</v>
      </c>
      <c r="F19" s="181">
        <v>0.25</v>
      </c>
      <c r="G19" s="406" t="str">
        <f t="shared" si="2"/>
        <v>6:00</v>
      </c>
      <c r="H19" s="26">
        <v>6</v>
      </c>
      <c r="I19" s="26">
        <v>2</v>
      </c>
      <c r="J19" s="26">
        <v>0</v>
      </c>
      <c r="K19" s="26">
        <v>2</v>
      </c>
      <c r="L19" s="26">
        <v>0</v>
      </c>
      <c r="M19" s="26">
        <v>0</v>
      </c>
      <c r="N19" s="26">
        <v>3</v>
      </c>
      <c r="O19" s="26">
        <v>1</v>
      </c>
      <c r="P19" s="26">
        <v>0</v>
      </c>
      <c r="Q19" s="26">
        <v>1</v>
      </c>
      <c r="R19" s="26">
        <v>2</v>
      </c>
      <c r="S19" s="26" t="s">
        <v>499</v>
      </c>
      <c r="T19" s="26" t="s">
        <v>11</v>
      </c>
      <c r="U19" s="379">
        <f t="shared" si="3"/>
        <v>0</v>
      </c>
      <c r="V19" s="379" t="str">
        <f t="shared" si="4"/>
        <v/>
      </c>
      <c r="W19" s="26">
        <v>1</v>
      </c>
      <c r="X19" s="26">
        <v>0</v>
      </c>
      <c r="Y19" s="26">
        <v>0</v>
      </c>
      <c r="Z19" s="27">
        <v>1</v>
      </c>
      <c r="AA19" s="379">
        <v>1</v>
      </c>
      <c r="AB19" s="231">
        <v>6</v>
      </c>
    </row>
    <row r="20" spans="1:28" x14ac:dyDescent="0.2">
      <c r="A20" s="112" t="s">
        <v>314</v>
      </c>
      <c r="B20" s="181">
        <v>0.95833333333333337</v>
      </c>
      <c r="C20" s="379" t="str">
        <f t="shared" si="0"/>
        <v>23:00</v>
      </c>
      <c r="D20" s="26">
        <v>0</v>
      </c>
      <c r="E20" s="379">
        <f t="shared" si="1"/>
        <v>15</v>
      </c>
      <c r="F20" s="181">
        <v>0.20833333333333334</v>
      </c>
      <c r="G20" s="406" t="str">
        <f t="shared" si="2"/>
        <v>5:00</v>
      </c>
      <c r="H20" s="26">
        <v>4</v>
      </c>
      <c r="I20" s="26">
        <v>3</v>
      </c>
      <c r="J20" s="26">
        <v>1</v>
      </c>
      <c r="K20" s="26">
        <v>3</v>
      </c>
      <c r="L20" s="26">
        <v>3</v>
      </c>
      <c r="M20" s="26">
        <v>2</v>
      </c>
      <c r="N20" s="26">
        <v>1</v>
      </c>
      <c r="O20" s="26">
        <v>0</v>
      </c>
      <c r="P20" s="26">
        <v>0</v>
      </c>
      <c r="Q20" s="26">
        <v>0</v>
      </c>
      <c r="R20" s="26">
        <v>0</v>
      </c>
      <c r="S20" s="26" t="s">
        <v>499</v>
      </c>
      <c r="T20" s="26" t="s">
        <v>11</v>
      </c>
      <c r="U20" s="379">
        <f t="shared" si="3"/>
        <v>0</v>
      </c>
      <c r="V20" s="379" t="str">
        <f t="shared" si="4"/>
        <v/>
      </c>
      <c r="W20" s="26">
        <v>2</v>
      </c>
      <c r="X20" s="26">
        <v>3</v>
      </c>
      <c r="Y20" s="26">
        <v>0</v>
      </c>
      <c r="Z20" s="27">
        <v>2</v>
      </c>
      <c r="AA20" s="379">
        <v>1</v>
      </c>
      <c r="AB20" s="231">
        <v>12</v>
      </c>
    </row>
    <row r="21" spans="1:28" x14ac:dyDescent="0.2">
      <c r="A21" s="112" t="s">
        <v>315</v>
      </c>
      <c r="B21" s="26">
        <v>0</v>
      </c>
      <c r="C21" s="379" t="str">
        <f t="shared" si="0"/>
        <v>0:00</v>
      </c>
      <c r="D21" s="26">
        <v>0</v>
      </c>
      <c r="E21" s="379">
        <f t="shared" si="1"/>
        <v>15</v>
      </c>
      <c r="F21" s="181">
        <v>0.33333333333333331</v>
      </c>
      <c r="G21" s="406" t="str">
        <f t="shared" si="2"/>
        <v>8:00</v>
      </c>
      <c r="H21" s="26">
        <v>7</v>
      </c>
      <c r="I21" s="26">
        <v>1</v>
      </c>
      <c r="J21" s="26">
        <v>0</v>
      </c>
      <c r="K21" s="26">
        <v>3</v>
      </c>
      <c r="L21" s="26">
        <v>3</v>
      </c>
      <c r="M21" s="26">
        <v>0</v>
      </c>
      <c r="N21" s="26">
        <v>0</v>
      </c>
      <c r="O21" s="26">
        <v>0</v>
      </c>
      <c r="P21" s="92"/>
      <c r="Q21" s="26">
        <v>0</v>
      </c>
      <c r="R21" s="26">
        <v>0</v>
      </c>
      <c r="S21" s="26" t="s">
        <v>499</v>
      </c>
      <c r="T21" s="26" t="s">
        <v>11</v>
      </c>
      <c r="U21" s="379">
        <f t="shared" si="3"/>
        <v>0</v>
      </c>
      <c r="V21" s="379" t="str">
        <f t="shared" si="4"/>
        <v/>
      </c>
      <c r="W21" s="26">
        <v>1</v>
      </c>
      <c r="X21" s="26">
        <v>3</v>
      </c>
      <c r="Y21" s="26">
        <v>0</v>
      </c>
      <c r="Z21" s="27">
        <v>0</v>
      </c>
      <c r="AA21" s="379">
        <v>1</v>
      </c>
      <c r="AB21" s="231">
        <v>5</v>
      </c>
    </row>
    <row r="22" spans="1:28" x14ac:dyDescent="0.2">
      <c r="A22" s="112" t="s">
        <v>316</v>
      </c>
      <c r="B22" s="26">
        <v>0</v>
      </c>
      <c r="C22" s="379" t="str">
        <f t="shared" si="0"/>
        <v>0:00</v>
      </c>
      <c r="D22" s="26">
        <v>0</v>
      </c>
      <c r="E22" s="379">
        <f t="shared" si="1"/>
        <v>15</v>
      </c>
      <c r="F22" s="181">
        <v>0.29166666666666669</v>
      </c>
      <c r="G22" s="406" t="str">
        <f t="shared" si="2"/>
        <v>7:00</v>
      </c>
      <c r="H22" s="26">
        <v>6</v>
      </c>
      <c r="I22" s="26">
        <v>2</v>
      </c>
      <c r="J22" s="26">
        <v>1</v>
      </c>
      <c r="K22" s="26">
        <v>3</v>
      </c>
      <c r="L22" s="26">
        <v>3</v>
      </c>
      <c r="M22" s="26">
        <v>3</v>
      </c>
      <c r="N22" s="26">
        <v>1</v>
      </c>
      <c r="O22" s="26">
        <v>0</v>
      </c>
      <c r="P22" s="26">
        <v>0</v>
      </c>
      <c r="Q22" s="26">
        <v>0</v>
      </c>
      <c r="R22" s="26">
        <v>0</v>
      </c>
      <c r="S22" s="26" t="s">
        <v>499</v>
      </c>
      <c r="T22" s="26" t="s">
        <v>11</v>
      </c>
      <c r="U22" s="379">
        <f t="shared" si="3"/>
        <v>0</v>
      </c>
      <c r="V22" s="379" t="str">
        <f t="shared" si="4"/>
        <v/>
      </c>
      <c r="W22" s="26">
        <v>1</v>
      </c>
      <c r="X22" s="26">
        <v>0</v>
      </c>
      <c r="Y22" s="26">
        <v>0</v>
      </c>
      <c r="Z22" s="27">
        <v>0</v>
      </c>
      <c r="AA22" s="379">
        <v>1</v>
      </c>
      <c r="AB22" s="231">
        <v>6</v>
      </c>
    </row>
    <row r="23" spans="1:28" x14ac:dyDescent="0.2">
      <c r="A23" s="112" t="s">
        <v>317</v>
      </c>
      <c r="B23" s="232">
        <v>4.1666666666666664E-2</v>
      </c>
      <c r="C23" s="379" t="str">
        <f t="shared" si="0"/>
        <v>1:00</v>
      </c>
      <c r="D23" s="10">
        <v>1</v>
      </c>
      <c r="E23" s="379">
        <f t="shared" si="1"/>
        <v>30</v>
      </c>
      <c r="F23" s="232">
        <v>0.27083333333333331</v>
      </c>
      <c r="G23" s="406" t="str">
        <f t="shared" si="2"/>
        <v>6:30</v>
      </c>
      <c r="H23" s="10">
        <v>5.5</v>
      </c>
      <c r="I23" s="10">
        <v>2</v>
      </c>
      <c r="J23" s="10">
        <v>1</v>
      </c>
      <c r="K23" s="10">
        <v>1</v>
      </c>
      <c r="L23" s="10">
        <v>3</v>
      </c>
      <c r="M23" s="10">
        <v>1</v>
      </c>
      <c r="N23" s="10">
        <v>2</v>
      </c>
      <c r="O23" s="10">
        <v>0</v>
      </c>
      <c r="P23" s="10">
        <v>0</v>
      </c>
      <c r="Q23" s="10">
        <v>0</v>
      </c>
      <c r="R23" s="10">
        <v>0</v>
      </c>
      <c r="S23" s="10" t="s">
        <v>494</v>
      </c>
      <c r="T23" s="10" t="s">
        <v>511</v>
      </c>
      <c r="U23" s="379">
        <f t="shared" si="3"/>
        <v>1</v>
      </c>
      <c r="V23" s="379" t="str">
        <f t="shared" si="4"/>
        <v>Cat</v>
      </c>
      <c r="W23" s="10">
        <v>1</v>
      </c>
      <c r="X23" s="10">
        <v>0</v>
      </c>
      <c r="Y23" s="10">
        <v>0</v>
      </c>
      <c r="Z23" s="198">
        <v>1</v>
      </c>
      <c r="AA23" s="379">
        <v>1</v>
      </c>
      <c r="AB23" s="231">
        <v>6</v>
      </c>
    </row>
    <row r="24" spans="1:28" x14ac:dyDescent="0.2">
      <c r="A24" s="112" t="s">
        <v>318</v>
      </c>
      <c r="B24" s="232">
        <v>0.875</v>
      </c>
      <c r="C24" s="379" t="str">
        <f t="shared" si="0"/>
        <v>21:00</v>
      </c>
      <c r="D24" s="10">
        <v>2</v>
      </c>
      <c r="E24" s="379">
        <f t="shared" si="1"/>
        <v>60</v>
      </c>
      <c r="F24" s="232">
        <v>0.27083333333333331</v>
      </c>
      <c r="G24" s="406" t="str">
        <f t="shared" si="2"/>
        <v>6:30</v>
      </c>
      <c r="H24" s="10">
        <v>8</v>
      </c>
      <c r="I24" s="10">
        <v>0</v>
      </c>
      <c r="J24" s="10">
        <v>2</v>
      </c>
      <c r="K24" s="10">
        <v>2</v>
      </c>
      <c r="L24" s="10">
        <v>2</v>
      </c>
      <c r="M24" s="10">
        <v>0</v>
      </c>
      <c r="N24" s="10">
        <v>0</v>
      </c>
      <c r="O24" s="10">
        <v>0</v>
      </c>
      <c r="P24" s="10">
        <v>0</v>
      </c>
      <c r="Q24" s="10">
        <v>2</v>
      </c>
      <c r="R24" s="10">
        <v>0</v>
      </c>
      <c r="S24" s="10" t="s">
        <v>512</v>
      </c>
      <c r="T24" s="10" t="s">
        <v>11</v>
      </c>
      <c r="U24" s="379">
        <f t="shared" si="3"/>
        <v>0</v>
      </c>
      <c r="V24" s="379" t="str">
        <f t="shared" si="4"/>
        <v/>
      </c>
      <c r="W24" s="10">
        <v>1</v>
      </c>
      <c r="X24" s="10">
        <v>0</v>
      </c>
      <c r="Y24" s="10">
        <v>0</v>
      </c>
      <c r="Z24" s="198">
        <v>1</v>
      </c>
      <c r="AA24" s="379">
        <v>1</v>
      </c>
      <c r="AB24" s="231">
        <v>5</v>
      </c>
    </row>
    <row r="25" spans="1:28" x14ac:dyDescent="0.2">
      <c r="A25" s="112" t="s">
        <v>319</v>
      </c>
      <c r="B25" s="181">
        <v>0.45833333333333331</v>
      </c>
      <c r="C25" s="379" t="str">
        <f t="shared" si="0"/>
        <v>11:00</v>
      </c>
      <c r="D25" s="26">
        <v>0</v>
      </c>
      <c r="E25" s="379">
        <f t="shared" si="1"/>
        <v>15</v>
      </c>
      <c r="F25" s="181">
        <v>0.20833333333333334</v>
      </c>
      <c r="G25" s="406" t="str">
        <f t="shared" si="2"/>
        <v>5:00</v>
      </c>
      <c r="H25" s="26">
        <v>6</v>
      </c>
      <c r="I25" s="26">
        <v>1</v>
      </c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2</v>
      </c>
      <c r="R25" s="26">
        <v>3</v>
      </c>
      <c r="S25" s="26" t="s">
        <v>499</v>
      </c>
      <c r="T25" s="26" t="s">
        <v>11</v>
      </c>
      <c r="U25" s="379">
        <f t="shared" si="3"/>
        <v>0</v>
      </c>
      <c r="V25" s="379" t="str">
        <f t="shared" si="4"/>
        <v/>
      </c>
      <c r="W25" s="26">
        <v>0</v>
      </c>
      <c r="X25" s="26">
        <v>0</v>
      </c>
      <c r="Y25" s="26">
        <v>0</v>
      </c>
      <c r="Z25" s="27">
        <v>0</v>
      </c>
      <c r="AA25" s="379">
        <v>1</v>
      </c>
      <c r="AB25" s="231">
        <v>2</v>
      </c>
    </row>
    <row r="26" spans="1:28" x14ac:dyDescent="0.2">
      <c r="A26" s="112" t="s">
        <v>489</v>
      </c>
      <c r="B26" s="181">
        <v>0</v>
      </c>
      <c r="C26" s="379" t="str">
        <f t="shared" si="0"/>
        <v>0:00</v>
      </c>
      <c r="D26" s="26">
        <v>0</v>
      </c>
      <c r="E26" s="379">
        <f t="shared" si="1"/>
        <v>15</v>
      </c>
      <c r="F26" s="181">
        <v>0.33333333333333331</v>
      </c>
      <c r="G26" s="406" t="str">
        <f t="shared" si="2"/>
        <v>8:00</v>
      </c>
      <c r="H26" s="26">
        <v>8</v>
      </c>
      <c r="I26" s="26">
        <v>0</v>
      </c>
      <c r="J26" s="26">
        <v>0</v>
      </c>
      <c r="K26" s="26">
        <v>0</v>
      </c>
      <c r="L26" s="26">
        <v>3</v>
      </c>
      <c r="M26" s="26">
        <v>0</v>
      </c>
      <c r="N26" s="26">
        <v>3</v>
      </c>
      <c r="O26" s="26">
        <v>0</v>
      </c>
      <c r="P26" s="26">
        <v>0</v>
      </c>
      <c r="Q26" s="26">
        <v>1</v>
      </c>
      <c r="R26" s="26">
        <v>3</v>
      </c>
      <c r="S26" s="26" t="s">
        <v>499</v>
      </c>
      <c r="T26" s="26" t="s">
        <v>11</v>
      </c>
      <c r="U26" s="379">
        <f t="shared" si="3"/>
        <v>0</v>
      </c>
      <c r="V26" s="379" t="str">
        <f t="shared" si="4"/>
        <v/>
      </c>
      <c r="W26" s="26">
        <v>1</v>
      </c>
      <c r="X26" s="26">
        <v>3</v>
      </c>
      <c r="Y26" s="26">
        <v>0</v>
      </c>
      <c r="Z26" s="27">
        <v>2</v>
      </c>
      <c r="AA26" s="379">
        <v>1</v>
      </c>
      <c r="AB26" s="231">
        <v>7</v>
      </c>
    </row>
    <row r="27" spans="1:28" x14ac:dyDescent="0.2">
      <c r="A27" s="112" t="s">
        <v>321</v>
      </c>
      <c r="B27" s="180">
        <v>0.95833333333333337</v>
      </c>
      <c r="C27" s="379" t="str">
        <f t="shared" si="0"/>
        <v>23:00</v>
      </c>
      <c r="D27" s="31">
        <v>0</v>
      </c>
      <c r="E27" s="379">
        <f t="shared" si="1"/>
        <v>15</v>
      </c>
      <c r="F27" s="180">
        <v>0.25</v>
      </c>
      <c r="G27" s="406" t="str">
        <f t="shared" si="2"/>
        <v>6:00</v>
      </c>
      <c r="H27" s="31">
        <v>6</v>
      </c>
      <c r="I27" s="31">
        <v>2</v>
      </c>
      <c r="J27" s="31">
        <v>1</v>
      </c>
      <c r="K27" s="31">
        <v>0</v>
      </c>
      <c r="L27" s="31">
        <v>2</v>
      </c>
      <c r="M27" s="31">
        <v>0</v>
      </c>
      <c r="N27" s="31">
        <v>0</v>
      </c>
      <c r="O27" s="31">
        <v>1</v>
      </c>
      <c r="P27" s="31">
        <v>0</v>
      </c>
      <c r="Q27" s="31">
        <v>2</v>
      </c>
      <c r="R27" s="31">
        <v>1</v>
      </c>
      <c r="S27" s="31" t="s">
        <v>499</v>
      </c>
      <c r="T27" s="31" t="s">
        <v>11</v>
      </c>
      <c r="U27" s="379">
        <f t="shared" si="3"/>
        <v>0</v>
      </c>
      <c r="V27" s="379" t="str">
        <f t="shared" si="4"/>
        <v/>
      </c>
      <c r="W27" s="31">
        <v>1</v>
      </c>
      <c r="X27" s="31">
        <v>0</v>
      </c>
      <c r="Y27" s="31">
        <v>0</v>
      </c>
      <c r="Z27" s="179">
        <v>0</v>
      </c>
      <c r="AA27" s="379">
        <v>1</v>
      </c>
      <c r="AB27" s="231">
        <v>5</v>
      </c>
    </row>
    <row r="28" spans="1:28" x14ac:dyDescent="0.2">
      <c r="A28" s="112" t="s">
        <v>322</v>
      </c>
      <c r="B28" s="180">
        <v>0.97916666666666663</v>
      </c>
      <c r="C28" s="379" t="str">
        <f t="shared" si="0"/>
        <v>23:30</v>
      </c>
      <c r="D28" s="31">
        <v>0</v>
      </c>
      <c r="E28" s="379">
        <f t="shared" si="1"/>
        <v>15</v>
      </c>
      <c r="F28" s="233">
        <v>0.27083333333333331</v>
      </c>
      <c r="G28" s="406" t="str">
        <f t="shared" si="2"/>
        <v>6:30</v>
      </c>
      <c r="H28" s="31">
        <v>6</v>
      </c>
      <c r="I28" s="31">
        <v>2</v>
      </c>
      <c r="J28" s="31">
        <v>0</v>
      </c>
      <c r="K28" s="31">
        <v>0</v>
      </c>
      <c r="L28" s="31">
        <v>3</v>
      </c>
      <c r="M28" s="31">
        <v>0</v>
      </c>
      <c r="N28" s="31">
        <v>0</v>
      </c>
      <c r="O28" s="31">
        <v>0</v>
      </c>
      <c r="P28" s="31">
        <v>0</v>
      </c>
      <c r="Q28" s="31">
        <v>2</v>
      </c>
      <c r="R28" s="31">
        <v>0</v>
      </c>
      <c r="S28" s="31" t="s">
        <v>499</v>
      </c>
      <c r="T28" s="31" t="s">
        <v>11</v>
      </c>
      <c r="U28" s="379">
        <f t="shared" si="3"/>
        <v>0</v>
      </c>
      <c r="V28" s="379" t="str">
        <f t="shared" si="4"/>
        <v/>
      </c>
      <c r="W28" s="31">
        <v>1</v>
      </c>
      <c r="X28" s="31">
        <v>0</v>
      </c>
      <c r="Y28" s="31">
        <v>1</v>
      </c>
      <c r="Z28" s="179">
        <v>2</v>
      </c>
      <c r="AA28" s="379">
        <v>1</v>
      </c>
      <c r="AB28" s="231">
        <v>7</v>
      </c>
    </row>
    <row r="29" spans="1:28" x14ac:dyDescent="0.2">
      <c r="A29" s="112" t="s">
        <v>323</v>
      </c>
      <c r="B29" s="180">
        <v>0.91666666666666663</v>
      </c>
      <c r="C29" s="379" t="str">
        <f t="shared" si="0"/>
        <v>22:00</v>
      </c>
      <c r="D29" s="31">
        <v>0</v>
      </c>
      <c r="E29" s="379">
        <f t="shared" si="1"/>
        <v>15</v>
      </c>
      <c r="F29" s="233">
        <v>0.33333333333333331</v>
      </c>
      <c r="G29" s="406" t="str">
        <f t="shared" si="2"/>
        <v>8:00</v>
      </c>
      <c r="H29" s="31">
        <v>8</v>
      </c>
      <c r="I29" s="31">
        <v>0</v>
      </c>
      <c r="J29" s="31">
        <v>0</v>
      </c>
      <c r="K29" s="31">
        <v>0</v>
      </c>
      <c r="L29" s="31">
        <v>0</v>
      </c>
      <c r="M29" s="31">
        <v>0</v>
      </c>
      <c r="N29" s="31">
        <v>0</v>
      </c>
      <c r="O29" s="31">
        <v>0</v>
      </c>
      <c r="P29" s="31">
        <v>0</v>
      </c>
      <c r="Q29" s="31">
        <v>0</v>
      </c>
      <c r="R29" s="31">
        <v>0</v>
      </c>
      <c r="S29" s="31" t="s">
        <v>499</v>
      </c>
      <c r="T29" s="31" t="s">
        <v>11</v>
      </c>
      <c r="U29" s="379">
        <f t="shared" si="3"/>
        <v>0</v>
      </c>
      <c r="V29" s="379" t="str">
        <f t="shared" si="4"/>
        <v/>
      </c>
      <c r="W29" s="31">
        <v>1</v>
      </c>
      <c r="X29" s="31">
        <v>3</v>
      </c>
      <c r="Y29" s="31">
        <v>2</v>
      </c>
      <c r="Z29" s="179">
        <v>1</v>
      </c>
      <c r="AA29" s="379">
        <v>1</v>
      </c>
      <c r="AB29" s="158">
        <v>5</v>
      </c>
    </row>
    <row r="30" spans="1:28" x14ac:dyDescent="0.2">
      <c r="A30" s="112" t="s">
        <v>324</v>
      </c>
      <c r="B30" s="180">
        <v>0.97916666666666663</v>
      </c>
      <c r="C30" s="379" t="str">
        <f t="shared" si="0"/>
        <v>23:30</v>
      </c>
      <c r="D30" s="31">
        <v>0</v>
      </c>
      <c r="E30" s="379">
        <f t="shared" si="1"/>
        <v>15</v>
      </c>
      <c r="F30" s="233">
        <v>0.25</v>
      </c>
      <c r="G30" s="406" t="str">
        <f t="shared" si="2"/>
        <v>6:00</v>
      </c>
      <c r="H30" s="31">
        <v>6</v>
      </c>
      <c r="I30" s="31">
        <v>2</v>
      </c>
      <c r="J30" s="31">
        <v>0</v>
      </c>
      <c r="K30" s="31">
        <v>0</v>
      </c>
      <c r="L30" s="31">
        <v>0</v>
      </c>
      <c r="M30" s="31">
        <v>0</v>
      </c>
      <c r="N30" s="31">
        <v>1</v>
      </c>
      <c r="O30" s="31">
        <v>0</v>
      </c>
      <c r="P30" s="31">
        <v>0</v>
      </c>
      <c r="Q30" s="31">
        <v>0</v>
      </c>
      <c r="R30" s="31">
        <v>1</v>
      </c>
      <c r="S30" s="31" t="s">
        <v>499</v>
      </c>
      <c r="T30" s="31" t="s">
        <v>11</v>
      </c>
      <c r="U30" s="379">
        <f t="shared" si="3"/>
        <v>0</v>
      </c>
      <c r="V30" s="379" t="str">
        <f t="shared" si="4"/>
        <v/>
      </c>
      <c r="W30" s="31">
        <v>0</v>
      </c>
      <c r="X30" s="31">
        <v>0</v>
      </c>
      <c r="Y30" s="31">
        <v>0</v>
      </c>
      <c r="Z30" s="179">
        <v>0</v>
      </c>
      <c r="AA30" s="379">
        <v>1</v>
      </c>
      <c r="AB30" s="158">
        <v>3</v>
      </c>
    </row>
    <row r="31" spans="1:28" x14ac:dyDescent="0.2">
      <c r="A31" s="112" t="s">
        <v>325</v>
      </c>
      <c r="B31" s="180">
        <v>0.89583333333333337</v>
      </c>
      <c r="C31" s="379" t="str">
        <f t="shared" si="0"/>
        <v>21:30</v>
      </c>
      <c r="D31" s="31">
        <v>3</v>
      </c>
      <c r="E31" s="379">
        <f t="shared" si="1"/>
        <v>61</v>
      </c>
      <c r="F31" s="233">
        <v>0.29166666666666669</v>
      </c>
      <c r="G31" s="406" t="str">
        <f t="shared" si="2"/>
        <v>7:00</v>
      </c>
      <c r="H31" s="31">
        <v>5</v>
      </c>
      <c r="I31" s="31">
        <v>3</v>
      </c>
      <c r="J31" s="31">
        <v>3</v>
      </c>
      <c r="K31" s="31">
        <v>3</v>
      </c>
      <c r="L31" s="31">
        <v>3</v>
      </c>
      <c r="M31" s="31">
        <v>0</v>
      </c>
      <c r="N31" s="31">
        <v>1</v>
      </c>
      <c r="O31" s="31">
        <v>2</v>
      </c>
      <c r="P31" s="31">
        <v>0</v>
      </c>
      <c r="Q31" s="31">
        <v>2</v>
      </c>
      <c r="R31" s="31">
        <v>0</v>
      </c>
      <c r="S31" s="179" t="s">
        <v>494</v>
      </c>
      <c r="T31" s="26" t="s">
        <v>507</v>
      </c>
      <c r="U31" s="379">
        <f t="shared" si="3"/>
        <v>1</v>
      </c>
      <c r="V31" s="379" t="str">
        <f t="shared" si="4"/>
        <v>personal problems</v>
      </c>
      <c r="W31" s="31">
        <v>2</v>
      </c>
      <c r="X31" s="31">
        <v>3</v>
      </c>
      <c r="Y31" s="31">
        <v>1</v>
      </c>
      <c r="Z31" s="179">
        <v>2</v>
      </c>
      <c r="AA31" s="379">
        <v>1</v>
      </c>
      <c r="AB31" s="158">
        <v>14</v>
      </c>
    </row>
    <row r="32" spans="1:28" x14ac:dyDescent="0.2">
      <c r="A32" s="112" t="s">
        <v>329</v>
      </c>
      <c r="B32" s="180">
        <v>0.875</v>
      </c>
      <c r="C32" s="379" t="str">
        <f t="shared" si="0"/>
        <v>21:00</v>
      </c>
      <c r="D32" s="31">
        <v>0</v>
      </c>
      <c r="E32" s="379">
        <f t="shared" si="1"/>
        <v>15</v>
      </c>
      <c r="F32" s="233">
        <v>0.33333333333333331</v>
      </c>
      <c r="G32" s="406" t="str">
        <f t="shared" si="2"/>
        <v>8:00</v>
      </c>
      <c r="H32" s="31">
        <v>7</v>
      </c>
      <c r="I32" s="31">
        <v>1</v>
      </c>
      <c r="J32" s="31">
        <v>0</v>
      </c>
      <c r="K32" s="31">
        <v>1</v>
      </c>
      <c r="L32" s="31">
        <v>0</v>
      </c>
      <c r="M32" s="31">
        <v>2</v>
      </c>
      <c r="N32" s="31">
        <v>3</v>
      </c>
      <c r="O32" s="31">
        <v>0</v>
      </c>
      <c r="P32" s="31">
        <v>0</v>
      </c>
      <c r="Q32" s="31">
        <v>0</v>
      </c>
      <c r="R32" s="31">
        <v>3</v>
      </c>
      <c r="S32" s="26" t="s">
        <v>499</v>
      </c>
      <c r="T32" s="26" t="s">
        <v>11</v>
      </c>
      <c r="U32" s="379">
        <f t="shared" si="3"/>
        <v>0</v>
      </c>
      <c r="V32" s="379" t="str">
        <f t="shared" si="4"/>
        <v/>
      </c>
      <c r="W32" s="31">
        <v>1</v>
      </c>
      <c r="X32" s="31">
        <v>0</v>
      </c>
      <c r="Y32" s="31">
        <v>0</v>
      </c>
      <c r="Z32" s="179">
        <v>2</v>
      </c>
      <c r="AA32" s="379">
        <v>1</v>
      </c>
      <c r="AB32" s="158">
        <v>6</v>
      </c>
    </row>
    <row r="33" spans="1:28" x14ac:dyDescent="0.2">
      <c r="A33" s="112" t="s">
        <v>330</v>
      </c>
      <c r="B33" s="181">
        <v>0.91666666666666663</v>
      </c>
      <c r="C33" s="379" t="str">
        <f t="shared" si="0"/>
        <v>22:00</v>
      </c>
      <c r="D33" s="26">
        <v>0</v>
      </c>
      <c r="E33" s="379">
        <f t="shared" si="1"/>
        <v>15</v>
      </c>
      <c r="F33" s="181">
        <v>0.3125</v>
      </c>
      <c r="G33" s="406" t="str">
        <f t="shared" si="2"/>
        <v>7:30</v>
      </c>
      <c r="H33" s="26">
        <v>7</v>
      </c>
      <c r="I33" s="26">
        <v>0</v>
      </c>
      <c r="J33" s="26">
        <v>0</v>
      </c>
      <c r="K33" s="26">
        <v>2</v>
      </c>
      <c r="L33" s="26">
        <v>3</v>
      </c>
      <c r="M33" s="26">
        <v>0</v>
      </c>
      <c r="N33" s="26">
        <v>0</v>
      </c>
      <c r="O33" s="26">
        <v>0</v>
      </c>
      <c r="P33" s="26">
        <v>0</v>
      </c>
      <c r="Q33" s="26">
        <v>0</v>
      </c>
      <c r="R33" s="26">
        <v>1</v>
      </c>
      <c r="S33" s="26" t="s">
        <v>499</v>
      </c>
      <c r="T33" s="26" t="s">
        <v>11</v>
      </c>
      <c r="U33" s="379">
        <f t="shared" si="3"/>
        <v>0</v>
      </c>
      <c r="V33" s="379" t="str">
        <f t="shared" si="4"/>
        <v/>
      </c>
      <c r="W33" s="26">
        <v>1</v>
      </c>
      <c r="X33" s="26">
        <v>0</v>
      </c>
      <c r="Y33" s="26">
        <v>0</v>
      </c>
      <c r="Z33" s="27">
        <v>1</v>
      </c>
      <c r="AA33" s="379">
        <v>1</v>
      </c>
      <c r="AB33" s="158">
        <v>3</v>
      </c>
    </row>
    <row r="34" spans="1:28" x14ac:dyDescent="0.2">
      <c r="A34" s="116" t="s">
        <v>331</v>
      </c>
      <c r="B34" s="181">
        <v>6.25E-2</v>
      </c>
      <c r="C34" s="379" t="str">
        <f t="shared" si="0"/>
        <v>1:30</v>
      </c>
      <c r="D34" s="26">
        <v>0</v>
      </c>
      <c r="E34" s="379">
        <f t="shared" si="1"/>
        <v>15</v>
      </c>
      <c r="F34" s="181">
        <v>0.29166666666666669</v>
      </c>
      <c r="G34" s="406" t="str">
        <f t="shared" si="2"/>
        <v>7:00</v>
      </c>
      <c r="H34" s="26">
        <v>6.5</v>
      </c>
      <c r="I34" s="26">
        <v>1</v>
      </c>
      <c r="J34" s="26">
        <v>2</v>
      </c>
      <c r="K34" s="26">
        <v>2</v>
      </c>
      <c r="L34" s="26">
        <v>2</v>
      </c>
      <c r="M34" s="26">
        <v>0</v>
      </c>
      <c r="N34" s="26">
        <v>0</v>
      </c>
      <c r="O34" s="26">
        <v>0</v>
      </c>
      <c r="P34" s="26">
        <v>0</v>
      </c>
      <c r="Q34" s="26">
        <v>1</v>
      </c>
      <c r="R34" s="26">
        <v>3</v>
      </c>
      <c r="S34" s="26" t="s">
        <v>499</v>
      </c>
      <c r="T34" s="26" t="s">
        <v>11</v>
      </c>
      <c r="U34" s="379">
        <f t="shared" si="3"/>
        <v>0</v>
      </c>
      <c r="V34" s="379" t="str">
        <f t="shared" si="4"/>
        <v/>
      </c>
      <c r="W34" s="26">
        <v>1</v>
      </c>
      <c r="X34" s="26">
        <v>0</v>
      </c>
      <c r="Y34" s="26">
        <v>0</v>
      </c>
      <c r="Z34" s="27">
        <v>2</v>
      </c>
      <c r="AA34" s="379">
        <v>1</v>
      </c>
      <c r="AB34" s="158">
        <v>7</v>
      </c>
    </row>
    <row r="35" spans="1:28" x14ac:dyDescent="0.2">
      <c r="A35" s="116" t="s">
        <v>332</v>
      </c>
      <c r="B35" s="181">
        <v>0</v>
      </c>
      <c r="C35" s="379" t="str">
        <f t="shared" si="0"/>
        <v>0:00</v>
      </c>
      <c r="D35" s="26">
        <v>2</v>
      </c>
      <c r="E35" s="379">
        <f t="shared" si="1"/>
        <v>60</v>
      </c>
      <c r="F35" s="181">
        <v>0.25</v>
      </c>
      <c r="G35" s="406" t="str">
        <f t="shared" si="2"/>
        <v>6:00</v>
      </c>
      <c r="H35" s="26">
        <v>5</v>
      </c>
      <c r="I35" s="26">
        <v>2</v>
      </c>
      <c r="J35" s="26">
        <v>3</v>
      </c>
      <c r="K35" s="26">
        <v>0</v>
      </c>
      <c r="L35" s="26">
        <v>0</v>
      </c>
      <c r="M35" s="26">
        <v>0</v>
      </c>
      <c r="N35" s="26">
        <v>1</v>
      </c>
      <c r="O35" s="26">
        <v>0</v>
      </c>
      <c r="P35" s="26">
        <v>0</v>
      </c>
      <c r="Q35" s="26">
        <v>0</v>
      </c>
      <c r="R35" s="26">
        <v>3</v>
      </c>
      <c r="S35" s="26" t="s">
        <v>499</v>
      </c>
      <c r="T35" s="26" t="s">
        <v>11</v>
      </c>
      <c r="U35" s="379">
        <f t="shared" si="3"/>
        <v>0</v>
      </c>
      <c r="V35" s="379" t="str">
        <f t="shared" si="4"/>
        <v/>
      </c>
      <c r="W35" s="26">
        <v>1</v>
      </c>
      <c r="X35" s="26">
        <v>0</v>
      </c>
      <c r="Y35" s="26">
        <v>1</v>
      </c>
      <c r="Z35" s="27">
        <v>2</v>
      </c>
      <c r="AA35" s="379">
        <v>1</v>
      </c>
      <c r="AB35" s="158">
        <v>10</v>
      </c>
    </row>
    <row r="36" spans="1:28" x14ac:dyDescent="0.2">
      <c r="A36" s="116" t="s">
        <v>333</v>
      </c>
      <c r="B36" s="181">
        <v>0</v>
      </c>
      <c r="C36" s="379" t="str">
        <f t="shared" si="0"/>
        <v>0:00</v>
      </c>
      <c r="D36" s="26">
        <v>0</v>
      </c>
      <c r="E36" s="379">
        <f t="shared" si="1"/>
        <v>15</v>
      </c>
      <c r="F36" s="181">
        <v>0.35416666666666669</v>
      </c>
      <c r="G36" s="406" t="str">
        <f t="shared" si="2"/>
        <v>8:30</v>
      </c>
      <c r="H36" s="26">
        <v>6</v>
      </c>
      <c r="I36" s="26">
        <v>1</v>
      </c>
      <c r="J36" s="26">
        <v>0</v>
      </c>
      <c r="K36" s="26">
        <v>3</v>
      </c>
      <c r="L36" s="26">
        <v>3</v>
      </c>
      <c r="M36" s="26">
        <v>3</v>
      </c>
      <c r="N36" s="26">
        <v>3</v>
      </c>
      <c r="O36" s="26">
        <v>0</v>
      </c>
      <c r="P36" s="26">
        <v>0</v>
      </c>
      <c r="Q36" s="26">
        <v>2</v>
      </c>
      <c r="R36" s="26">
        <v>3</v>
      </c>
      <c r="S36" s="26" t="s">
        <v>499</v>
      </c>
      <c r="T36" s="26" t="s">
        <v>491</v>
      </c>
      <c r="U36" s="379">
        <f t="shared" si="3"/>
        <v>0</v>
      </c>
      <c r="V36" s="379" t="str">
        <f t="shared" si="4"/>
        <v/>
      </c>
      <c r="W36" s="26">
        <v>2</v>
      </c>
      <c r="X36" s="26">
        <v>3</v>
      </c>
      <c r="Y36" s="26">
        <v>0</v>
      </c>
      <c r="Z36" s="27">
        <v>2</v>
      </c>
      <c r="AA36" s="379">
        <v>1</v>
      </c>
      <c r="AB36" s="158">
        <v>10</v>
      </c>
    </row>
    <row r="37" spans="1:28" x14ac:dyDescent="0.2">
      <c r="A37" s="116" t="s">
        <v>334</v>
      </c>
      <c r="B37" s="191">
        <v>0.9375</v>
      </c>
      <c r="C37" s="379" t="str">
        <f t="shared" si="0"/>
        <v>22:30</v>
      </c>
      <c r="D37" s="122">
        <v>0</v>
      </c>
      <c r="E37" s="379">
        <f t="shared" si="1"/>
        <v>15</v>
      </c>
      <c r="F37" s="191">
        <v>0.33333333333333331</v>
      </c>
      <c r="G37" s="406" t="str">
        <f t="shared" si="2"/>
        <v>8:00</v>
      </c>
      <c r="H37" s="122">
        <v>8</v>
      </c>
      <c r="I37" s="122">
        <v>0</v>
      </c>
      <c r="J37" s="122">
        <v>0</v>
      </c>
      <c r="K37" s="122">
        <v>0</v>
      </c>
      <c r="L37" s="122">
        <v>3</v>
      </c>
      <c r="M37" s="122">
        <v>0</v>
      </c>
      <c r="N37" s="122">
        <v>0</v>
      </c>
      <c r="O37" s="122">
        <v>0</v>
      </c>
      <c r="P37" s="122">
        <v>1</v>
      </c>
      <c r="Q37" s="122">
        <v>3</v>
      </c>
      <c r="R37" s="122">
        <v>0</v>
      </c>
      <c r="S37" s="122" t="s">
        <v>499</v>
      </c>
      <c r="T37" s="122" t="s">
        <v>11</v>
      </c>
      <c r="U37" s="379">
        <f t="shared" si="3"/>
        <v>0</v>
      </c>
      <c r="V37" s="379" t="str">
        <f t="shared" si="4"/>
        <v/>
      </c>
      <c r="W37" s="122">
        <v>1</v>
      </c>
      <c r="X37" s="122">
        <v>3</v>
      </c>
      <c r="Y37" s="122">
        <v>0</v>
      </c>
      <c r="Z37" s="182">
        <v>1</v>
      </c>
      <c r="AA37" s="379">
        <v>1</v>
      </c>
      <c r="AB37" s="158">
        <v>5</v>
      </c>
    </row>
    <row r="38" spans="1:28" x14ac:dyDescent="0.2">
      <c r="A38" s="117" t="s">
        <v>335</v>
      </c>
      <c r="B38" s="181">
        <v>0</v>
      </c>
      <c r="C38" s="379" t="str">
        <f t="shared" si="0"/>
        <v>0:00</v>
      </c>
      <c r="D38" s="26">
        <v>0</v>
      </c>
      <c r="E38" s="379">
        <f t="shared" si="1"/>
        <v>15</v>
      </c>
      <c r="F38" s="181">
        <v>0.27083333333333331</v>
      </c>
      <c r="G38" s="406" t="str">
        <f t="shared" si="2"/>
        <v>6:30</v>
      </c>
      <c r="H38" s="26">
        <v>6.5</v>
      </c>
      <c r="I38" s="26">
        <v>1</v>
      </c>
      <c r="J38" s="26">
        <v>1</v>
      </c>
      <c r="K38" s="26">
        <v>1</v>
      </c>
      <c r="L38" s="26">
        <v>1</v>
      </c>
      <c r="M38" s="26">
        <v>0</v>
      </c>
      <c r="N38" s="26">
        <v>1</v>
      </c>
      <c r="O38" s="26">
        <v>1</v>
      </c>
      <c r="P38" s="26">
        <v>1</v>
      </c>
      <c r="Q38" s="26">
        <v>0</v>
      </c>
      <c r="R38" s="26">
        <v>0</v>
      </c>
      <c r="S38" s="26" t="s">
        <v>494</v>
      </c>
      <c r="T38" s="26" t="s">
        <v>513</v>
      </c>
      <c r="U38" s="379">
        <f t="shared" si="3"/>
        <v>1</v>
      </c>
      <c r="V38" s="379" t="str">
        <f t="shared" si="4"/>
        <v>work-related stress</v>
      </c>
      <c r="W38" s="26">
        <v>1</v>
      </c>
      <c r="X38" s="26">
        <v>0</v>
      </c>
      <c r="Y38" s="26">
        <v>1</v>
      </c>
      <c r="Z38" s="27">
        <v>0</v>
      </c>
      <c r="AA38" s="379">
        <v>1</v>
      </c>
      <c r="AB38" s="158">
        <v>5</v>
      </c>
    </row>
    <row r="39" spans="1:28" x14ac:dyDescent="0.2">
      <c r="A39" s="117" t="s">
        <v>336</v>
      </c>
      <c r="B39" s="181">
        <v>0.91666666666666663</v>
      </c>
      <c r="C39" s="379" t="str">
        <f t="shared" si="0"/>
        <v>22:00</v>
      </c>
      <c r="D39" s="26">
        <v>0</v>
      </c>
      <c r="E39" s="379">
        <f t="shared" si="1"/>
        <v>15</v>
      </c>
      <c r="F39" s="181">
        <v>0.27083333333333331</v>
      </c>
      <c r="G39" s="406" t="str">
        <f t="shared" si="2"/>
        <v>6:30</v>
      </c>
      <c r="H39" s="26">
        <v>8</v>
      </c>
      <c r="I39" s="26">
        <v>0</v>
      </c>
      <c r="J39" s="26">
        <v>0</v>
      </c>
      <c r="K39" s="26">
        <v>0</v>
      </c>
      <c r="L39" s="26">
        <v>0</v>
      </c>
      <c r="M39" s="26">
        <v>0</v>
      </c>
      <c r="N39" s="26">
        <v>1</v>
      </c>
      <c r="O39" s="26">
        <v>2</v>
      </c>
      <c r="P39" s="26">
        <v>0</v>
      </c>
      <c r="Q39" s="26">
        <v>0</v>
      </c>
      <c r="R39" s="26">
        <v>0</v>
      </c>
      <c r="S39" s="26" t="s">
        <v>506</v>
      </c>
      <c r="T39" s="26" t="s">
        <v>11</v>
      </c>
      <c r="U39" s="379">
        <f t="shared" si="3"/>
        <v>0</v>
      </c>
      <c r="V39" s="379" t="str">
        <f t="shared" si="4"/>
        <v/>
      </c>
      <c r="W39" s="26">
        <v>0</v>
      </c>
      <c r="X39" s="26">
        <v>0</v>
      </c>
      <c r="Y39" s="26">
        <v>0</v>
      </c>
      <c r="Z39" s="27">
        <v>0</v>
      </c>
      <c r="AA39" s="379">
        <v>1</v>
      </c>
      <c r="AB39" s="158">
        <v>1</v>
      </c>
    </row>
    <row r="40" spans="1:28" x14ac:dyDescent="0.2">
      <c r="A40" s="117" t="s">
        <v>337</v>
      </c>
      <c r="B40" s="181">
        <v>0.95833333333333337</v>
      </c>
      <c r="C40" s="379" t="str">
        <f t="shared" si="0"/>
        <v>23:00</v>
      </c>
      <c r="D40" s="26">
        <v>1</v>
      </c>
      <c r="E40" s="379">
        <f t="shared" si="1"/>
        <v>30</v>
      </c>
      <c r="F40" s="181">
        <v>0.3125</v>
      </c>
      <c r="G40" s="406" t="str">
        <f t="shared" si="2"/>
        <v>7:30</v>
      </c>
      <c r="H40" s="26">
        <v>7</v>
      </c>
      <c r="I40" s="26">
        <v>1</v>
      </c>
      <c r="J40" s="26">
        <v>1</v>
      </c>
      <c r="K40" s="26">
        <v>1</v>
      </c>
      <c r="L40" s="26">
        <v>1</v>
      </c>
      <c r="M40" s="26">
        <v>0</v>
      </c>
      <c r="N40" s="26">
        <v>0</v>
      </c>
      <c r="O40" s="26">
        <v>0</v>
      </c>
      <c r="P40" s="26">
        <v>1</v>
      </c>
      <c r="Q40" s="26">
        <v>0</v>
      </c>
      <c r="R40" s="26">
        <v>0</v>
      </c>
      <c r="S40" s="26" t="s">
        <v>506</v>
      </c>
      <c r="T40" s="26" t="s">
        <v>11</v>
      </c>
      <c r="U40" s="379">
        <f t="shared" si="3"/>
        <v>0</v>
      </c>
      <c r="V40" s="379" t="str">
        <f t="shared" si="4"/>
        <v/>
      </c>
      <c r="W40" s="26">
        <v>1</v>
      </c>
      <c r="X40" s="26">
        <v>0</v>
      </c>
      <c r="Y40" s="26">
        <v>0</v>
      </c>
      <c r="Z40" s="27">
        <v>0</v>
      </c>
      <c r="AA40" s="379">
        <v>1</v>
      </c>
      <c r="AB40" s="158">
        <v>4</v>
      </c>
    </row>
    <row r="41" spans="1:28" s="311" customFormat="1" x14ac:dyDescent="0.2">
      <c r="A41" s="113" t="s">
        <v>338</v>
      </c>
      <c r="B41" s="198">
        <v>22</v>
      </c>
      <c r="C41" s="379" t="str">
        <f t="shared" si="0"/>
        <v>22:00</v>
      </c>
      <c r="D41" s="198">
        <v>1</v>
      </c>
      <c r="E41" s="379">
        <f t="shared" si="1"/>
        <v>30</v>
      </c>
      <c r="F41" s="405">
        <v>0.125</v>
      </c>
      <c r="G41" s="406" t="str">
        <f t="shared" si="2"/>
        <v>3:00</v>
      </c>
      <c r="H41" s="198">
        <v>5</v>
      </c>
      <c r="I41" s="198">
        <v>2</v>
      </c>
      <c r="J41" s="198">
        <v>1</v>
      </c>
      <c r="K41" s="198">
        <v>2</v>
      </c>
      <c r="L41" s="198">
        <v>3</v>
      </c>
      <c r="M41" s="198">
        <v>3</v>
      </c>
      <c r="N41" s="198">
        <v>1</v>
      </c>
      <c r="O41" s="198">
        <v>2</v>
      </c>
      <c r="P41" s="198">
        <v>1</v>
      </c>
      <c r="Q41" s="198">
        <v>1</v>
      </c>
      <c r="R41" s="198">
        <v>0</v>
      </c>
      <c r="S41" s="198" t="s">
        <v>512</v>
      </c>
      <c r="T41" s="198" t="s">
        <v>11</v>
      </c>
      <c r="U41" s="379">
        <f t="shared" si="3"/>
        <v>0</v>
      </c>
      <c r="V41" s="379" t="str">
        <f t="shared" si="4"/>
        <v/>
      </c>
      <c r="W41" s="198">
        <v>1</v>
      </c>
      <c r="X41" s="198">
        <v>3</v>
      </c>
      <c r="Y41" s="198">
        <v>2</v>
      </c>
      <c r="Z41" s="198">
        <v>0</v>
      </c>
      <c r="AA41" s="379">
        <v>1</v>
      </c>
      <c r="AB41" s="235">
        <v>9</v>
      </c>
    </row>
    <row r="42" spans="1:28" x14ac:dyDescent="0.2">
      <c r="A42" s="116" t="s">
        <v>339</v>
      </c>
      <c r="B42" s="181">
        <v>0.95833333333333337</v>
      </c>
      <c r="C42" s="379" t="str">
        <f t="shared" si="0"/>
        <v>23:00</v>
      </c>
      <c r="D42" s="26">
        <v>0</v>
      </c>
      <c r="E42" s="379">
        <f t="shared" si="1"/>
        <v>15</v>
      </c>
      <c r="F42" s="181">
        <v>0.33333333333333331</v>
      </c>
      <c r="G42" s="406" t="str">
        <f t="shared" si="2"/>
        <v>8:00</v>
      </c>
      <c r="H42" s="26">
        <v>7</v>
      </c>
      <c r="I42" s="26">
        <v>1</v>
      </c>
      <c r="J42" s="26">
        <v>0</v>
      </c>
      <c r="K42" s="26">
        <v>0</v>
      </c>
      <c r="L42" s="26">
        <v>0</v>
      </c>
      <c r="M42" s="26">
        <v>0</v>
      </c>
      <c r="N42" s="26">
        <v>3</v>
      </c>
      <c r="O42" s="26">
        <v>0</v>
      </c>
      <c r="P42" s="26">
        <v>0</v>
      </c>
      <c r="Q42" s="26">
        <v>3</v>
      </c>
      <c r="R42" s="26">
        <v>2</v>
      </c>
      <c r="S42" s="26" t="s">
        <v>499</v>
      </c>
      <c r="T42" s="26" t="s">
        <v>11</v>
      </c>
      <c r="U42" s="379">
        <f t="shared" si="3"/>
        <v>0</v>
      </c>
      <c r="V42" s="379" t="str">
        <f t="shared" si="4"/>
        <v/>
      </c>
      <c r="W42" s="26">
        <v>1</v>
      </c>
      <c r="X42" s="26">
        <v>3</v>
      </c>
      <c r="Y42" s="26">
        <v>1</v>
      </c>
      <c r="Z42" s="27">
        <v>1</v>
      </c>
      <c r="AA42" s="379">
        <v>1</v>
      </c>
      <c r="AB42" s="158">
        <v>6</v>
      </c>
    </row>
    <row r="43" spans="1:28" x14ac:dyDescent="0.2">
      <c r="A43" s="117" t="s">
        <v>340</v>
      </c>
      <c r="B43" s="181">
        <v>0</v>
      </c>
      <c r="C43" s="379" t="str">
        <f t="shared" si="0"/>
        <v>0:00</v>
      </c>
      <c r="D43" s="26">
        <v>0</v>
      </c>
      <c r="E43" s="379">
        <f t="shared" si="1"/>
        <v>15</v>
      </c>
      <c r="F43" s="181">
        <v>0.375</v>
      </c>
      <c r="G43" s="406" t="str">
        <f t="shared" si="2"/>
        <v>9:00</v>
      </c>
      <c r="H43" s="26">
        <v>8.5</v>
      </c>
      <c r="I43" s="26">
        <v>0</v>
      </c>
      <c r="J43" s="26">
        <v>0</v>
      </c>
      <c r="K43" s="26">
        <v>1</v>
      </c>
      <c r="L43" s="26">
        <v>3</v>
      </c>
      <c r="M43" s="26">
        <v>0</v>
      </c>
      <c r="N43" s="26">
        <v>0</v>
      </c>
      <c r="O43" s="26">
        <v>0</v>
      </c>
      <c r="P43" s="26">
        <v>0</v>
      </c>
      <c r="Q43" s="26">
        <v>0</v>
      </c>
      <c r="R43" s="26">
        <v>0</v>
      </c>
      <c r="S43" s="26" t="s">
        <v>506</v>
      </c>
      <c r="T43" s="26" t="s">
        <v>11</v>
      </c>
      <c r="U43" s="379">
        <f t="shared" si="3"/>
        <v>0</v>
      </c>
      <c r="V43" s="379" t="str">
        <f t="shared" si="4"/>
        <v/>
      </c>
      <c r="W43" s="26">
        <v>0</v>
      </c>
      <c r="X43" s="26">
        <v>0</v>
      </c>
      <c r="Y43" s="26">
        <v>0</v>
      </c>
      <c r="Z43" s="27">
        <v>0</v>
      </c>
      <c r="AA43" s="379">
        <v>1</v>
      </c>
      <c r="AB43" s="158">
        <v>1</v>
      </c>
    </row>
    <row r="44" spans="1:28" x14ac:dyDescent="0.2">
      <c r="A44" s="117" t="s">
        <v>341</v>
      </c>
      <c r="B44" s="232">
        <v>0.875</v>
      </c>
      <c r="C44" s="379" t="str">
        <f t="shared" si="0"/>
        <v>21:00</v>
      </c>
      <c r="D44" s="10">
        <v>3</v>
      </c>
      <c r="E44" s="379">
        <f t="shared" si="1"/>
        <v>61</v>
      </c>
      <c r="F44" s="232">
        <v>0.375</v>
      </c>
      <c r="G44" s="406" t="str">
        <f t="shared" si="2"/>
        <v>9:00</v>
      </c>
      <c r="H44" s="10">
        <v>6</v>
      </c>
      <c r="I44" s="10">
        <v>2</v>
      </c>
      <c r="J44" s="10">
        <v>3</v>
      </c>
      <c r="K44" s="10">
        <v>2</v>
      </c>
      <c r="L44" s="10">
        <v>2</v>
      </c>
      <c r="M44" s="10">
        <v>1</v>
      </c>
      <c r="N44" s="10">
        <v>0</v>
      </c>
      <c r="O44" s="10">
        <v>0</v>
      </c>
      <c r="P44" s="10">
        <v>0</v>
      </c>
      <c r="Q44" s="10">
        <v>0</v>
      </c>
      <c r="R44" s="10">
        <v>1</v>
      </c>
      <c r="S44" s="26" t="s">
        <v>506</v>
      </c>
      <c r="T44" s="10" t="s">
        <v>11</v>
      </c>
      <c r="U44" s="379">
        <f t="shared" si="3"/>
        <v>0</v>
      </c>
      <c r="V44" s="379" t="str">
        <f t="shared" si="4"/>
        <v/>
      </c>
      <c r="W44" s="10">
        <v>1</v>
      </c>
      <c r="X44" s="10">
        <v>0</v>
      </c>
      <c r="Y44" s="10">
        <v>0</v>
      </c>
      <c r="Z44" s="198">
        <v>2</v>
      </c>
      <c r="AA44" s="379">
        <v>1</v>
      </c>
      <c r="AB44" s="158">
        <v>9</v>
      </c>
    </row>
    <row r="45" spans="1:28" x14ac:dyDescent="0.2">
      <c r="A45" s="117" t="s">
        <v>342</v>
      </c>
      <c r="B45" s="232">
        <v>0.95833333333333337</v>
      </c>
      <c r="C45" s="379" t="str">
        <f t="shared" si="0"/>
        <v>23:00</v>
      </c>
      <c r="D45" s="10">
        <v>2</v>
      </c>
      <c r="E45" s="379">
        <f t="shared" si="1"/>
        <v>60</v>
      </c>
      <c r="F45" s="232">
        <v>0.27083333333333331</v>
      </c>
      <c r="G45" s="406" t="str">
        <f t="shared" si="2"/>
        <v>6:30</v>
      </c>
      <c r="H45" s="10">
        <v>6.5</v>
      </c>
      <c r="I45" s="10">
        <v>1</v>
      </c>
      <c r="J45" s="10">
        <v>2</v>
      </c>
      <c r="K45" s="10">
        <v>2</v>
      </c>
      <c r="L45" s="10">
        <v>3</v>
      </c>
      <c r="M45" s="10">
        <v>0</v>
      </c>
      <c r="N45" s="10">
        <v>1</v>
      </c>
      <c r="O45" s="10">
        <v>0</v>
      </c>
      <c r="P45" s="10">
        <v>1</v>
      </c>
      <c r="Q45" s="10">
        <v>2</v>
      </c>
      <c r="R45" s="10">
        <v>0</v>
      </c>
      <c r="S45" s="26" t="s">
        <v>506</v>
      </c>
      <c r="T45" s="10" t="s">
        <v>11</v>
      </c>
      <c r="U45" s="379">
        <f t="shared" si="3"/>
        <v>0</v>
      </c>
      <c r="V45" s="379" t="str">
        <f t="shared" si="4"/>
        <v/>
      </c>
      <c r="W45" s="10">
        <v>1</v>
      </c>
      <c r="X45" s="10">
        <v>1</v>
      </c>
      <c r="Y45" s="10">
        <v>0</v>
      </c>
      <c r="Z45" s="198">
        <v>1</v>
      </c>
      <c r="AA45" s="379">
        <v>1</v>
      </c>
      <c r="AB45" s="158">
        <v>6</v>
      </c>
    </row>
    <row r="46" spans="1:28" x14ac:dyDescent="0.2">
      <c r="A46" s="117" t="s">
        <v>343</v>
      </c>
      <c r="B46" s="181">
        <v>0.45833333333333331</v>
      </c>
      <c r="C46" s="379" t="str">
        <f t="shared" si="0"/>
        <v>11:00</v>
      </c>
      <c r="D46" s="26">
        <v>0</v>
      </c>
      <c r="E46" s="379">
        <f t="shared" si="1"/>
        <v>15</v>
      </c>
      <c r="F46" s="181">
        <v>0.20833333333333334</v>
      </c>
      <c r="G46" s="406" t="str">
        <f t="shared" si="2"/>
        <v>5:00</v>
      </c>
      <c r="H46" s="26">
        <v>6</v>
      </c>
      <c r="I46" s="26">
        <v>1</v>
      </c>
      <c r="J46" s="26">
        <v>0</v>
      </c>
      <c r="K46" s="26">
        <v>0</v>
      </c>
      <c r="L46" s="26">
        <v>0</v>
      </c>
      <c r="M46" s="26">
        <v>0</v>
      </c>
      <c r="N46" s="26">
        <v>0</v>
      </c>
      <c r="O46" s="26">
        <v>0</v>
      </c>
      <c r="P46" s="26">
        <v>0</v>
      </c>
      <c r="Q46" s="26">
        <v>2</v>
      </c>
      <c r="R46" s="26">
        <v>3</v>
      </c>
      <c r="S46" s="26" t="s">
        <v>499</v>
      </c>
      <c r="T46" s="26" t="s">
        <v>11</v>
      </c>
      <c r="U46" s="379">
        <f t="shared" si="3"/>
        <v>0</v>
      </c>
      <c r="V46" s="379" t="str">
        <f t="shared" si="4"/>
        <v/>
      </c>
      <c r="W46" s="26">
        <v>0</v>
      </c>
      <c r="X46" s="26">
        <v>0</v>
      </c>
      <c r="Y46" s="26">
        <v>0</v>
      </c>
      <c r="Z46" s="27">
        <v>0</v>
      </c>
      <c r="AA46" s="379">
        <v>1</v>
      </c>
      <c r="AB46" s="28">
        <v>2</v>
      </c>
    </row>
    <row r="47" spans="1:28" x14ac:dyDescent="0.2">
      <c r="A47" s="117" t="s">
        <v>344</v>
      </c>
      <c r="B47" s="232">
        <v>0.91666666666666663</v>
      </c>
      <c r="C47" s="379" t="str">
        <f t="shared" si="0"/>
        <v>22:00</v>
      </c>
      <c r="D47" s="10">
        <v>1</v>
      </c>
      <c r="E47" s="379">
        <f t="shared" si="1"/>
        <v>30</v>
      </c>
      <c r="F47" s="232">
        <v>0.33333333333333331</v>
      </c>
      <c r="G47" s="406" t="str">
        <f t="shared" si="2"/>
        <v>8:00</v>
      </c>
      <c r="H47" s="10">
        <v>8</v>
      </c>
      <c r="I47" s="10">
        <v>0</v>
      </c>
      <c r="J47" s="10">
        <v>1</v>
      </c>
      <c r="K47" s="10">
        <v>2</v>
      </c>
      <c r="L47" s="10">
        <v>2</v>
      </c>
      <c r="M47" s="10">
        <v>0</v>
      </c>
      <c r="N47" s="10">
        <v>0</v>
      </c>
      <c r="O47" s="10">
        <v>0</v>
      </c>
      <c r="P47" s="10">
        <v>1</v>
      </c>
      <c r="Q47" s="10">
        <v>2</v>
      </c>
      <c r="R47" s="10">
        <v>3</v>
      </c>
      <c r="S47" s="26" t="s">
        <v>506</v>
      </c>
      <c r="T47" s="10" t="s">
        <v>11</v>
      </c>
      <c r="U47" s="379">
        <f t="shared" si="3"/>
        <v>0</v>
      </c>
      <c r="V47" s="379" t="str">
        <f t="shared" si="4"/>
        <v/>
      </c>
      <c r="W47" s="10">
        <v>1</v>
      </c>
      <c r="X47" s="10">
        <v>0</v>
      </c>
      <c r="Y47" s="10">
        <v>0</v>
      </c>
      <c r="Z47" s="198">
        <v>1</v>
      </c>
      <c r="AA47" s="379">
        <v>1</v>
      </c>
      <c r="AB47" s="158">
        <v>5</v>
      </c>
    </row>
    <row r="48" spans="1:28" x14ac:dyDescent="0.2">
      <c r="A48" s="119" t="s">
        <v>345</v>
      </c>
      <c r="B48" s="10">
        <v>23</v>
      </c>
      <c r="C48" s="379" t="str">
        <f t="shared" si="0"/>
        <v>23:00</v>
      </c>
      <c r="D48" s="116">
        <v>0</v>
      </c>
      <c r="E48" s="379">
        <f t="shared" si="1"/>
        <v>15</v>
      </c>
      <c r="F48" s="232">
        <v>0.3125</v>
      </c>
      <c r="G48" s="406" t="str">
        <f t="shared" si="2"/>
        <v>7:30</v>
      </c>
      <c r="H48" s="26">
        <v>7</v>
      </c>
      <c r="I48" s="26">
        <v>1</v>
      </c>
      <c r="J48" s="26">
        <v>0</v>
      </c>
      <c r="K48" s="26">
        <v>0</v>
      </c>
      <c r="L48" s="26">
        <v>2</v>
      </c>
      <c r="M48" s="26">
        <v>0</v>
      </c>
      <c r="N48" s="26">
        <v>0</v>
      </c>
      <c r="O48" s="26">
        <v>2</v>
      </c>
      <c r="P48" s="26">
        <v>1</v>
      </c>
      <c r="Q48" s="26">
        <v>0</v>
      </c>
      <c r="R48" s="26">
        <v>0</v>
      </c>
      <c r="S48" s="26" t="s">
        <v>512</v>
      </c>
      <c r="T48" s="197" t="s">
        <v>11</v>
      </c>
      <c r="U48" s="379">
        <f t="shared" si="3"/>
        <v>0</v>
      </c>
      <c r="V48" s="379" t="str">
        <f t="shared" si="4"/>
        <v/>
      </c>
      <c r="W48" s="411">
        <v>1</v>
      </c>
      <c r="X48" s="10">
        <v>3</v>
      </c>
      <c r="Y48" s="10">
        <v>0</v>
      </c>
      <c r="Z48" s="198">
        <v>0</v>
      </c>
      <c r="AA48" s="379">
        <v>1</v>
      </c>
      <c r="AB48" s="158">
        <v>15</v>
      </c>
    </row>
    <row r="49" spans="1:28" x14ac:dyDescent="0.2">
      <c r="A49" s="119" t="s">
        <v>346</v>
      </c>
      <c r="B49" s="232">
        <v>0.85416666666666663</v>
      </c>
      <c r="C49" s="379" t="str">
        <f t="shared" si="0"/>
        <v>20:30</v>
      </c>
      <c r="D49" s="121">
        <v>0</v>
      </c>
      <c r="E49" s="379">
        <f t="shared" si="1"/>
        <v>15</v>
      </c>
      <c r="F49" s="191">
        <v>0.27083333333333331</v>
      </c>
      <c r="G49" s="406" t="str">
        <f t="shared" si="2"/>
        <v>6:30</v>
      </c>
      <c r="H49" s="122">
        <v>7</v>
      </c>
      <c r="I49" s="122">
        <v>1</v>
      </c>
      <c r="J49" s="122">
        <v>0</v>
      </c>
      <c r="K49" s="122">
        <v>3</v>
      </c>
      <c r="L49" s="122">
        <v>3</v>
      </c>
      <c r="M49" s="122">
        <v>2</v>
      </c>
      <c r="N49" s="122">
        <v>0</v>
      </c>
      <c r="O49" s="122">
        <v>0</v>
      </c>
      <c r="P49" s="122">
        <v>3</v>
      </c>
      <c r="Q49" s="122">
        <v>0</v>
      </c>
      <c r="R49" s="122">
        <v>3</v>
      </c>
      <c r="S49" s="122" t="s">
        <v>512</v>
      </c>
      <c r="T49" s="197" t="s">
        <v>11</v>
      </c>
      <c r="U49" s="379">
        <f t="shared" si="3"/>
        <v>0</v>
      </c>
      <c r="V49" s="379" t="str">
        <f t="shared" si="4"/>
        <v/>
      </c>
      <c r="W49" s="10">
        <v>1</v>
      </c>
      <c r="X49" s="10">
        <v>3</v>
      </c>
      <c r="Y49" s="10">
        <v>0</v>
      </c>
      <c r="Z49" s="198">
        <v>1</v>
      </c>
      <c r="AA49" s="379">
        <v>1</v>
      </c>
      <c r="AB49" s="158">
        <v>7</v>
      </c>
    </row>
    <row r="50" spans="1:28" s="33" customFormat="1" x14ac:dyDescent="0.2">
      <c r="A50" s="112" t="s">
        <v>347</v>
      </c>
      <c r="B50" s="26">
        <v>0</v>
      </c>
      <c r="C50" s="379" t="str">
        <f t="shared" si="0"/>
        <v>0:00</v>
      </c>
      <c r="D50" s="26">
        <v>1</v>
      </c>
      <c r="E50" s="379">
        <f t="shared" si="1"/>
        <v>30</v>
      </c>
      <c r="F50" s="181">
        <v>0.25</v>
      </c>
      <c r="G50" s="406" t="str">
        <f t="shared" si="2"/>
        <v>6:00</v>
      </c>
      <c r="H50" s="26">
        <v>5</v>
      </c>
      <c r="I50" s="26">
        <v>2</v>
      </c>
      <c r="J50" s="26">
        <v>1</v>
      </c>
      <c r="K50" s="26">
        <v>0</v>
      </c>
      <c r="L50" s="26">
        <v>3</v>
      </c>
      <c r="M50" s="26">
        <v>1</v>
      </c>
      <c r="N50" s="26">
        <v>1</v>
      </c>
      <c r="O50" s="26">
        <v>0</v>
      </c>
      <c r="P50" s="26">
        <v>0</v>
      </c>
      <c r="Q50" s="26">
        <v>1</v>
      </c>
      <c r="R50" s="26">
        <v>0</v>
      </c>
      <c r="S50" s="26" t="s">
        <v>493</v>
      </c>
      <c r="T50" s="26" t="s">
        <v>491</v>
      </c>
      <c r="U50" s="379">
        <f t="shared" si="3"/>
        <v>0</v>
      </c>
      <c r="V50" s="379" t="str">
        <f t="shared" si="4"/>
        <v/>
      </c>
      <c r="W50" s="26">
        <v>1</v>
      </c>
      <c r="X50" s="26">
        <v>3</v>
      </c>
      <c r="Y50" s="26">
        <v>0</v>
      </c>
      <c r="Z50" s="27">
        <v>0</v>
      </c>
      <c r="AA50" s="379">
        <v>1</v>
      </c>
      <c r="AB50" s="28">
        <v>7</v>
      </c>
    </row>
    <row r="51" spans="1:28" s="33" customFormat="1" x14ac:dyDescent="0.2">
      <c r="A51" s="112" t="s">
        <v>348</v>
      </c>
      <c r="B51" s="26">
        <v>21</v>
      </c>
      <c r="C51" s="379" t="str">
        <f t="shared" si="0"/>
        <v>21:00</v>
      </c>
      <c r="D51" s="26">
        <v>0</v>
      </c>
      <c r="E51" s="379">
        <f t="shared" si="1"/>
        <v>15</v>
      </c>
      <c r="F51" s="181">
        <v>0.25</v>
      </c>
      <c r="G51" s="406" t="str">
        <f t="shared" si="2"/>
        <v>6:00</v>
      </c>
      <c r="H51" s="26">
        <v>9</v>
      </c>
      <c r="I51" s="26">
        <v>0</v>
      </c>
      <c r="J51" s="26">
        <v>0</v>
      </c>
      <c r="K51" s="26">
        <v>0</v>
      </c>
      <c r="L51" s="26">
        <v>3</v>
      </c>
      <c r="M51" s="26">
        <v>0</v>
      </c>
      <c r="N51" s="26">
        <v>0</v>
      </c>
      <c r="O51" s="26">
        <v>0</v>
      </c>
      <c r="P51" s="26">
        <v>3</v>
      </c>
      <c r="Q51" s="26">
        <v>0</v>
      </c>
      <c r="R51" s="26">
        <v>3</v>
      </c>
      <c r="S51" s="26" t="s">
        <v>493</v>
      </c>
      <c r="T51" s="26" t="s">
        <v>495</v>
      </c>
      <c r="U51" s="379">
        <f t="shared" si="3"/>
        <v>0</v>
      </c>
      <c r="V51" s="379" t="str">
        <f t="shared" si="4"/>
        <v/>
      </c>
      <c r="W51" s="26">
        <v>1</v>
      </c>
      <c r="X51" s="26">
        <v>0</v>
      </c>
      <c r="Y51" s="26">
        <v>3</v>
      </c>
      <c r="Z51" s="27">
        <v>1</v>
      </c>
      <c r="AA51" s="379">
        <v>1</v>
      </c>
      <c r="AB51" s="231">
        <v>5</v>
      </c>
    </row>
    <row r="52" spans="1:28" s="33" customFormat="1" x14ac:dyDescent="0.2">
      <c r="A52" s="112" t="s">
        <v>349</v>
      </c>
      <c r="B52" s="26">
        <v>22</v>
      </c>
      <c r="C52" s="379" t="str">
        <f t="shared" si="0"/>
        <v>22:00</v>
      </c>
      <c r="D52" s="26">
        <v>0</v>
      </c>
      <c r="E52" s="379">
        <f t="shared" si="1"/>
        <v>15</v>
      </c>
      <c r="F52" s="181">
        <v>0.25</v>
      </c>
      <c r="G52" s="406" t="str">
        <f t="shared" si="2"/>
        <v>6:00</v>
      </c>
      <c r="H52" s="26">
        <v>6</v>
      </c>
      <c r="I52" s="26">
        <v>1</v>
      </c>
      <c r="J52" s="26">
        <v>0</v>
      </c>
      <c r="K52" s="26">
        <v>3</v>
      </c>
      <c r="L52" s="26">
        <v>3</v>
      </c>
      <c r="M52" s="26">
        <v>0</v>
      </c>
      <c r="N52" s="26">
        <v>0</v>
      </c>
      <c r="O52" s="26">
        <v>0</v>
      </c>
      <c r="P52" s="26">
        <v>0</v>
      </c>
      <c r="Q52" s="26">
        <v>0</v>
      </c>
      <c r="R52" s="26">
        <v>3</v>
      </c>
      <c r="S52" s="26" t="s">
        <v>494</v>
      </c>
      <c r="T52" s="26" t="s">
        <v>507</v>
      </c>
      <c r="U52" s="379">
        <f t="shared" si="3"/>
        <v>1</v>
      </c>
      <c r="V52" s="379" t="str">
        <f t="shared" si="4"/>
        <v>personal problems</v>
      </c>
      <c r="W52" s="26">
        <v>1</v>
      </c>
      <c r="X52" s="26">
        <v>0</v>
      </c>
      <c r="Y52" s="26">
        <v>0</v>
      </c>
      <c r="Z52" s="27">
        <v>1</v>
      </c>
      <c r="AA52" s="379">
        <v>1</v>
      </c>
      <c r="AB52" s="231">
        <v>5</v>
      </c>
    </row>
    <row r="53" spans="1:28" s="33" customFormat="1" x14ac:dyDescent="0.2">
      <c r="A53" s="112" t="s">
        <v>350</v>
      </c>
      <c r="B53" s="26">
        <v>21</v>
      </c>
      <c r="C53" s="379" t="str">
        <f t="shared" si="0"/>
        <v>21:00</v>
      </c>
      <c r="D53" s="26">
        <v>1</v>
      </c>
      <c r="E53" s="379">
        <f t="shared" si="1"/>
        <v>30</v>
      </c>
      <c r="F53" s="181">
        <v>0.30208333333333331</v>
      </c>
      <c r="G53" s="406" t="str">
        <f t="shared" si="2"/>
        <v>7:15</v>
      </c>
      <c r="H53" s="26">
        <v>6</v>
      </c>
      <c r="I53" s="26">
        <v>1</v>
      </c>
      <c r="J53" s="26">
        <v>1</v>
      </c>
      <c r="K53" s="26">
        <v>0</v>
      </c>
      <c r="L53" s="26">
        <v>3</v>
      </c>
      <c r="M53" s="26">
        <v>3</v>
      </c>
      <c r="N53" s="26">
        <v>3</v>
      </c>
      <c r="O53" s="26">
        <v>0</v>
      </c>
      <c r="P53" s="26">
        <v>3</v>
      </c>
      <c r="Q53" s="26">
        <v>0</v>
      </c>
      <c r="R53" s="26">
        <v>3</v>
      </c>
      <c r="S53" s="26" t="s">
        <v>499</v>
      </c>
      <c r="T53" s="26" t="s">
        <v>11</v>
      </c>
      <c r="U53" s="379">
        <f t="shared" si="3"/>
        <v>0</v>
      </c>
      <c r="V53" s="379" t="str">
        <f t="shared" si="4"/>
        <v/>
      </c>
      <c r="W53" s="26">
        <v>1</v>
      </c>
      <c r="X53" s="26">
        <v>0</v>
      </c>
      <c r="Y53" s="26">
        <v>0</v>
      </c>
      <c r="Z53" s="27">
        <v>1</v>
      </c>
      <c r="AA53" s="379">
        <v>1</v>
      </c>
      <c r="AB53" s="231">
        <v>6</v>
      </c>
    </row>
    <row r="54" spans="1:28" s="33" customFormat="1" x14ac:dyDescent="0.2">
      <c r="A54" s="112" t="s">
        <v>351</v>
      </c>
      <c r="B54" s="26">
        <v>22</v>
      </c>
      <c r="C54" s="379" t="str">
        <f t="shared" si="0"/>
        <v>22:00</v>
      </c>
      <c r="D54" s="26">
        <v>2</v>
      </c>
      <c r="E54" s="379">
        <f t="shared" si="1"/>
        <v>60</v>
      </c>
      <c r="F54" s="181">
        <v>0.29166666666666669</v>
      </c>
      <c r="G54" s="406" t="str">
        <f t="shared" si="2"/>
        <v>7:00</v>
      </c>
      <c r="H54" s="26">
        <v>6</v>
      </c>
      <c r="I54" s="26">
        <v>2</v>
      </c>
      <c r="J54" s="26">
        <v>3</v>
      </c>
      <c r="K54" s="26">
        <v>3</v>
      </c>
      <c r="L54" s="26">
        <v>3</v>
      </c>
      <c r="M54" s="26">
        <v>0</v>
      </c>
      <c r="N54" s="26">
        <v>1</v>
      </c>
      <c r="O54" s="26">
        <v>0</v>
      </c>
      <c r="P54" s="26">
        <v>2</v>
      </c>
      <c r="Q54" s="26">
        <v>0</v>
      </c>
      <c r="R54" s="26">
        <v>3</v>
      </c>
      <c r="S54" s="26" t="s">
        <v>494</v>
      </c>
      <c r="T54" s="26" t="s">
        <v>514</v>
      </c>
      <c r="U54" s="379">
        <f t="shared" si="3"/>
        <v>1</v>
      </c>
      <c r="V54" s="379" t="str">
        <f t="shared" si="4"/>
        <v>uncomfortable bed</v>
      </c>
      <c r="W54" s="26">
        <v>2</v>
      </c>
      <c r="X54" s="26">
        <v>3</v>
      </c>
      <c r="Y54" s="26">
        <v>1</v>
      </c>
      <c r="Z54" s="27">
        <v>3</v>
      </c>
      <c r="AA54" s="379">
        <v>1</v>
      </c>
      <c r="AB54" s="231">
        <v>14</v>
      </c>
    </row>
    <row r="55" spans="1:28" s="33" customFormat="1" x14ac:dyDescent="0.2">
      <c r="A55" s="112" t="s">
        <v>352</v>
      </c>
      <c r="B55" s="26">
        <v>23</v>
      </c>
      <c r="C55" s="379" t="str">
        <f t="shared" si="0"/>
        <v>23:00</v>
      </c>
      <c r="D55" s="26">
        <v>0</v>
      </c>
      <c r="E55" s="379">
        <f t="shared" si="1"/>
        <v>15</v>
      </c>
      <c r="F55" s="181">
        <v>0.29166666666666669</v>
      </c>
      <c r="G55" s="406" t="str">
        <f t="shared" si="2"/>
        <v>7:00</v>
      </c>
      <c r="H55" s="26">
        <v>5</v>
      </c>
      <c r="I55" s="26">
        <v>2</v>
      </c>
      <c r="J55" s="26">
        <v>2</v>
      </c>
      <c r="K55" s="26">
        <v>2</v>
      </c>
      <c r="L55" s="26">
        <v>0</v>
      </c>
      <c r="M55" s="26">
        <v>0</v>
      </c>
      <c r="N55" s="26">
        <v>1</v>
      </c>
      <c r="O55" s="26">
        <v>0</v>
      </c>
      <c r="P55" s="26">
        <v>3</v>
      </c>
      <c r="Q55" s="26">
        <v>0</v>
      </c>
      <c r="R55" s="26">
        <v>0</v>
      </c>
      <c r="S55" s="26" t="s">
        <v>494</v>
      </c>
      <c r="T55" s="26" t="s">
        <v>515</v>
      </c>
      <c r="U55" s="379">
        <f t="shared" si="3"/>
        <v>1</v>
      </c>
      <c r="V55" s="379" t="str">
        <f t="shared" si="4"/>
        <v>noise</v>
      </c>
      <c r="W55" s="26">
        <v>2</v>
      </c>
      <c r="X55" s="26">
        <v>0</v>
      </c>
      <c r="Y55" s="26">
        <v>0</v>
      </c>
      <c r="Z55" s="27">
        <v>0</v>
      </c>
      <c r="AA55" s="379">
        <v>1</v>
      </c>
      <c r="AB55" s="231">
        <v>6</v>
      </c>
    </row>
    <row r="56" spans="1:28" s="33" customFormat="1" x14ac:dyDescent="0.2">
      <c r="A56" s="112" t="s">
        <v>353</v>
      </c>
      <c r="B56" s="26">
        <v>22</v>
      </c>
      <c r="C56" s="379" t="str">
        <f t="shared" si="0"/>
        <v>22:00</v>
      </c>
      <c r="D56" s="26">
        <v>0</v>
      </c>
      <c r="E56" s="379">
        <f t="shared" si="1"/>
        <v>15</v>
      </c>
      <c r="F56" s="181">
        <v>0.29166666666666669</v>
      </c>
      <c r="G56" s="406" t="str">
        <f t="shared" si="2"/>
        <v>7:00</v>
      </c>
      <c r="H56" s="26">
        <v>5</v>
      </c>
      <c r="I56" s="26">
        <v>2</v>
      </c>
      <c r="J56" s="26">
        <v>0</v>
      </c>
      <c r="K56" s="26">
        <v>3</v>
      </c>
      <c r="L56" s="26">
        <v>0</v>
      </c>
      <c r="M56" s="26">
        <v>1</v>
      </c>
      <c r="N56" s="26">
        <v>0</v>
      </c>
      <c r="O56" s="26">
        <v>0</v>
      </c>
      <c r="P56" s="26">
        <v>1</v>
      </c>
      <c r="Q56" s="26">
        <v>0</v>
      </c>
      <c r="R56" s="26">
        <v>0</v>
      </c>
      <c r="S56" s="26" t="s">
        <v>499</v>
      </c>
      <c r="T56" s="26" t="s">
        <v>11</v>
      </c>
      <c r="U56" s="379">
        <f t="shared" si="3"/>
        <v>0</v>
      </c>
      <c r="V56" s="379" t="str">
        <f t="shared" si="4"/>
        <v/>
      </c>
      <c r="W56" s="26">
        <v>1</v>
      </c>
      <c r="X56" s="26">
        <v>0</v>
      </c>
      <c r="Y56" s="26">
        <v>0</v>
      </c>
      <c r="Z56" s="27">
        <v>0</v>
      </c>
      <c r="AA56" s="379">
        <v>1</v>
      </c>
      <c r="AB56" s="231">
        <v>4</v>
      </c>
    </row>
    <row r="57" spans="1:28" s="33" customFormat="1" x14ac:dyDescent="0.2">
      <c r="A57" s="112" t="s">
        <v>354</v>
      </c>
      <c r="B57" s="26">
        <v>23</v>
      </c>
      <c r="C57" s="379" t="str">
        <f t="shared" si="0"/>
        <v>23:00</v>
      </c>
      <c r="D57" s="26">
        <v>0</v>
      </c>
      <c r="E57" s="379">
        <f t="shared" si="1"/>
        <v>15</v>
      </c>
      <c r="F57" s="181">
        <v>0.25</v>
      </c>
      <c r="G57" s="406" t="str">
        <f t="shared" si="2"/>
        <v>6:00</v>
      </c>
      <c r="H57" s="26">
        <v>6</v>
      </c>
      <c r="I57" s="26">
        <v>2</v>
      </c>
      <c r="J57" s="26">
        <v>0</v>
      </c>
      <c r="K57" s="26">
        <v>1</v>
      </c>
      <c r="L57" s="26">
        <v>1</v>
      </c>
      <c r="M57" s="26">
        <v>0</v>
      </c>
      <c r="N57" s="26">
        <v>0</v>
      </c>
      <c r="O57" s="26">
        <v>0</v>
      </c>
      <c r="P57" s="26">
        <v>0</v>
      </c>
      <c r="Q57" s="26">
        <v>0</v>
      </c>
      <c r="R57" s="26">
        <v>3</v>
      </c>
      <c r="S57" s="26" t="s">
        <v>512</v>
      </c>
      <c r="T57" s="26" t="s">
        <v>11</v>
      </c>
      <c r="U57" s="379">
        <f t="shared" si="3"/>
        <v>0</v>
      </c>
      <c r="V57" s="379" t="str">
        <f t="shared" si="4"/>
        <v/>
      </c>
      <c r="W57" s="26">
        <v>1</v>
      </c>
      <c r="X57" s="26">
        <v>0</v>
      </c>
      <c r="Y57" s="26">
        <v>0</v>
      </c>
      <c r="Z57" s="27">
        <v>0</v>
      </c>
      <c r="AA57" s="379">
        <v>1</v>
      </c>
      <c r="AB57" s="231">
        <v>4</v>
      </c>
    </row>
    <row r="58" spans="1:28" s="33" customFormat="1" x14ac:dyDescent="0.2">
      <c r="A58" s="112" t="s">
        <v>355</v>
      </c>
      <c r="B58" s="26">
        <v>21</v>
      </c>
      <c r="C58" s="379" t="str">
        <f t="shared" si="0"/>
        <v>21:00</v>
      </c>
      <c r="D58" s="26">
        <v>3</v>
      </c>
      <c r="E58" s="379">
        <f t="shared" si="1"/>
        <v>61</v>
      </c>
      <c r="F58" s="181">
        <v>0.25</v>
      </c>
      <c r="G58" s="406" t="str">
        <f t="shared" si="2"/>
        <v>6:00</v>
      </c>
      <c r="H58" s="26">
        <v>8</v>
      </c>
      <c r="I58" s="26">
        <v>0</v>
      </c>
      <c r="J58" s="26">
        <v>0</v>
      </c>
      <c r="K58" s="26">
        <v>0</v>
      </c>
      <c r="L58" s="26">
        <v>3</v>
      </c>
      <c r="M58" s="26">
        <v>0</v>
      </c>
      <c r="N58" s="26">
        <v>0</v>
      </c>
      <c r="O58" s="26">
        <v>0</v>
      </c>
      <c r="P58" s="26">
        <v>0</v>
      </c>
      <c r="Q58" s="26">
        <v>0</v>
      </c>
      <c r="R58" s="26">
        <v>0</v>
      </c>
      <c r="S58" s="26" t="s">
        <v>512</v>
      </c>
      <c r="T58" s="26" t="s">
        <v>11</v>
      </c>
      <c r="U58" s="379">
        <f t="shared" si="3"/>
        <v>0</v>
      </c>
      <c r="V58" s="379" t="str">
        <f t="shared" si="4"/>
        <v/>
      </c>
      <c r="W58" s="26">
        <v>0</v>
      </c>
      <c r="X58" s="26">
        <v>0</v>
      </c>
      <c r="Y58" s="26">
        <v>0</v>
      </c>
      <c r="Z58" s="27">
        <v>0</v>
      </c>
      <c r="AA58" s="379">
        <v>1</v>
      </c>
      <c r="AB58" s="231">
        <v>3</v>
      </c>
    </row>
    <row r="59" spans="1:28" s="33" customFormat="1" x14ac:dyDescent="0.2">
      <c r="A59" s="112" t="s">
        <v>356</v>
      </c>
      <c r="B59" s="26">
        <v>23</v>
      </c>
      <c r="C59" s="379" t="str">
        <f t="shared" si="0"/>
        <v>23:00</v>
      </c>
      <c r="D59" s="26">
        <v>0</v>
      </c>
      <c r="E59" s="379">
        <f t="shared" si="1"/>
        <v>15</v>
      </c>
      <c r="F59" s="181">
        <v>0.25</v>
      </c>
      <c r="G59" s="406" t="str">
        <f t="shared" si="2"/>
        <v>6:00</v>
      </c>
      <c r="H59" s="26">
        <v>6</v>
      </c>
      <c r="I59" s="26">
        <v>2</v>
      </c>
      <c r="J59" s="26">
        <v>1</v>
      </c>
      <c r="K59" s="26">
        <v>1</v>
      </c>
      <c r="L59" s="26">
        <v>0</v>
      </c>
      <c r="M59" s="26">
        <v>0</v>
      </c>
      <c r="N59" s="26">
        <v>0</v>
      </c>
      <c r="O59" s="26">
        <v>0</v>
      </c>
      <c r="P59" s="26">
        <v>0</v>
      </c>
      <c r="Q59" s="26">
        <v>0</v>
      </c>
      <c r="R59" s="26">
        <v>0</v>
      </c>
      <c r="S59" s="26" t="s">
        <v>499</v>
      </c>
      <c r="T59" s="26" t="s">
        <v>491</v>
      </c>
      <c r="U59" s="379">
        <f t="shared" si="3"/>
        <v>0</v>
      </c>
      <c r="V59" s="379" t="str">
        <f t="shared" si="4"/>
        <v/>
      </c>
      <c r="W59" s="26">
        <v>1</v>
      </c>
      <c r="X59" s="26">
        <v>0</v>
      </c>
      <c r="Y59" s="26">
        <v>0</v>
      </c>
      <c r="Z59" s="27">
        <v>1</v>
      </c>
      <c r="AA59" s="379">
        <v>1</v>
      </c>
      <c r="AB59" s="231">
        <v>6</v>
      </c>
    </row>
    <row r="60" spans="1:28" s="33" customFormat="1" x14ac:dyDescent="0.2">
      <c r="A60" s="112" t="s">
        <v>357</v>
      </c>
      <c r="B60" s="181">
        <v>0.9375</v>
      </c>
      <c r="C60" s="379" t="str">
        <f t="shared" si="0"/>
        <v>22:30</v>
      </c>
      <c r="D60" s="26">
        <v>1</v>
      </c>
      <c r="E60" s="379">
        <f t="shared" si="1"/>
        <v>30</v>
      </c>
      <c r="F60" s="181">
        <v>0.3125</v>
      </c>
      <c r="G60" s="406" t="str">
        <f t="shared" si="2"/>
        <v>7:30</v>
      </c>
      <c r="H60" s="26">
        <v>6</v>
      </c>
      <c r="I60" s="26">
        <v>2</v>
      </c>
      <c r="J60" s="26">
        <v>0</v>
      </c>
      <c r="K60" s="26">
        <v>3</v>
      </c>
      <c r="L60" s="26">
        <v>2</v>
      </c>
      <c r="M60" s="26">
        <v>0</v>
      </c>
      <c r="N60" s="26">
        <v>1</v>
      </c>
      <c r="O60" s="26">
        <v>0</v>
      </c>
      <c r="P60" s="26">
        <v>1</v>
      </c>
      <c r="Q60" s="26">
        <v>0</v>
      </c>
      <c r="R60" s="26">
        <v>0</v>
      </c>
      <c r="S60" s="26" t="s">
        <v>499</v>
      </c>
      <c r="T60" s="26" t="s">
        <v>491</v>
      </c>
      <c r="U60" s="379">
        <f t="shared" si="3"/>
        <v>0</v>
      </c>
      <c r="V60" s="379" t="str">
        <f t="shared" si="4"/>
        <v/>
      </c>
      <c r="W60" s="26">
        <v>2</v>
      </c>
      <c r="X60" s="26">
        <v>3</v>
      </c>
      <c r="Y60" s="26">
        <v>0</v>
      </c>
      <c r="Z60" s="27">
        <v>1</v>
      </c>
      <c r="AA60" s="379">
        <v>1</v>
      </c>
      <c r="AB60" s="231">
        <v>10</v>
      </c>
    </row>
    <row r="61" spans="1:28" s="33" customFormat="1" x14ac:dyDescent="0.2">
      <c r="A61" s="112" t="s">
        <v>358</v>
      </c>
      <c r="B61" s="181">
        <v>0.91666666666666663</v>
      </c>
      <c r="C61" s="379" t="str">
        <f t="shared" si="0"/>
        <v>22:00</v>
      </c>
      <c r="D61" s="26">
        <v>1</v>
      </c>
      <c r="E61" s="379">
        <f t="shared" si="1"/>
        <v>30</v>
      </c>
      <c r="F61" s="181">
        <v>0.25</v>
      </c>
      <c r="G61" s="406" t="str">
        <f t="shared" si="2"/>
        <v>6:00</v>
      </c>
      <c r="H61" s="26">
        <v>6</v>
      </c>
      <c r="I61" s="26">
        <v>2</v>
      </c>
      <c r="J61" s="26">
        <v>0</v>
      </c>
      <c r="K61" s="26">
        <v>2</v>
      </c>
      <c r="L61" s="26">
        <v>3</v>
      </c>
      <c r="M61" s="26">
        <v>0</v>
      </c>
      <c r="N61" s="26">
        <v>1</v>
      </c>
      <c r="O61" s="26">
        <v>0</v>
      </c>
      <c r="P61" s="26">
        <v>1</v>
      </c>
      <c r="Q61" s="26">
        <v>2</v>
      </c>
      <c r="R61" s="26">
        <v>2</v>
      </c>
      <c r="S61" s="26" t="s">
        <v>494</v>
      </c>
      <c r="T61" s="26" t="s">
        <v>516</v>
      </c>
      <c r="U61" s="379">
        <f t="shared" si="3"/>
        <v>1</v>
      </c>
      <c r="V61" s="379" t="str">
        <f t="shared" si="4"/>
        <v>elicopter (air ambulance)</v>
      </c>
      <c r="W61" s="26">
        <v>1</v>
      </c>
      <c r="X61" s="26">
        <v>0</v>
      </c>
      <c r="Y61" s="26">
        <v>1</v>
      </c>
      <c r="Z61" s="27">
        <v>0</v>
      </c>
      <c r="AA61" s="379">
        <v>1</v>
      </c>
      <c r="AB61" s="231">
        <v>7</v>
      </c>
    </row>
    <row r="62" spans="1:28" s="33" customFormat="1" x14ac:dyDescent="0.2">
      <c r="A62" s="112" t="s">
        <v>359</v>
      </c>
      <c r="B62" s="181">
        <v>0.91666666666666663</v>
      </c>
      <c r="C62" s="379" t="str">
        <f t="shared" si="0"/>
        <v>22:00</v>
      </c>
      <c r="D62" s="26">
        <v>0</v>
      </c>
      <c r="E62" s="379">
        <f t="shared" si="1"/>
        <v>15</v>
      </c>
      <c r="F62" s="181">
        <v>0.29166666666666669</v>
      </c>
      <c r="G62" s="406" t="str">
        <f t="shared" si="2"/>
        <v>7:00</v>
      </c>
      <c r="H62" s="26">
        <v>3</v>
      </c>
      <c r="I62" s="26">
        <v>3</v>
      </c>
      <c r="J62" s="26">
        <v>3</v>
      </c>
      <c r="K62" s="26">
        <v>3</v>
      </c>
      <c r="L62" s="26">
        <v>3</v>
      </c>
      <c r="M62" s="26">
        <v>0</v>
      </c>
      <c r="N62" s="26">
        <v>3</v>
      </c>
      <c r="O62" s="26">
        <v>0</v>
      </c>
      <c r="P62" s="26">
        <v>0</v>
      </c>
      <c r="Q62" s="26">
        <v>0</v>
      </c>
      <c r="R62" s="26">
        <v>0</v>
      </c>
      <c r="S62" s="26" t="s">
        <v>499</v>
      </c>
      <c r="T62" s="26" t="s">
        <v>11</v>
      </c>
      <c r="U62" s="379">
        <f t="shared" si="3"/>
        <v>0</v>
      </c>
      <c r="V62" s="379" t="str">
        <f t="shared" si="4"/>
        <v/>
      </c>
      <c r="W62" s="26">
        <v>1</v>
      </c>
      <c r="X62" s="26">
        <v>3</v>
      </c>
      <c r="Y62" s="26">
        <v>2</v>
      </c>
      <c r="Z62" s="27">
        <v>0</v>
      </c>
      <c r="AA62" s="379">
        <v>1</v>
      </c>
      <c r="AB62" s="231">
        <v>8</v>
      </c>
    </row>
    <row r="63" spans="1:28" s="33" customFormat="1" x14ac:dyDescent="0.2">
      <c r="A63" s="112" t="s">
        <v>360</v>
      </c>
      <c r="B63" s="181">
        <v>0.8125</v>
      </c>
      <c r="C63" s="379" t="str">
        <f t="shared" si="0"/>
        <v>19:30</v>
      </c>
      <c r="D63" s="26">
        <v>3</v>
      </c>
      <c r="E63" s="379">
        <f t="shared" si="1"/>
        <v>61</v>
      </c>
      <c r="F63" s="181">
        <v>0.3125</v>
      </c>
      <c r="G63" s="406" t="str">
        <f t="shared" si="2"/>
        <v>7:30</v>
      </c>
      <c r="H63" s="26">
        <v>7</v>
      </c>
      <c r="I63" s="26">
        <v>1</v>
      </c>
      <c r="J63" s="26">
        <v>0</v>
      </c>
      <c r="K63" s="26">
        <v>2</v>
      </c>
      <c r="L63" s="26">
        <v>2</v>
      </c>
      <c r="M63" s="26">
        <v>0</v>
      </c>
      <c r="N63" s="26">
        <v>0</v>
      </c>
      <c r="O63" s="26">
        <v>0</v>
      </c>
      <c r="P63" s="26">
        <v>0</v>
      </c>
      <c r="Q63" s="26">
        <v>0</v>
      </c>
      <c r="R63" s="26">
        <v>3</v>
      </c>
      <c r="S63" s="26" t="s">
        <v>494</v>
      </c>
      <c r="T63" s="26" t="s">
        <v>517</v>
      </c>
      <c r="U63" s="379">
        <f t="shared" si="3"/>
        <v>1</v>
      </c>
      <c r="V63" s="379" t="str">
        <f t="shared" si="4"/>
        <v>shoulder pain</v>
      </c>
      <c r="W63" s="26">
        <v>1</v>
      </c>
      <c r="X63" s="26">
        <v>0</v>
      </c>
      <c r="Y63" s="26">
        <v>0</v>
      </c>
      <c r="Z63" s="27">
        <v>3</v>
      </c>
      <c r="AA63" s="379">
        <v>1</v>
      </c>
      <c r="AB63" s="231">
        <v>8</v>
      </c>
    </row>
    <row r="64" spans="1:28" s="33" customFormat="1" x14ac:dyDescent="0.2">
      <c r="A64" s="112" t="s">
        <v>361</v>
      </c>
      <c r="B64" s="181">
        <v>0.89583333333333337</v>
      </c>
      <c r="C64" s="379" t="str">
        <f t="shared" si="0"/>
        <v>21:30</v>
      </c>
      <c r="D64" s="26">
        <v>1</v>
      </c>
      <c r="E64" s="379">
        <f t="shared" si="1"/>
        <v>30</v>
      </c>
      <c r="F64" s="181">
        <v>0.25</v>
      </c>
      <c r="G64" s="406" t="str">
        <f t="shared" si="2"/>
        <v>6:00</v>
      </c>
      <c r="H64" s="26">
        <v>7</v>
      </c>
      <c r="I64" s="26">
        <v>1</v>
      </c>
      <c r="J64" s="26">
        <v>0</v>
      </c>
      <c r="K64" s="26">
        <v>1</v>
      </c>
      <c r="L64" s="26">
        <v>3</v>
      </c>
      <c r="M64" s="26">
        <v>2</v>
      </c>
      <c r="N64" s="26">
        <v>0</v>
      </c>
      <c r="O64" s="26">
        <v>0</v>
      </c>
      <c r="P64" s="26">
        <v>0</v>
      </c>
      <c r="Q64" s="26">
        <v>0</v>
      </c>
      <c r="R64" s="26">
        <v>0</v>
      </c>
      <c r="S64" s="26" t="s">
        <v>499</v>
      </c>
      <c r="T64" s="26" t="s">
        <v>11</v>
      </c>
      <c r="U64" s="379">
        <f t="shared" si="3"/>
        <v>0</v>
      </c>
      <c r="V64" s="379" t="str">
        <f t="shared" si="4"/>
        <v/>
      </c>
      <c r="W64" s="26">
        <v>1</v>
      </c>
      <c r="X64" s="26">
        <v>0</v>
      </c>
      <c r="Y64" s="26">
        <v>0</v>
      </c>
      <c r="Z64" s="27">
        <v>1</v>
      </c>
      <c r="AA64" s="379">
        <v>1</v>
      </c>
      <c r="AB64" s="231">
        <v>5</v>
      </c>
    </row>
    <row r="65" spans="1:28" s="33" customFormat="1" x14ac:dyDescent="0.2">
      <c r="A65" s="112" t="s">
        <v>362</v>
      </c>
      <c r="B65" s="181">
        <v>0.91666666666666663</v>
      </c>
      <c r="C65" s="379" t="str">
        <f t="shared" si="0"/>
        <v>22:00</v>
      </c>
      <c r="D65" s="26">
        <v>0</v>
      </c>
      <c r="E65" s="379">
        <f t="shared" si="1"/>
        <v>15</v>
      </c>
      <c r="F65" s="181">
        <v>0.29166666666666669</v>
      </c>
      <c r="G65" s="406" t="str">
        <f t="shared" si="2"/>
        <v>7:00</v>
      </c>
      <c r="H65" s="26">
        <v>7</v>
      </c>
      <c r="I65" s="26">
        <v>1</v>
      </c>
      <c r="J65" s="26">
        <v>1</v>
      </c>
      <c r="K65" s="26">
        <v>2</v>
      </c>
      <c r="L65" s="26">
        <v>2</v>
      </c>
      <c r="M65" s="26">
        <v>0</v>
      </c>
      <c r="N65" s="26">
        <v>0</v>
      </c>
      <c r="O65" s="26">
        <v>0</v>
      </c>
      <c r="P65" s="26">
        <v>1</v>
      </c>
      <c r="Q65" s="26">
        <v>1</v>
      </c>
      <c r="R65" s="26">
        <v>1</v>
      </c>
      <c r="S65" s="26" t="s">
        <v>499</v>
      </c>
      <c r="T65" s="26" t="s">
        <v>11</v>
      </c>
      <c r="U65" s="379">
        <f t="shared" si="3"/>
        <v>0</v>
      </c>
      <c r="V65" s="379" t="str">
        <f t="shared" si="4"/>
        <v/>
      </c>
      <c r="W65" s="26">
        <v>1</v>
      </c>
      <c r="X65" s="26">
        <v>3</v>
      </c>
      <c r="Y65" s="26">
        <v>0</v>
      </c>
      <c r="Z65" s="27">
        <v>1</v>
      </c>
      <c r="AA65" s="379">
        <v>1</v>
      </c>
      <c r="AB65" s="231">
        <v>7</v>
      </c>
    </row>
    <row r="66" spans="1:28" s="33" customFormat="1" x14ac:dyDescent="0.2">
      <c r="A66" s="112" t="s">
        <v>363</v>
      </c>
      <c r="B66" s="181">
        <v>0.89583333333333337</v>
      </c>
      <c r="C66" s="379" t="str">
        <f t="shared" si="0"/>
        <v>21:30</v>
      </c>
      <c r="D66" s="26">
        <v>0</v>
      </c>
      <c r="E66" s="379">
        <f t="shared" si="1"/>
        <v>15</v>
      </c>
      <c r="F66" s="181">
        <v>0.3125</v>
      </c>
      <c r="G66" s="406" t="str">
        <f t="shared" si="2"/>
        <v>7:30</v>
      </c>
      <c r="H66" s="26">
        <v>6</v>
      </c>
      <c r="I66" s="26">
        <v>2</v>
      </c>
      <c r="J66" s="26">
        <v>1</v>
      </c>
      <c r="K66" s="26">
        <v>3</v>
      </c>
      <c r="L66" s="26">
        <v>3</v>
      </c>
      <c r="M66" s="26">
        <v>0</v>
      </c>
      <c r="N66" s="26">
        <v>3</v>
      </c>
      <c r="O66" s="26">
        <v>0</v>
      </c>
      <c r="P66" s="26">
        <v>0</v>
      </c>
      <c r="Q66" s="26">
        <v>0</v>
      </c>
      <c r="R66" s="26">
        <v>0</v>
      </c>
      <c r="S66" s="26" t="s">
        <v>494</v>
      </c>
      <c r="T66" s="26" t="s">
        <v>518</v>
      </c>
      <c r="U66" s="379">
        <f t="shared" si="3"/>
        <v>1</v>
      </c>
      <c r="V66" s="379" t="str">
        <f t="shared" si="4"/>
        <v xml:space="preserve">heels pain </v>
      </c>
      <c r="W66" s="26">
        <v>1</v>
      </c>
      <c r="X66" s="26">
        <v>3</v>
      </c>
      <c r="Y66" s="26">
        <v>0</v>
      </c>
      <c r="Z66" s="27">
        <v>3</v>
      </c>
      <c r="AA66" s="379">
        <v>1</v>
      </c>
      <c r="AB66" s="231">
        <v>11</v>
      </c>
    </row>
    <row r="67" spans="1:28" s="33" customFormat="1" x14ac:dyDescent="0.2">
      <c r="A67" s="112" t="s">
        <v>364</v>
      </c>
      <c r="B67" s="181">
        <v>0.91666666666666663</v>
      </c>
      <c r="C67" s="379" t="str">
        <f t="shared" si="0"/>
        <v>22:00</v>
      </c>
      <c r="D67" s="26">
        <v>0</v>
      </c>
      <c r="E67" s="379">
        <f t="shared" si="1"/>
        <v>15</v>
      </c>
      <c r="F67" s="181">
        <v>0.33333333333333331</v>
      </c>
      <c r="G67" s="406" t="str">
        <f t="shared" si="2"/>
        <v>8:00</v>
      </c>
      <c r="H67" s="26">
        <v>8</v>
      </c>
      <c r="I67" s="26">
        <v>0</v>
      </c>
      <c r="J67" s="26">
        <v>0</v>
      </c>
      <c r="K67" s="26">
        <v>0</v>
      </c>
      <c r="L67" s="26">
        <v>1</v>
      </c>
      <c r="M67" s="26">
        <v>0</v>
      </c>
      <c r="N67" s="26">
        <v>0</v>
      </c>
      <c r="O67" s="26">
        <v>0</v>
      </c>
      <c r="P67" s="26">
        <v>0</v>
      </c>
      <c r="Q67" s="26">
        <v>0</v>
      </c>
      <c r="R67" s="26">
        <v>0</v>
      </c>
      <c r="S67" s="26" t="s">
        <v>499</v>
      </c>
      <c r="T67" s="26" t="s">
        <v>11</v>
      </c>
      <c r="U67" s="379">
        <f t="shared" si="3"/>
        <v>0</v>
      </c>
      <c r="V67" s="379" t="str">
        <f t="shared" si="4"/>
        <v/>
      </c>
      <c r="W67" s="26">
        <v>1</v>
      </c>
      <c r="X67" s="26">
        <v>0</v>
      </c>
      <c r="Y67" s="26">
        <v>1</v>
      </c>
      <c r="Z67" s="27">
        <v>1</v>
      </c>
      <c r="AA67" s="379">
        <v>1</v>
      </c>
      <c r="AB67" s="231">
        <v>4</v>
      </c>
    </row>
    <row r="68" spans="1:28" s="33" customFormat="1" x14ac:dyDescent="0.2">
      <c r="A68" s="112" t="s">
        <v>365</v>
      </c>
      <c r="B68" s="26">
        <v>21</v>
      </c>
      <c r="C68" s="379" t="str">
        <f t="shared" ref="C68:C131" si="5">IF(B68&lt;1,HOUR(B68)&amp;":"&amp;TEXT(MINUTE(B68),"00"),B68&amp;":00")</f>
        <v>21:00</v>
      </c>
      <c r="D68" s="26">
        <v>2</v>
      </c>
      <c r="E68" s="379">
        <f t="shared" ref="E68:E131" si="6">15*(D68=0)+30*(D68=1)+60*(D68=2)+61*(D68=3)</f>
        <v>60</v>
      </c>
      <c r="F68" s="181">
        <v>0.29166666666666669</v>
      </c>
      <c r="G68" s="406" t="str">
        <f t="shared" ref="G68:G131" si="7">HOUR(F68)&amp;":"&amp;TEXT(MINUTE(F68),"00")</f>
        <v>7:00</v>
      </c>
      <c r="H68" s="26">
        <v>8</v>
      </c>
      <c r="I68" s="26">
        <v>0</v>
      </c>
      <c r="J68" s="26">
        <v>2</v>
      </c>
      <c r="K68" s="26">
        <v>1</v>
      </c>
      <c r="L68" s="26">
        <v>0</v>
      </c>
      <c r="M68" s="26">
        <v>0</v>
      </c>
      <c r="N68" s="26">
        <v>0</v>
      </c>
      <c r="O68" s="26">
        <v>0</v>
      </c>
      <c r="P68" s="26">
        <v>0</v>
      </c>
      <c r="Q68" s="26">
        <v>0</v>
      </c>
      <c r="R68" s="26">
        <v>0</v>
      </c>
      <c r="S68" s="26" t="s">
        <v>494</v>
      </c>
      <c r="T68" s="26" t="s">
        <v>520</v>
      </c>
      <c r="U68" s="379">
        <f t="shared" ref="U68:U131" si="8">IF(S68="YES",1,0)</f>
        <v>1</v>
      </c>
      <c r="V68" s="379" t="str">
        <f t="shared" ref="V68:V131" si="9">IF(U68=1,T68,"")</f>
        <v>patient in te same room</v>
      </c>
      <c r="W68" s="26">
        <v>1</v>
      </c>
      <c r="X68" s="26">
        <v>1</v>
      </c>
      <c r="Y68" s="26">
        <v>0</v>
      </c>
      <c r="Z68" s="27">
        <v>2</v>
      </c>
      <c r="AA68" s="379">
        <v>1</v>
      </c>
      <c r="AB68" s="231">
        <v>7</v>
      </c>
    </row>
    <row r="69" spans="1:28" s="33" customFormat="1" x14ac:dyDescent="0.2">
      <c r="A69" s="112" t="s">
        <v>366</v>
      </c>
      <c r="B69" s="181">
        <v>0.95833333333333337</v>
      </c>
      <c r="C69" s="379" t="str">
        <f t="shared" si="5"/>
        <v>23:00</v>
      </c>
      <c r="D69" s="26">
        <v>1</v>
      </c>
      <c r="E69" s="379">
        <f t="shared" si="6"/>
        <v>30</v>
      </c>
      <c r="F69" s="181">
        <v>0.29166666666666669</v>
      </c>
      <c r="G69" s="406" t="str">
        <f t="shared" si="7"/>
        <v>7:00</v>
      </c>
      <c r="H69" s="26">
        <v>6</v>
      </c>
      <c r="I69" s="26">
        <v>2</v>
      </c>
      <c r="J69" s="26">
        <v>1</v>
      </c>
      <c r="K69" s="26">
        <v>2</v>
      </c>
      <c r="L69" s="26">
        <v>2</v>
      </c>
      <c r="M69" s="26">
        <v>0</v>
      </c>
      <c r="N69" s="26">
        <v>0</v>
      </c>
      <c r="O69" s="26">
        <v>0</v>
      </c>
      <c r="P69" s="26">
        <v>1</v>
      </c>
      <c r="Q69" s="26">
        <v>0</v>
      </c>
      <c r="R69" s="26">
        <v>1</v>
      </c>
      <c r="S69" s="26" t="s">
        <v>499</v>
      </c>
      <c r="T69" s="26" t="s">
        <v>495</v>
      </c>
      <c r="U69" s="379">
        <f t="shared" si="8"/>
        <v>0</v>
      </c>
      <c r="V69" s="379" t="str">
        <f t="shared" si="9"/>
        <v/>
      </c>
      <c r="W69" s="26">
        <v>2</v>
      </c>
      <c r="X69" s="26">
        <v>3</v>
      </c>
      <c r="Y69" s="26">
        <v>0</v>
      </c>
      <c r="Z69" s="27">
        <v>0</v>
      </c>
      <c r="AA69" s="379">
        <v>1</v>
      </c>
      <c r="AB69" s="231">
        <v>9</v>
      </c>
    </row>
    <row r="70" spans="1:28" s="33" customFormat="1" x14ac:dyDescent="0.2">
      <c r="A70" s="112" t="s">
        <v>367</v>
      </c>
      <c r="B70" s="26">
        <v>22</v>
      </c>
      <c r="C70" s="379" t="str">
        <f t="shared" si="5"/>
        <v>22:00</v>
      </c>
      <c r="D70" s="26">
        <v>0</v>
      </c>
      <c r="E70" s="379">
        <f t="shared" si="6"/>
        <v>15</v>
      </c>
      <c r="F70" s="181">
        <v>0.29166666666666669</v>
      </c>
      <c r="G70" s="406" t="str">
        <f t="shared" si="7"/>
        <v>7:00</v>
      </c>
      <c r="H70" s="26">
        <v>8</v>
      </c>
      <c r="I70" s="26">
        <v>0</v>
      </c>
      <c r="J70" s="26">
        <v>0</v>
      </c>
      <c r="K70" s="26">
        <v>1</v>
      </c>
      <c r="L70" s="26">
        <v>0</v>
      </c>
      <c r="M70" s="26">
        <v>1</v>
      </c>
      <c r="N70" s="26">
        <v>2</v>
      </c>
      <c r="O70" s="26">
        <v>1</v>
      </c>
      <c r="P70" s="26">
        <v>0</v>
      </c>
      <c r="Q70" s="26">
        <v>2</v>
      </c>
      <c r="R70" s="26">
        <v>2</v>
      </c>
      <c r="S70" s="26" t="s">
        <v>499</v>
      </c>
      <c r="T70" s="26" t="s">
        <v>11</v>
      </c>
      <c r="U70" s="379">
        <f t="shared" si="8"/>
        <v>0</v>
      </c>
      <c r="V70" s="379" t="str">
        <f t="shared" si="9"/>
        <v/>
      </c>
      <c r="W70" s="26">
        <v>1</v>
      </c>
      <c r="X70" s="26">
        <v>3</v>
      </c>
      <c r="Y70" s="26">
        <v>3</v>
      </c>
      <c r="Z70" s="27">
        <v>1</v>
      </c>
      <c r="AA70" s="379">
        <v>1</v>
      </c>
      <c r="AB70" s="231">
        <v>7</v>
      </c>
    </row>
    <row r="71" spans="1:28" s="33" customFormat="1" x14ac:dyDescent="0.2">
      <c r="A71" s="112" t="s">
        <v>368</v>
      </c>
      <c r="B71" s="26">
        <v>22</v>
      </c>
      <c r="C71" s="379" t="str">
        <f t="shared" si="5"/>
        <v>22:00</v>
      </c>
      <c r="D71" s="26">
        <v>0</v>
      </c>
      <c r="E71" s="379">
        <f t="shared" si="6"/>
        <v>15</v>
      </c>
      <c r="F71" s="181">
        <v>0.29166666666666669</v>
      </c>
      <c r="G71" s="406" t="str">
        <f t="shared" si="7"/>
        <v>7:00</v>
      </c>
      <c r="H71" s="26">
        <v>7</v>
      </c>
      <c r="I71" s="26">
        <v>1</v>
      </c>
      <c r="J71" s="26">
        <v>1</v>
      </c>
      <c r="K71" s="26">
        <v>1</v>
      </c>
      <c r="L71" s="26">
        <v>3</v>
      </c>
      <c r="M71" s="26">
        <v>0</v>
      </c>
      <c r="N71" s="26">
        <v>1</v>
      </c>
      <c r="O71" s="26">
        <v>0</v>
      </c>
      <c r="P71" s="26">
        <v>0</v>
      </c>
      <c r="Q71" s="26">
        <v>0</v>
      </c>
      <c r="R71" s="26">
        <v>3</v>
      </c>
      <c r="S71" s="26" t="s">
        <v>499</v>
      </c>
      <c r="T71" s="26" t="s">
        <v>11</v>
      </c>
      <c r="U71" s="379">
        <f t="shared" si="8"/>
        <v>0</v>
      </c>
      <c r="V71" s="379" t="str">
        <f t="shared" si="9"/>
        <v/>
      </c>
      <c r="W71" s="26">
        <v>1</v>
      </c>
      <c r="X71" s="26">
        <v>0</v>
      </c>
      <c r="Y71" s="26">
        <v>0</v>
      </c>
      <c r="Z71" s="27">
        <v>0</v>
      </c>
      <c r="AA71" s="379">
        <v>1</v>
      </c>
      <c r="AB71" s="231">
        <v>4</v>
      </c>
    </row>
    <row r="72" spans="1:28" s="33" customFormat="1" x14ac:dyDescent="0.2">
      <c r="A72" s="112" t="s">
        <v>369</v>
      </c>
      <c r="B72" s="26">
        <v>21</v>
      </c>
      <c r="C72" s="379" t="str">
        <f t="shared" si="5"/>
        <v>21:00</v>
      </c>
      <c r="D72" s="26">
        <v>2</v>
      </c>
      <c r="E72" s="379">
        <f t="shared" si="6"/>
        <v>60</v>
      </c>
      <c r="F72" s="181">
        <v>0.25</v>
      </c>
      <c r="G72" s="406" t="str">
        <f t="shared" si="7"/>
        <v>6:00</v>
      </c>
      <c r="H72" s="26">
        <v>4</v>
      </c>
      <c r="I72" s="26">
        <v>3</v>
      </c>
      <c r="J72" s="26">
        <v>0</v>
      </c>
      <c r="K72" s="26">
        <v>0</v>
      </c>
      <c r="L72" s="26">
        <v>0</v>
      </c>
      <c r="M72" s="26">
        <v>1</v>
      </c>
      <c r="N72" s="26">
        <v>0</v>
      </c>
      <c r="O72" s="26">
        <v>0</v>
      </c>
      <c r="P72" s="26">
        <v>3</v>
      </c>
      <c r="Q72" s="26">
        <v>2</v>
      </c>
      <c r="R72" s="26">
        <v>2</v>
      </c>
      <c r="S72" s="26" t="s">
        <v>494</v>
      </c>
      <c r="T72" s="26" t="s">
        <v>521</v>
      </c>
      <c r="U72" s="379">
        <f t="shared" si="8"/>
        <v>1</v>
      </c>
      <c r="V72" s="379" t="str">
        <f t="shared" si="9"/>
        <v>noise of my family</v>
      </c>
      <c r="W72" s="26">
        <v>2</v>
      </c>
      <c r="X72" s="26">
        <v>0</v>
      </c>
      <c r="Y72" s="26">
        <v>0</v>
      </c>
      <c r="Z72" s="27">
        <v>2</v>
      </c>
      <c r="AA72" s="379">
        <v>1</v>
      </c>
      <c r="AB72" s="231">
        <v>9</v>
      </c>
    </row>
    <row r="73" spans="1:28" s="33" customFormat="1" x14ac:dyDescent="0.2">
      <c r="A73" s="112" t="s">
        <v>370</v>
      </c>
      <c r="B73" s="26">
        <v>22</v>
      </c>
      <c r="C73" s="379" t="str">
        <f t="shared" si="5"/>
        <v>22:00</v>
      </c>
      <c r="D73" s="26">
        <v>1</v>
      </c>
      <c r="E73" s="379">
        <f t="shared" si="6"/>
        <v>30</v>
      </c>
      <c r="F73" s="181">
        <v>0.33333333333333331</v>
      </c>
      <c r="G73" s="406" t="str">
        <f t="shared" si="7"/>
        <v>8:00</v>
      </c>
      <c r="H73" s="26">
        <v>8</v>
      </c>
      <c r="I73" s="26">
        <v>0</v>
      </c>
      <c r="J73" s="26">
        <v>0</v>
      </c>
      <c r="K73" s="26">
        <v>2</v>
      </c>
      <c r="L73" s="26">
        <v>3</v>
      </c>
      <c r="M73" s="26">
        <v>2</v>
      </c>
      <c r="N73" s="26">
        <v>3</v>
      </c>
      <c r="O73" s="26">
        <v>0</v>
      </c>
      <c r="P73" s="26">
        <v>2</v>
      </c>
      <c r="Q73" s="26">
        <v>0</v>
      </c>
      <c r="R73" s="26">
        <v>3</v>
      </c>
      <c r="S73" s="26" t="s">
        <v>499</v>
      </c>
      <c r="T73" s="26" t="s">
        <v>11</v>
      </c>
      <c r="U73" s="379">
        <f t="shared" si="8"/>
        <v>0</v>
      </c>
      <c r="V73" s="379" t="str">
        <f t="shared" si="9"/>
        <v/>
      </c>
      <c r="W73" s="26">
        <v>1</v>
      </c>
      <c r="X73" s="26">
        <v>0</v>
      </c>
      <c r="Y73" s="26">
        <v>0</v>
      </c>
      <c r="Z73" s="27">
        <v>1</v>
      </c>
      <c r="AA73" s="379">
        <v>1</v>
      </c>
      <c r="AB73" s="231">
        <v>5</v>
      </c>
    </row>
    <row r="74" spans="1:28" s="33" customFormat="1" x14ac:dyDescent="0.2">
      <c r="A74" s="112" t="s">
        <v>371</v>
      </c>
      <c r="B74" s="26">
        <v>21</v>
      </c>
      <c r="C74" s="379" t="str">
        <f t="shared" si="5"/>
        <v>21:00</v>
      </c>
      <c r="D74" s="26">
        <v>1</v>
      </c>
      <c r="E74" s="379">
        <f t="shared" si="6"/>
        <v>30</v>
      </c>
      <c r="F74" s="181">
        <v>0.25</v>
      </c>
      <c r="G74" s="406" t="str">
        <f t="shared" si="7"/>
        <v>6:00</v>
      </c>
      <c r="H74" s="26">
        <v>7</v>
      </c>
      <c r="I74" s="26">
        <v>1</v>
      </c>
      <c r="J74" s="26">
        <v>1</v>
      </c>
      <c r="K74" s="26">
        <v>2</v>
      </c>
      <c r="L74" s="26">
        <v>2</v>
      </c>
      <c r="M74" s="26">
        <v>1</v>
      </c>
      <c r="N74" s="26">
        <v>1</v>
      </c>
      <c r="O74" s="26">
        <v>3</v>
      </c>
      <c r="P74" s="26">
        <v>1</v>
      </c>
      <c r="Q74" s="26">
        <v>2</v>
      </c>
      <c r="R74" s="26">
        <v>3</v>
      </c>
      <c r="S74" s="26" t="s">
        <v>512</v>
      </c>
      <c r="T74" s="26" t="s">
        <v>11</v>
      </c>
      <c r="U74" s="379">
        <f t="shared" si="8"/>
        <v>0</v>
      </c>
      <c r="V74" s="379" t="str">
        <f t="shared" si="9"/>
        <v/>
      </c>
      <c r="W74" s="26">
        <v>1</v>
      </c>
      <c r="X74" s="26">
        <v>3</v>
      </c>
      <c r="Y74" s="26">
        <v>0</v>
      </c>
      <c r="Z74" s="27">
        <v>0</v>
      </c>
      <c r="AA74" s="379">
        <v>1</v>
      </c>
      <c r="AB74" s="231">
        <v>7</v>
      </c>
    </row>
    <row r="75" spans="1:28" s="33" customFormat="1" x14ac:dyDescent="0.2">
      <c r="A75" s="112" t="s">
        <v>372</v>
      </c>
      <c r="B75" s="181">
        <v>0.97916666666666663</v>
      </c>
      <c r="C75" s="379" t="str">
        <f t="shared" si="5"/>
        <v>23:30</v>
      </c>
      <c r="D75" s="26">
        <v>0</v>
      </c>
      <c r="E75" s="379">
        <f t="shared" si="6"/>
        <v>15</v>
      </c>
      <c r="F75" s="181">
        <v>0.25</v>
      </c>
      <c r="G75" s="406" t="str">
        <f t="shared" si="7"/>
        <v>6:00</v>
      </c>
      <c r="H75" s="26">
        <v>6</v>
      </c>
      <c r="I75" s="26">
        <v>2</v>
      </c>
      <c r="J75" s="26">
        <v>0</v>
      </c>
      <c r="K75" s="26">
        <v>0</v>
      </c>
      <c r="L75" s="26">
        <v>2</v>
      </c>
      <c r="M75" s="26">
        <v>0</v>
      </c>
      <c r="N75" s="26">
        <v>0</v>
      </c>
      <c r="O75" s="26">
        <v>0</v>
      </c>
      <c r="P75" s="26">
        <v>0</v>
      </c>
      <c r="Q75" s="26">
        <v>0</v>
      </c>
      <c r="R75" s="26">
        <v>2</v>
      </c>
      <c r="S75" s="26" t="s">
        <v>499</v>
      </c>
      <c r="T75" s="26" t="s">
        <v>11</v>
      </c>
      <c r="U75" s="379">
        <f t="shared" si="8"/>
        <v>0</v>
      </c>
      <c r="V75" s="379" t="str">
        <f t="shared" si="9"/>
        <v/>
      </c>
      <c r="W75" s="26">
        <v>0</v>
      </c>
      <c r="X75" s="26">
        <v>0</v>
      </c>
      <c r="Y75" s="26">
        <v>0</v>
      </c>
      <c r="Z75" s="27">
        <v>0</v>
      </c>
      <c r="AA75" s="379">
        <v>1</v>
      </c>
      <c r="AB75" s="231">
        <v>3</v>
      </c>
    </row>
    <row r="76" spans="1:28" s="33" customFormat="1" x14ac:dyDescent="0.2">
      <c r="A76" s="112" t="s">
        <v>373</v>
      </c>
      <c r="B76" s="26">
        <v>21</v>
      </c>
      <c r="C76" s="379" t="str">
        <f t="shared" si="5"/>
        <v>21:00</v>
      </c>
      <c r="D76" s="26">
        <v>2</v>
      </c>
      <c r="E76" s="379">
        <f t="shared" si="6"/>
        <v>60</v>
      </c>
      <c r="F76" s="181">
        <v>0.20833333333333334</v>
      </c>
      <c r="G76" s="406" t="str">
        <f t="shared" si="7"/>
        <v>5:00</v>
      </c>
      <c r="H76" s="26">
        <v>5</v>
      </c>
      <c r="I76" s="26">
        <v>2</v>
      </c>
      <c r="J76" s="26">
        <v>3</v>
      </c>
      <c r="K76" s="26">
        <v>2</v>
      </c>
      <c r="L76" s="26">
        <v>2</v>
      </c>
      <c r="M76" s="26">
        <v>1</v>
      </c>
      <c r="N76" s="26">
        <v>1</v>
      </c>
      <c r="O76" s="26">
        <v>0</v>
      </c>
      <c r="P76" s="26">
        <v>0</v>
      </c>
      <c r="Q76" s="26">
        <v>2</v>
      </c>
      <c r="R76" s="26">
        <v>0</v>
      </c>
      <c r="S76" s="26" t="s">
        <v>512</v>
      </c>
      <c r="T76" s="26" t="s">
        <v>11</v>
      </c>
      <c r="U76" s="379">
        <f t="shared" si="8"/>
        <v>0</v>
      </c>
      <c r="V76" s="379" t="str">
        <f t="shared" si="9"/>
        <v/>
      </c>
      <c r="W76" s="26">
        <v>2</v>
      </c>
      <c r="X76" s="26">
        <v>1</v>
      </c>
      <c r="Y76" s="26">
        <v>0</v>
      </c>
      <c r="Z76" s="27">
        <v>1</v>
      </c>
      <c r="AA76" s="379">
        <v>1</v>
      </c>
      <c r="AB76" s="129">
        <v>11</v>
      </c>
    </row>
    <row r="77" spans="1:28" s="32" customFormat="1" x14ac:dyDescent="0.15">
      <c r="A77" s="112" t="s">
        <v>374</v>
      </c>
      <c r="B77" s="181">
        <v>0</v>
      </c>
      <c r="C77" s="379" t="str">
        <f t="shared" si="5"/>
        <v>0:00</v>
      </c>
      <c r="D77" s="112">
        <v>0</v>
      </c>
      <c r="E77" s="379">
        <f t="shared" si="6"/>
        <v>15</v>
      </c>
      <c r="F77" s="237">
        <v>0.33333333333333331</v>
      </c>
      <c r="G77" s="406" t="str">
        <f t="shared" si="7"/>
        <v>8:00</v>
      </c>
      <c r="H77" s="112">
        <v>8</v>
      </c>
      <c r="I77" s="112">
        <v>0</v>
      </c>
      <c r="J77" s="112">
        <v>0</v>
      </c>
      <c r="K77" s="112">
        <v>0</v>
      </c>
      <c r="L77" s="112">
        <v>3</v>
      </c>
      <c r="M77" s="112">
        <v>0</v>
      </c>
      <c r="N77" s="112">
        <v>2</v>
      </c>
      <c r="O77" s="112">
        <v>2</v>
      </c>
      <c r="P77" s="112">
        <v>0</v>
      </c>
      <c r="Q77" s="112">
        <v>0</v>
      </c>
      <c r="R77" s="112">
        <v>0</v>
      </c>
      <c r="S77" s="112" t="s">
        <v>512</v>
      </c>
      <c r="T77" s="112" t="s">
        <v>11</v>
      </c>
      <c r="U77" s="379">
        <f t="shared" si="8"/>
        <v>0</v>
      </c>
      <c r="V77" s="379" t="str">
        <f t="shared" si="9"/>
        <v/>
      </c>
      <c r="W77" s="112">
        <v>1</v>
      </c>
      <c r="X77" s="112">
        <v>2</v>
      </c>
      <c r="Y77" s="112">
        <v>0</v>
      </c>
      <c r="Z77" s="113">
        <v>2</v>
      </c>
      <c r="AA77" s="379">
        <v>1</v>
      </c>
      <c r="AB77" s="129">
        <v>5</v>
      </c>
    </row>
    <row r="78" spans="1:28" s="32" customFormat="1" x14ac:dyDescent="0.15">
      <c r="A78" s="112" t="s">
        <v>375</v>
      </c>
      <c r="B78" s="112">
        <v>22</v>
      </c>
      <c r="C78" s="379" t="str">
        <f t="shared" si="5"/>
        <v>22:00</v>
      </c>
      <c r="D78" s="112">
        <v>0</v>
      </c>
      <c r="E78" s="379">
        <f t="shared" si="6"/>
        <v>15</v>
      </c>
      <c r="F78" s="181">
        <v>0.29166666666666669</v>
      </c>
      <c r="G78" s="406" t="str">
        <f t="shared" si="7"/>
        <v>7:00</v>
      </c>
      <c r="H78" s="112">
        <v>6</v>
      </c>
      <c r="I78" s="112">
        <v>2</v>
      </c>
      <c r="J78" s="112">
        <v>0</v>
      </c>
      <c r="K78" s="112">
        <v>0</v>
      </c>
      <c r="L78" s="112">
        <v>3</v>
      </c>
      <c r="M78" s="112">
        <v>0</v>
      </c>
      <c r="N78" s="112">
        <v>1</v>
      </c>
      <c r="O78" s="112">
        <v>0</v>
      </c>
      <c r="P78" s="112">
        <v>0</v>
      </c>
      <c r="Q78" s="112">
        <v>0</v>
      </c>
      <c r="R78" s="112">
        <v>1</v>
      </c>
      <c r="S78" s="112" t="s">
        <v>512</v>
      </c>
      <c r="T78" s="112" t="s">
        <v>11</v>
      </c>
      <c r="U78" s="379">
        <f t="shared" si="8"/>
        <v>0</v>
      </c>
      <c r="V78" s="379" t="str">
        <f t="shared" si="9"/>
        <v/>
      </c>
      <c r="W78" s="112">
        <v>1</v>
      </c>
      <c r="X78" s="112">
        <v>0</v>
      </c>
      <c r="Y78" s="112">
        <v>0</v>
      </c>
      <c r="Z78" s="113">
        <v>2</v>
      </c>
      <c r="AA78" s="379">
        <v>1</v>
      </c>
      <c r="AB78" s="129">
        <v>6</v>
      </c>
    </row>
    <row r="79" spans="1:28" s="32" customFormat="1" x14ac:dyDescent="0.15">
      <c r="A79" s="112" t="s">
        <v>376</v>
      </c>
      <c r="B79" s="237">
        <v>0.875</v>
      </c>
      <c r="C79" s="379" t="str">
        <f t="shared" si="5"/>
        <v>21:00</v>
      </c>
      <c r="D79" s="112">
        <v>1</v>
      </c>
      <c r="E79" s="379">
        <f t="shared" si="6"/>
        <v>30</v>
      </c>
      <c r="F79" s="181">
        <v>0.25</v>
      </c>
      <c r="G79" s="406" t="str">
        <f t="shared" si="7"/>
        <v>6:00</v>
      </c>
      <c r="H79" s="112">
        <v>8</v>
      </c>
      <c r="I79" s="112">
        <v>0</v>
      </c>
      <c r="J79" s="112">
        <v>0</v>
      </c>
      <c r="K79" s="112">
        <v>0</v>
      </c>
      <c r="L79" s="112">
        <v>3</v>
      </c>
      <c r="M79" s="112">
        <v>0</v>
      </c>
      <c r="N79" s="112">
        <v>0</v>
      </c>
      <c r="O79" s="112">
        <v>0</v>
      </c>
      <c r="P79" s="112">
        <v>0</v>
      </c>
      <c r="Q79" s="112">
        <v>1</v>
      </c>
      <c r="R79" s="112">
        <v>1</v>
      </c>
      <c r="S79" s="112" t="s">
        <v>512</v>
      </c>
      <c r="T79" s="112" t="s">
        <v>11</v>
      </c>
      <c r="U79" s="379">
        <f t="shared" si="8"/>
        <v>0</v>
      </c>
      <c r="V79" s="379" t="str">
        <f t="shared" si="9"/>
        <v/>
      </c>
      <c r="W79" s="112">
        <v>0</v>
      </c>
      <c r="X79" s="112">
        <v>0</v>
      </c>
      <c r="Y79" s="112">
        <v>0</v>
      </c>
      <c r="Z79" s="113">
        <v>0</v>
      </c>
      <c r="AA79" s="379">
        <v>1</v>
      </c>
      <c r="AB79" s="129">
        <v>2</v>
      </c>
    </row>
    <row r="80" spans="1:28" s="32" customFormat="1" x14ac:dyDescent="0.15">
      <c r="A80" s="112" t="s">
        <v>377</v>
      </c>
      <c r="B80" s="237">
        <v>0.9375</v>
      </c>
      <c r="C80" s="379" t="str">
        <f t="shared" si="5"/>
        <v>22:30</v>
      </c>
      <c r="D80" s="112">
        <v>0</v>
      </c>
      <c r="E80" s="379">
        <f t="shared" si="6"/>
        <v>15</v>
      </c>
      <c r="F80" s="237">
        <v>0.22916666666666666</v>
      </c>
      <c r="G80" s="406" t="str">
        <f t="shared" si="7"/>
        <v>5:30</v>
      </c>
      <c r="H80" s="112">
        <v>6</v>
      </c>
      <c r="I80" s="112">
        <v>2</v>
      </c>
      <c r="J80" s="112">
        <v>0</v>
      </c>
      <c r="K80" s="112">
        <v>0</v>
      </c>
      <c r="L80" s="112">
        <v>2</v>
      </c>
      <c r="M80" s="112">
        <v>1</v>
      </c>
      <c r="N80" s="112">
        <v>0</v>
      </c>
      <c r="O80" s="112">
        <v>0</v>
      </c>
      <c r="P80" s="112">
        <v>0</v>
      </c>
      <c r="Q80" s="112">
        <v>1</v>
      </c>
      <c r="R80" s="112">
        <v>0</v>
      </c>
      <c r="S80" s="112" t="s">
        <v>512</v>
      </c>
      <c r="T80" s="112" t="s">
        <v>11</v>
      </c>
      <c r="U80" s="379">
        <f t="shared" si="8"/>
        <v>0</v>
      </c>
      <c r="V80" s="379" t="str">
        <f t="shared" si="9"/>
        <v/>
      </c>
      <c r="W80" s="112">
        <v>1</v>
      </c>
      <c r="X80" s="112">
        <v>0</v>
      </c>
      <c r="Y80" s="112">
        <v>0</v>
      </c>
      <c r="Z80" s="113">
        <v>1</v>
      </c>
      <c r="AA80" s="379">
        <v>1</v>
      </c>
      <c r="AB80" s="129">
        <v>5</v>
      </c>
    </row>
    <row r="81" spans="1:28" s="32" customFormat="1" x14ac:dyDescent="0.15">
      <c r="A81" s="112" t="s">
        <v>378</v>
      </c>
      <c r="B81" s="26">
        <v>19</v>
      </c>
      <c r="C81" s="379" t="str">
        <f t="shared" si="5"/>
        <v>19:00</v>
      </c>
      <c r="D81" s="112">
        <v>0</v>
      </c>
      <c r="E81" s="379">
        <f t="shared" si="6"/>
        <v>15</v>
      </c>
      <c r="F81" s="181">
        <v>0.29166666666666669</v>
      </c>
      <c r="G81" s="406" t="str">
        <f t="shared" si="7"/>
        <v>7:00</v>
      </c>
      <c r="H81" s="112">
        <v>6</v>
      </c>
      <c r="I81" s="112">
        <v>2</v>
      </c>
      <c r="J81" s="112">
        <v>3</v>
      </c>
      <c r="K81" s="112">
        <v>3</v>
      </c>
      <c r="L81" s="112">
        <v>3</v>
      </c>
      <c r="M81" s="112">
        <v>3</v>
      </c>
      <c r="N81" s="112">
        <v>0</v>
      </c>
      <c r="O81" s="112">
        <v>0</v>
      </c>
      <c r="P81" s="112">
        <v>0</v>
      </c>
      <c r="Q81" s="112">
        <v>2</v>
      </c>
      <c r="R81" s="112">
        <v>3</v>
      </c>
      <c r="S81" s="112" t="s">
        <v>512</v>
      </c>
      <c r="T81" s="112" t="s">
        <v>11</v>
      </c>
      <c r="U81" s="379">
        <f t="shared" si="8"/>
        <v>0</v>
      </c>
      <c r="V81" s="379" t="str">
        <f t="shared" si="9"/>
        <v/>
      </c>
      <c r="W81" s="112">
        <v>2</v>
      </c>
      <c r="X81" s="112">
        <v>3</v>
      </c>
      <c r="Y81" s="112">
        <v>0</v>
      </c>
      <c r="Z81" s="113">
        <v>0</v>
      </c>
      <c r="AA81" s="379">
        <v>1</v>
      </c>
      <c r="AB81" s="129">
        <v>11</v>
      </c>
    </row>
    <row r="82" spans="1:28" s="32" customFormat="1" x14ac:dyDescent="0.15">
      <c r="A82" s="112" t="s">
        <v>379</v>
      </c>
      <c r="B82" s="237">
        <v>0.85416666666666663</v>
      </c>
      <c r="C82" s="379" t="str">
        <f t="shared" si="5"/>
        <v>20:30</v>
      </c>
      <c r="D82" s="112">
        <v>2</v>
      </c>
      <c r="E82" s="379">
        <f t="shared" si="6"/>
        <v>60</v>
      </c>
      <c r="F82" s="237">
        <v>0.27083333333333331</v>
      </c>
      <c r="G82" s="406" t="str">
        <f t="shared" si="7"/>
        <v>6:30</v>
      </c>
      <c r="H82" s="112">
        <v>9</v>
      </c>
      <c r="I82" s="112">
        <v>0</v>
      </c>
      <c r="J82" s="112">
        <v>1</v>
      </c>
      <c r="K82" s="112">
        <v>0</v>
      </c>
      <c r="L82" s="112">
        <v>1</v>
      </c>
      <c r="M82" s="112">
        <v>0</v>
      </c>
      <c r="N82" s="112">
        <v>1</v>
      </c>
      <c r="O82" s="112">
        <v>0</v>
      </c>
      <c r="P82" s="112">
        <v>0</v>
      </c>
      <c r="Q82" s="112">
        <v>0</v>
      </c>
      <c r="R82" s="112">
        <v>1</v>
      </c>
      <c r="S82" s="112" t="s">
        <v>494</v>
      </c>
      <c r="T82" s="112" t="s">
        <v>522</v>
      </c>
      <c r="U82" s="379">
        <f t="shared" si="8"/>
        <v>1</v>
      </c>
      <c r="V82" s="379" t="str">
        <f t="shared" si="9"/>
        <v>Nurses make noise during the night</v>
      </c>
      <c r="W82" s="112">
        <v>0</v>
      </c>
      <c r="X82" s="112">
        <v>0</v>
      </c>
      <c r="Y82" s="112">
        <v>0</v>
      </c>
      <c r="Z82" s="113">
        <v>0</v>
      </c>
      <c r="AA82" s="379">
        <v>1</v>
      </c>
      <c r="AB82" s="129">
        <v>4</v>
      </c>
    </row>
    <row r="83" spans="1:28" s="32" customFormat="1" x14ac:dyDescent="0.15">
      <c r="A83" s="112" t="s">
        <v>380</v>
      </c>
      <c r="B83" s="237">
        <v>0.91666666666666663</v>
      </c>
      <c r="C83" s="379" t="str">
        <f t="shared" si="5"/>
        <v>22:00</v>
      </c>
      <c r="D83" s="112">
        <v>1</v>
      </c>
      <c r="E83" s="379">
        <f t="shared" si="6"/>
        <v>30</v>
      </c>
      <c r="F83" s="181">
        <v>0.29166666666666669</v>
      </c>
      <c r="G83" s="406" t="str">
        <f t="shared" si="7"/>
        <v>7:00</v>
      </c>
      <c r="H83" s="112">
        <v>6</v>
      </c>
      <c r="I83" s="112">
        <v>2</v>
      </c>
      <c r="J83" s="112">
        <v>1</v>
      </c>
      <c r="K83" s="112">
        <v>1</v>
      </c>
      <c r="L83" s="112">
        <v>2</v>
      </c>
      <c r="M83" s="112">
        <v>0</v>
      </c>
      <c r="N83" s="112">
        <v>1</v>
      </c>
      <c r="O83" s="112">
        <v>0</v>
      </c>
      <c r="P83" s="112">
        <v>3</v>
      </c>
      <c r="Q83" s="112">
        <v>0</v>
      </c>
      <c r="R83" s="112">
        <v>2</v>
      </c>
      <c r="S83" s="112" t="s">
        <v>494</v>
      </c>
      <c r="T83" s="112" t="s">
        <v>523</v>
      </c>
      <c r="U83" s="379">
        <f t="shared" si="8"/>
        <v>1</v>
      </c>
      <c r="V83" s="379" t="str">
        <f t="shared" si="9"/>
        <v>cramps</v>
      </c>
      <c r="W83" s="112">
        <v>1</v>
      </c>
      <c r="X83" s="112">
        <v>0</v>
      </c>
      <c r="Y83" s="112">
        <v>0</v>
      </c>
      <c r="Z83" s="113">
        <v>0</v>
      </c>
      <c r="AA83" s="379">
        <v>1</v>
      </c>
      <c r="AB83" s="129">
        <v>6</v>
      </c>
    </row>
    <row r="84" spans="1:28" s="33" customFormat="1" x14ac:dyDescent="0.2">
      <c r="A84" s="112" t="s">
        <v>381</v>
      </c>
      <c r="B84" s="26">
        <v>9</v>
      </c>
      <c r="C84" s="379" t="str">
        <f t="shared" si="5"/>
        <v>9:00</v>
      </c>
      <c r="D84" s="26">
        <v>1</v>
      </c>
      <c r="E84" s="379">
        <f t="shared" si="6"/>
        <v>30</v>
      </c>
      <c r="F84" s="181">
        <v>0.29166666666666669</v>
      </c>
      <c r="G84" s="406" t="str">
        <f t="shared" si="7"/>
        <v>7:00</v>
      </c>
      <c r="H84" s="26">
        <v>9</v>
      </c>
      <c r="I84" s="26">
        <v>0</v>
      </c>
      <c r="J84" s="26">
        <v>0</v>
      </c>
      <c r="K84" s="26">
        <v>0</v>
      </c>
      <c r="L84" s="26">
        <v>0</v>
      </c>
      <c r="M84" s="26">
        <v>0</v>
      </c>
      <c r="N84" s="26">
        <v>0</v>
      </c>
      <c r="O84" s="26">
        <v>0</v>
      </c>
      <c r="P84" s="26">
        <v>0</v>
      </c>
      <c r="Q84" s="26">
        <v>1</v>
      </c>
      <c r="R84" s="26">
        <v>0</v>
      </c>
      <c r="S84" s="26" t="s">
        <v>512</v>
      </c>
      <c r="T84" s="26" t="s">
        <v>11</v>
      </c>
      <c r="U84" s="379">
        <f t="shared" si="8"/>
        <v>0</v>
      </c>
      <c r="V84" s="379" t="str">
        <f t="shared" si="9"/>
        <v/>
      </c>
      <c r="W84" s="26">
        <v>1</v>
      </c>
      <c r="X84" s="26">
        <v>0</v>
      </c>
      <c r="Y84" s="26">
        <v>0</v>
      </c>
      <c r="Z84" s="27">
        <v>2</v>
      </c>
      <c r="AA84" s="379">
        <v>1</v>
      </c>
      <c r="AB84" s="129">
        <v>5</v>
      </c>
    </row>
    <row r="85" spans="1:28" s="33" customFormat="1" x14ac:dyDescent="0.2">
      <c r="A85" s="112" t="s">
        <v>382</v>
      </c>
      <c r="B85" s="237">
        <v>0.9375</v>
      </c>
      <c r="C85" s="379" t="str">
        <f t="shared" si="5"/>
        <v>22:30</v>
      </c>
      <c r="D85" s="112">
        <v>1</v>
      </c>
      <c r="E85" s="379">
        <f t="shared" si="6"/>
        <v>30</v>
      </c>
      <c r="F85" s="181">
        <v>0.25</v>
      </c>
      <c r="G85" s="406" t="str">
        <f t="shared" si="7"/>
        <v>6:00</v>
      </c>
      <c r="H85" s="26">
        <v>7</v>
      </c>
      <c r="I85" s="26">
        <v>1</v>
      </c>
      <c r="J85" s="26">
        <v>0</v>
      </c>
      <c r="K85" s="26">
        <v>0</v>
      </c>
      <c r="L85" s="26">
        <v>0</v>
      </c>
      <c r="M85" s="26">
        <v>0</v>
      </c>
      <c r="N85" s="26">
        <v>0</v>
      </c>
      <c r="O85" s="26">
        <v>0</v>
      </c>
      <c r="P85" s="26">
        <v>0</v>
      </c>
      <c r="Q85" s="26">
        <v>0</v>
      </c>
      <c r="R85" s="26">
        <v>1</v>
      </c>
      <c r="S85" s="26" t="s">
        <v>512</v>
      </c>
      <c r="T85" s="26" t="s">
        <v>11</v>
      </c>
      <c r="U85" s="379">
        <f t="shared" si="8"/>
        <v>0</v>
      </c>
      <c r="V85" s="379" t="str">
        <f t="shared" si="9"/>
        <v/>
      </c>
      <c r="W85" s="26">
        <v>0</v>
      </c>
      <c r="X85" s="123">
        <v>3</v>
      </c>
      <c r="Y85" s="26">
        <v>0</v>
      </c>
      <c r="Z85" s="27">
        <v>0</v>
      </c>
      <c r="AA85" s="379">
        <v>1</v>
      </c>
      <c r="AB85" s="129">
        <v>5</v>
      </c>
    </row>
    <row r="86" spans="1:28" s="33" customFormat="1" x14ac:dyDescent="0.2">
      <c r="A86" s="112" t="s">
        <v>383</v>
      </c>
      <c r="B86" s="181">
        <v>0.8125</v>
      </c>
      <c r="C86" s="379" t="str">
        <f t="shared" si="5"/>
        <v>19:30</v>
      </c>
      <c r="D86" s="26">
        <v>0</v>
      </c>
      <c r="E86" s="379">
        <f t="shared" si="6"/>
        <v>15</v>
      </c>
      <c r="F86" s="181">
        <v>0.30208333333333331</v>
      </c>
      <c r="G86" s="406" t="str">
        <f t="shared" si="7"/>
        <v>7:15</v>
      </c>
      <c r="H86" s="26">
        <v>11</v>
      </c>
      <c r="I86" s="26">
        <v>0</v>
      </c>
      <c r="J86" s="26">
        <v>0</v>
      </c>
      <c r="K86" s="26">
        <v>0</v>
      </c>
      <c r="L86" s="26">
        <v>2</v>
      </c>
      <c r="M86" s="26">
        <v>0</v>
      </c>
      <c r="N86" s="26">
        <v>0</v>
      </c>
      <c r="O86" s="26">
        <v>0</v>
      </c>
      <c r="P86" s="26">
        <v>0</v>
      </c>
      <c r="Q86" s="26">
        <v>0</v>
      </c>
      <c r="R86" s="26">
        <v>0</v>
      </c>
      <c r="S86" s="26" t="s">
        <v>494</v>
      </c>
      <c r="T86" s="26" t="s">
        <v>524</v>
      </c>
      <c r="U86" s="379">
        <f t="shared" si="8"/>
        <v>1</v>
      </c>
      <c r="V86" s="379" t="str">
        <f t="shared" si="9"/>
        <v>surgery</v>
      </c>
      <c r="W86" s="26">
        <v>0</v>
      </c>
      <c r="X86" s="26">
        <v>0</v>
      </c>
      <c r="Y86" s="26">
        <v>0</v>
      </c>
      <c r="Z86" s="27">
        <v>1</v>
      </c>
      <c r="AA86" s="379">
        <v>1</v>
      </c>
      <c r="AB86" s="129">
        <v>2</v>
      </c>
    </row>
    <row r="87" spans="1:28" s="33" customFormat="1" x14ac:dyDescent="0.2">
      <c r="A87" s="112" t="s">
        <v>384</v>
      </c>
      <c r="B87" s="237">
        <v>0.9375</v>
      </c>
      <c r="C87" s="379" t="str">
        <f t="shared" si="5"/>
        <v>22:30</v>
      </c>
      <c r="D87" s="112">
        <v>1</v>
      </c>
      <c r="E87" s="379">
        <f t="shared" si="6"/>
        <v>30</v>
      </c>
      <c r="F87" s="181">
        <v>0.375</v>
      </c>
      <c r="G87" s="406" t="str">
        <f t="shared" si="7"/>
        <v>9:00</v>
      </c>
      <c r="H87" s="26">
        <v>8</v>
      </c>
      <c r="I87" s="26">
        <v>0</v>
      </c>
      <c r="J87" s="26">
        <v>3</v>
      </c>
      <c r="K87" s="26">
        <v>2</v>
      </c>
      <c r="L87" s="26">
        <v>2</v>
      </c>
      <c r="M87" s="26">
        <v>0</v>
      </c>
      <c r="N87" s="26">
        <v>3</v>
      </c>
      <c r="O87" s="26">
        <v>3</v>
      </c>
      <c r="P87" s="26">
        <v>2</v>
      </c>
      <c r="Q87" s="26">
        <v>3</v>
      </c>
      <c r="R87" s="26">
        <v>0</v>
      </c>
      <c r="S87" s="26" t="s">
        <v>512</v>
      </c>
      <c r="T87" s="26" t="s">
        <v>11</v>
      </c>
      <c r="U87" s="379">
        <f t="shared" si="8"/>
        <v>0</v>
      </c>
      <c r="V87" s="379" t="str">
        <f t="shared" si="9"/>
        <v/>
      </c>
      <c r="W87" s="26">
        <v>1</v>
      </c>
      <c r="X87" s="123">
        <v>3</v>
      </c>
      <c r="Y87" s="26">
        <v>1</v>
      </c>
      <c r="Z87" s="27">
        <v>2</v>
      </c>
      <c r="AA87" s="379">
        <v>1</v>
      </c>
      <c r="AB87" s="129">
        <v>9</v>
      </c>
    </row>
    <row r="88" spans="1:28" s="33" customFormat="1" x14ac:dyDescent="0.2">
      <c r="A88" s="112" t="s">
        <v>385</v>
      </c>
      <c r="B88" s="181">
        <v>0.9375</v>
      </c>
      <c r="C88" s="379" t="str">
        <f t="shared" si="5"/>
        <v>22:30</v>
      </c>
      <c r="D88" s="26">
        <v>2</v>
      </c>
      <c r="E88" s="379">
        <f t="shared" si="6"/>
        <v>60</v>
      </c>
      <c r="F88" s="181">
        <v>0.3125</v>
      </c>
      <c r="G88" s="406" t="str">
        <f t="shared" si="7"/>
        <v>7:30</v>
      </c>
      <c r="H88" s="26">
        <v>6</v>
      </c>
      <c r="I88" s="26">
        <v>2</v>
      </c>
      <c r="J88" s="26">
        <v>3</v>
      </c>
      <c r="K88" s="26">
        <v>3</v>
      </c>
      <c r="L88" s="26">
        <v>3</v>
      </c>
      <c r="M88" s="26">
        <v>0</v>
      </c>
      <c r="N88" s="26">
        <v>0</v>
      </c>
      <c r="O88" s="26">
        <v>1</v>
      </c>
      <c r="P88" s="26">
        <v>0</v>
      </c>
      <c r="Q88" s="26">
        <v>0</v>
      </c>
      <c r="R88" s="26">
        <v>0</v>
      </c>
      <c r="S88" s="26" t="s">
        <v>512</v>
      </c>
      <c r="T88" s="26" t="s">
        <v>11</v>
      </c>
      <c r="U88" s="379">
        <f t="shared" si="8"/>
        <v>0</v>
      </c>
      <c r="V88" s="379" t="str">
        <f t="shared" si="9"/>
        <v/>
      </c>
      <c r="W88" s="26">
        <v>1</v>
      </c>
      <c r="X88" s="26">
        <v>0</v>
      </c>
      <c r="Y88" s="26">
        <v>0</v>
      </c>
      <c r="Z88" s="27">
        <v>0</v>
      </c>
      <c r="AA88" s="379">
        <v>1</v>
      </c>
      <c r="AB88" s="129">
        <v>8</v>
      </c>
    </row>
    <row r="89" spans="1:28" s="33" customFormat="1" x14ac:dyDescent="0.2">
      <c r="A89" s="112" t="s">
        <v>386</v>
      </c>
      <c r="B89" s="26">
        <v>23</v>
      </c>
      <c r="C89" s="379" t="str">
        <f t="shared" si="5"/>
        <v>23:00</v>
      </c>
      <c r="D89" s="26">
        <v>1</v>
      </c>
      <c r="E89" s="379">
        <f t="shared" si="6"/>
        <v>30</v>
      </c>
      <c r="F89" s="181">
        <v>0.25</v>
      </c>
      <c r="G89" s="406" t="str">
        <f t="shared" si="7"/>
        <v>6:00</v>
      </c>
      <c r="H89" s="26">
        <v>6</v>
      </c>
      <c r="I89" s="26">
        <v>2</v>
      </c>
      <c r="J89" s="26">
        <v>3</v>
      </c>
      <c r="K89" s="26">
        <v>3</v>
      </c>
      <c r="L89" s="26">
        <v>3</v>
      </c>
      <c r="M89" s="26">
        <v>0</v>
      </c>
      <c r="N89" s="26">
        <v>0</v>
      </c>
      <c r="O89" s="26">
        <v>3</v>
      </c>
      <c r="P89" s="26">
        <v>1</v>
      </c>
      <c r="Q89" s="26">
        <v>0</v>
      </c>
      <c r="R89" s="26">
        <v>0</v>
      </c>
      <c r="S89" s="26" t="s">
        <v>494</v>
      </c>
      <c r="T89" s="26" t="s">
        <v>523</v>
      </c>
      <c r="U89" s="379">
        <f t="shared" si="8"/>
        <v>1</v>
      </c>
      <c r="V89" s="379" t="str">
        <f t="shared" si="9"/>
        <v>cramps</v>
      </c>
      <c r="W89" s="26">
        <v>2</v>
      </c>
      <c r="X89" s="26">
        <v>1</v>
      </c>
      <c r="Y89" s="26">
        <v>0</v>
      </c>
      <c r="Z89" s="27">
        <v>2</v>
      </c>
      <c r="AA89" s="379">
        <v>1</v>
      </c>
      <c r="AB89" s="129">
        <v>11</v>
      </c>
    </row>
    <row r="90" spans="1:28" s="33" customFormat="1" x14ac:dyDescent="0.2">
      <c r="A90" s="112" t="s">
        <v>387</v>
      </c>
      <c r="B90" s="112">
        <v>23</v>
      </c>
      <c r="C90" s="379" t="str">
        <f t="shared" si="5"/>
        <v>23:00</v>
      </c>
      <c r="D90" s="112">
        <v>0</v>
      </c>
      <c r="E90" s="379">
        <f t="shared" si="6"/>
        <v>15</v>
      </c>
      <c r="F90" s="181">
        <v>0.29166666666666669</v>
      </c>
      <c r="G90" s="406" t="str">
        <f t="shared" si="7"/>
        <v>7:00</v>
      </c>
      <c r="H90" s="26">
        <v>7</v>
      </c>
      <c r="I90" s="26">
        <v>1</v>
      </c>
      <c r="J90" s="26">
        <v>2</v>
      </c>
      <c r="K90" s="26">
        <v>2</v>
      </c>
      <c r="L90" s="26">
        <v>2</v>
      </c>
      <c r="M90" s="26">
        <v>0</v>
      </c>
      <c r="N90" s="26">
        <v>0</v>
      </c>
      <c r="O90" s="26">
        <v>0</v>
      </c>
      <c r="P90" s="26">
        <v>3</v>
      </c>
      <c r="Q90" s="26">
        <v>3</v>
      </c>
      <c r="R90" s="26">
        <v>3</v>
      </c>
      <c r="S90" s="26" t="s">
        <v>512</v>
      </c>
      <c r="T90" s="26" t="s">
        <v>11</v>
      </c>
      <c r="U90" s="379">
        <f t="shared" si="8"/>
        <v>0</v>
      </c>
      <c r="V90" s="379" t="str">
        <f t="shared" si="9"/>
        <v/>
      </c>
      <c r="W90" s="26">
        <v>1</v>
      </c>
      <c r="X90" s="123">
        <v>3</v>
      </c>
      <c r="Y90" s="26">
        <v>1</v>
      </c>
      <c r="Z90" s="27">
        <v>3</v>
      </c>
      <c r="AA90" s="379">
        <v>1</v>
      </c>
      <c r="AB90" s="129">
        <v>10</v>
      </c>
    </row>
    <row r="91" spans="1:28" s="33" customFormat="1" x14ac:dyDescent="0.2">
      <c r="A91" s="112" t="s">
        <v>388</v>
      </c>
      <c r="B91" s="181">
        <v>0.85416666666666663</v>
      </c>
      <c r="C91" s="379" t="str">
        <f t="shared" si="5"/>
        <v>20:30</v>
      </c>
      <c r="D91" s="26">
        <v>2</v>
      </c>
      <c r="E91" s="379">
        <f t="shared" si="6"/>
        <v>60</v>
      </c>
      <c r="F91" s="181">
        <v>0.29166666666666669</v>
      </c>
      <c r="G91" s="406" t="str">
        <f t="shared" si="7"/>
        <v>7:00</v>
      </c>
      <c r="H91" s="26">
        <v>8</v>
      </c>
      <c r="I91" s="26">
        <v>0</v>
      </c>
      <c r="J91" s="26">
        <v>3</v>
      </c>
      <c r="K91" s="26">
        <v>2</v>
      </c>
      <c r="L91" s="26">
        <v>0</v>
      </c>
      <c r="M91" s="26">
        <v>0</v>
      </c>
      <c r="N91" s="26">
        <v>2</v>
      </c>
      <c r="O91" s="26">
        <v>0</v>
      </c>
      <c r="P91" s="26">
        <v>0</v>
      </c>
      <c r="Q91" s="26">
        <v>1</v>
      </c>
      <c r="R91" s="26">
        <v>2</v>
      </c>
      <c r="S91" s="26" t="s">
        <v>512</v>
      </c>
      <c r="T91" s="26" t="s">
        <v>11</v>
      </c>
      <c r="U91" s="379">
        <f t="shared" si="8"/>
        <v>0</v>
      </c>
      <c r="V91" s="379" t="str">
        <f t="shared" si="9"/>
        <v/>
      </c>
      <c r="W91" s="26">
        <v>1</v>
      </c>
      <c r="X91" s="26">
        <v>3</v>
      </c>
      <c r="Y91" s="26">
        <v>0</v>
      </c>
      <c r="Z91" s="27">
        <v>0</v>
      </c>
      <c r="AA91" s="379">
        <v>1</v>
      </c>
      <c r="AB91" s="129">
        <v>7</v>
      </c>
    </row>
    <row r="92" spans="1:28" s="33" customFormat="1" x14ac:dyDescent="0.2">
      <c r="A92" s="112" t="s">
        <v>389</v>
      </c>
      <c r="B92" s="181">
        <v>0.79166666666666663</v>
      </c>
      <c r="C92" s="379" t="str">
        <f t="shared" si="5"/>
        <v>19:00</v>
      </c>
      <c r="D92" s="26">
        <v>0</v>
      </c>
      <c r="E92" s="379">
        <f t="shared" si="6"/>
        <v>15</v>
      </c>
      <c r="F92" s="181">
        <v>0.25</v>
      </c>
      <c r="G92" s="406" t="str">
        <f t="shared" si="7"/>
        <v>6:00</v>
      </c>
      <c r="H92" s="26">
        <v>10</v>
      </c>
      <c r="I92" s="26">
        <v>0</v>
      </c>
      <c r="J92" s="26">
        <v>0</v>
      </c>
      <c r="K92" s="26">
        <v>3</v>
      </c>
      <c r="L92" s="26">
        <v>3</v>
      </c>
      <c r="M92" s="26">
        <v>3</v>
      </c>
      <c r="N92" s="26">
        <v>3</v>
      </c>
      <c r="O92" s="26">
        <v>3</v>
      </c>
      <c r="P92" s="26">
        <v>3</v>
      </c>
      <c r="Q92" s="26">
        <v>3</v>
      </c>
      <c r="R92" s="26">
        <v>3</v>
      </c>
      <c r="S92" s="26" t="s">
        <v>512</v>
      </c>
      <c r="T92" s="26" t="s">
        <v>11</v>
      </c>
      <c r="U92" s="379">
        <f t="shared" si="8"/>
        <v>0</v>
      </c>
      <c r="V92" s="379" t="str">
        <f t="shared" si="9"/>
        <v/>
      </c>
      <c r="W92" s="26">
        <v>1</v>
      </c>
      <c r="X92" s="26">
        <v>3</v>
      </c>
      <c r="Y92" s="26">
        <v>1</v>
      </c>
      <c r="Z92" s="27">
        <v>1</v>
      </c>
      <c r="AA92" s="379">
        <v>1</v>
      </c>
      <c r="AB92" s="129">
        <v>7</v>
      </c>
    </row>
    <row r="93" spans="1:28" s="33" customFormat="1" x14ac:dyDescent="0.2">
      <c r="A93" s="112" t="s">
        <v>390</v>
      </c>
      <c r="B93" s="26">
        <v>21</v>
      </c>
      <c r="C93" s="379" t="str">
        <f t="shared" si="5"/>
        <v>21:00</v>
      </c>
      <c r="D93" s="26">
        <v>1</v>
      </c>
      <c r="E93" s="379">
        <f t="shared" si="6"/>
        <v>30</v>
      </c>
      <c r="F93" s="181">
        <v>0.29166666666666669</v>
      </c>
      <c r="G93" s="406" t="str">
        <f t="shared" si="7"/>
        <v>7:00</v>
      </c>
      <c r="H93" s="26">
        <v>9</v>
      </c>
      <c r="I93" s="26">
        <v>0</v>
      </c>
      <c r="J93" s="26">
        <v>2</v>
      </c>
      <c r="K93" s="26">
        <v>2</v>
      </c>
      <c r="L93" s="26">
        <v>3</v>
      </c>
      <c r="M93" s="26">
        <v>0</v>
      </c>
      <c r="N93" s="26">
        <v>1</v>
      </c>
      <c r="O93" s="26">
        <v>1</v>
      </c>
      <c r="P93" s="26">
        <v>1</v>
      </c>
      <c r="Q93" s="26">
        <v>2</v>
      </c>
      <c r="R93" s="26">
        <v>3</v>
      </c>
      <c r="S93" s="26" t="s">
        <v>494</v>
      </c>
      <c r="T93" s="26" t="s">
        <v>525</v>
      </c>
      <c r="U93" s="379">
        <f t="shared" si="8"/>
        <v>1</v>
      </c>
      <c r="V93" s="379" t="str">
        <f t="shared" si="9"/>
        <v>repeated bad dreams. I dream of not being able to complete my assignments</v>
      </c>
      <c r="W93" s="26">
        <v>1</v>
      </c>
      <c r="X93" s="26">
        <v>3</v>
      </c>
      <c r="Y93" s="26">
        <v>1</v>
      </c>
      <c r="Z93" s="27">
        <v>2</v>
      </c>
      <c r="AA93" s="379">
        <v>1</v>
      </c>
      <c r="AB93" s="129">
        <v>9</v>
      </c>
    </row>
    <row r="94" spans="1:28" s="33" customFormat="1" x14ac:dyDescent="0.2">
      <c r="A94" s="112" t="s">
        <v>391</v>
      </c>
      <c r="B94" s="112">
        <v>23</v>
      </c>
      <c r="C94" s="379" t="str">
        <f t="shared" si="5"/>
        <v>23:00</v>
      </c>
      <c r="D94" s="112">
        <v>1</v>
      </c>
      <c r="E94" s="379">
        <f t="shared" si="6"/>
        <v>30</v>
      </c>
      <c r="F94" s="181">
        <v>0.29166666666666669</v>
      </c>
      <c r="G94" s="406" t="str">
        <f t="shared" si="7"/>
        <v>7:00</v>
      </c>
      <c r="H94" s="26">
        <v>5</v>
      </c>
      <c r="I94" s="26">
        <v>2</v>
      </c>
      <c r="J94" s="26">
        <v>1</v>
      </c>
      <c r="K94" s="26">
        <v>3</v>
      </c>
      <c r="L94" s="26">
        <v>3</v>
      </c>
      <c r="M94" s="26">
        <v>1</v>
      </c>
      <c r="N94" s="26">
        <v>2</v>
      </c>
      <c r="O94" s="26">
        <v>1</v>
      </c>
      <c r="P94" s="26">
        <v>2</v>
      </c>
      <c r="Q94" s="26">
        <v>2</v>
      </c>
      <c r="R94" s="26">
        <v>1</v>
      </c>
      <c r="S94" s="26" t="s">
        <v>512</v>
      </c>
      <c r="T94" s="26" t="s">
        <v>11</v>
      </c>
      <c r="U94" s="379">
        <f t="shared" si="8"/>
        <v>0</v>
      </c>
      <c r="V94" s="379" t="str">
        <f t="shared" si="9"/>
        <v/>
      </c>
      <c r="W94" s="26">
        <v>1</v>
      </c>
      <c r="X94" s="123">
        <v>3</v>
      </c>
      <c r="Y94" s="26">
        <v>1</v>
      </c>
      <c r="Z94" s="27">
        <v>2</v>
      </c>
      <c r="AA94" s="379">
        <v>1</v>
      </c>
      <c r="AB94" s="129">
        <v>10</v>
      </c>
    </row>
    <row r="95" spans="1:28" s="33" customFormat="1" x14ac:dyDescent="0.2">
      <c r="A95" s="112" t="s">
        <v>392</v>
      </c>
      <c r="B95" s="112">
        <v>23</v>
      </c>
      <c r="C95" s="379" t="str">
        <f t="shared" si="5"/>
        <v>23:00</v>
      </c>
      <c r="D95" s="112">
        <v>2</v>
      </c>
      <c r="E95" s="379">
        <f t="shared" si="6"/>
        <v>60</v>
      </c>
      <c r="F95" s="181">
        <v>0.29166666666666669</v>
      </c>
      <c r="G95" s="406" t="str">
        <f t="shared" si="7"/>
        <v>7:00</v>
      </c>
      <c r="H95" s="26">
        <v>7</v>
      </c>
      <c r="I95" s="26">
        <v>1</v>
      </c>
      <c r="J95" s="26">
        <v>0</v>
      </c>
      <c r="K95" s="26">
        <v>0</v>
      </c>
      <c r="L95" s="26">
        <v>2</v>
      </c>
      <c r="M95" s="26">
        <v>0</v>
      </c>
      <c r="N95" s="26">
        <v>2</v>
      </c>
      <c r="O95" s="26">
        <v>0</v>
      </c>
      <c r="P95" s="26">
        <v>0</v>
      </c>
      <c r="Q95" s="26">
        <v>1</v>
      </c>
      <c r="R95" s="26">
        <v>0</v>
      </c>
      <c r="S95" s="26" t="s">
        <v>494</v>
      </c>
      <c r="T95" s="26" t="s">
        <v>526</v>
      </c>
      <c r="U95" s="379">
        <f t="shared" si="8"/>
        <v>1</v>
      </c>
      <c r="V95" s="379" t="str">
        <f t="shared" si="9"/>
        <v>heavy meal at dinner</v>
      </c>
      <c r="W95" s="26">
        <v>0</v>
      </c>
      <c r="X95" s="123">
        <v>0</v>
      </c>
      <c r="Y95" s="26">
        <v>0</v>
      </c>
      <c r="Z95" s="27">
        <v>1</v>
      </c>
      <c r="AA95" s="379">
        <v>1</v>
      </c>
      <c r="AB95" s="129">
        <v>4</v>
      </c>
    </row>
    <row r="96" spans="1:28" s="33" customFormat="1" x14ac:dyDescent="0.2">
      <c r="A96" s="112" t="s">
        <v>393</v>
      </c>
      <c r="B96" s="26">
        <v>21</v>
      </c>
      <c r="C96" s="379" t="str">
        <f t="shared" si="5"/>
        <v>21:00</v>
      </c>
      <c r="D96" s="26">
        <v>2</v>
      </c>
      <c r="E96" s="379">
        <f t="shared" si="6"/>
        <v>60</v>
      </c>
      <c r="F96" s="181">
        <v>0.20833333333333334</v>
      </c>
      <c r="G96" s="406" t="str">
        <f t="shared" si="7"/>
        <v>5:00</v>
      </c>
      <c r="H96" s="26">
        <v>7</v>
      </c>
      <c r="I96" s="26">
        <v>1</v>
      </c>
      <c r="J96" s="26">
        <v>2</v>
      </c>
      <c r="K96" s="26">
        <v>0</v>
      </c>
      <c r="L96" s="26">
        <v>3</v>
      </c>
      <c r="M96" s="26">
        <v>0</v>
      </c>
      <c r="N96" s="26">
        <v>1</v>
      </c>
      <c r="O96" s="26">
        <v>0</v>
      </c>
      <c r="P96" s="26">
        <v>0</v>
      </c>
      <c r="Q96" s="26">
        <v>0</v>
      </c>
      <c r="R96" s="26">
        <v>0</v>
      </c>
      <c r="S96" s="26" t="s">
        <v>512</v>
      </c>
      <c r="T96" s="26" t="s">
        <v>11</v>
      </c>
      <c r="U96" s="379">
        <f t="shared" si="8"/>
        <v>0</v>
      </c>
      <c r="V96" s="379" t="str">
        <f t="shared" si="9"/>
        <v/>
      </c>
      <c r="W96" s="26">
        <v>1</v>
      </c>
      <c r="X96" s="26">
        <v>3</v>
      </c>
      <c r="Y96" s="26">
        <v>0</v>
      </c>
      <c r="Z96" s="27">
        <v>0</v>
      </c>
      <c r="AA96" s="379">
        <v>1</v>
      </c>
      <c r="AB96" s="129">
        <v>7</v>
      </c>
    </row>
    <row r="97" spans="1:29" s="33" customFormat="1" x14ac:dyDescent="0.2">
      <c r="A97" s="112" t="s">
        <v>394</v>
      </c>
      <c r="B97" s="26">
        <v>23</v>
      </c>
      <c r="C97" s="379" t="str">
        <f t="shared" si="5"/>
        <v>23:00</v>
      </c>
      <c r="D97" s="26">
        <v>0</v>
      </c>
      <c r="E97" s="379">
        <f t="shared" si="6"/>
        <v>15</v>
      </c>
      <c r="F97" s="181">
        <v>0.28125</v>
      </c>
      <c r="G97" s="406" t="str">
        <f t="shared" si="7"/>
        <v>6:45</v>
      </c>
      <c r="H97" s="26">
        <v>6</v>
      </c>
      <c r="I97" s="26">
        <v>1</v>
      </c>
      <c r="J97" s="26">
        <v>1</v>
      </c>
      <c r="K97" s="26">
        <v>3</v>
      </c>
      <c r="L97" s="26">
        <v>2</v>
      </c>
      <c r="M97" s="26">
        <v>1</v>
      </c>
      <c r="N97" s="26">
        <v>1</v>
      </c>
      <c r="O97" s="26">
        <v>0</v>
      </c>
      <c r="P97" s="26">
        <v>2</v>
      </c>
      <c r="Q97" s="26">
        <v>2</v>
      </c>
      <c r="R97" s="26">
        <v>0</v>
      </c>
      <c r="S97" s="26" t="s">
        <v>512</v>
      </c>
      <c r="T97" s="26" t="s">
        <v>11</v>
      </c>
      <c r="U97" s="379">
        <f t="shared" si="8"/>
        <v>0</v>
      </c>
      <c r="V97" s="379" t="str">
        <f t="shared" si="9"/>
        <v/>
      </c>
      <c r="W97" s="26">
        <v>1</v>
      </c>
      <c r="X97" s="26">
        <v>0</v>
      </c>
      <c r="Y97" s="26">
        <v>1</v>
      </c>
      <c r="Z97" s="27">
        <v>1</v>
      </c>
      <c r="AA97" s="379">
        <v>1</v>
      </c>
      <c r="AB97" s="129">
        <v>7</v>
      </c>
    </row>
    <row r="98" spans="1:29" s="33" customFormat="1" x14ac:dyDescent="0.2">
      <c r="A98" s="112" t="s">
        <v>395</v>
      </c>
      <c r="B98" s="26">
        <v>23</v>
      </c>
      <c r="C98" s="379" t="str">
        <f t="shared" si="5"/>
        <v>23:00</v>
      </c>
      <c r="D98" s="26">
        <v>0</v>
      </c>
      <c r="E98" s="379">
        <f t="shared" si="6"/>
        <v>15</v>
      </c>
      <c r="F98" s="181">
        <v>0.29166666666666669</v>
      </c>
      <c r="G98" s="406" t="str">
        <f t="shared" si="7"/>
        <v>7:00</v>
      </c>
      <c r="H98" s="26">
        <v>8</v>
      </c>
      <c r="I98" s="26">
        <v>0</v>
      </c>
      <c r="J98" s="26">
        <v>0</v>
      </c>
      <c r="K98" s="26">
        <v>2</v>
      </c>
      <c r="L98" s="26">
        <v>0</v>
      </c>
      <c r="M98" s="26">
        <v>0</v>
      </c>
      <c r="N98" s="26">
        <v>0</v>
      </c>
      <c r="O98" s="26">
        <v>0</v>
      </c>
      <c r="P98" s="26">
        <v>0</v>
      </c>
      <c r="Q98" s="26">
        <v>0</v>
      </c>
      <c r="R98" s="26">
        <v>0</v>
      </c>
      <c r="S98" s="26" t="s">
        <v>512</v>
      </c>
      <c r="T98" s="26" t="s">
        <v>11</v>
      </c>
      <c r="U98" s="379">
        <f t="shared" si="8"/>
        <v>0</v>
      </c>
      <c r="V98" s="379" t="str">
        <f t="shared" si="9"/>
        <v/>
      </c>
      <c r="W98" s="26">
        <v>1</v>
      </c>
      <c r="X98" s="26">
        <v>3</v>
      </c>
      <c r="Y98" s="26">
        <v>0</v>
      </c>
      <c r="Z98" s="27">
        <v>0</v>
      </c>
      <c r="AA98" s="379">
        <v>1</v>
      </c>
      <c r="AB98" s="129">
        <v>4</v>
      </c>
    </row>
    <row r="99" spans="1:29" s="33" customFormat="1" x14ac:dyDescent="0.2">
      <c r="A99" s="112" t="s">
        <v>396</v>
      </c>
      <c r="B99" s="181">
        <v>0.375</v>
      </c>
      <c r="C99" s="379" t="str">
        <f t="shared" si="5"/>
        <v>9:00</v>
      </c>
      <c r="D99" s="26">
        <v>1</v>
      </c>
      <c r="E99" s="379">
        <f t="shared" si="6"/>
        <v>30</v>
      </c>
      <c r="F99" s="181">
        <v>0.29166666666666669</v>
      </c>
      <c r="G99" s="406" t="str">
        <f t="shared" si="7"/>
        <v>7:00</v>
      </c>
      <c r="H99" s="26">
        <v>7</v>
      </c>
      <c r="I99" s="26">
        <v>1</v>
      </c>
      <c r="J99" s="26">
        <v>2</v>
      </c>
      <c r="K99" s="26">
        <v>1</v>
      </c>
      <c r="L99" s="26">
        <v>0</v>
      </c>
      <c r="M99" s="26">
        <v>2</v>
      </c>
      <c r="N99" s="26">
        <v>2</v>
      </c>
      <c r="O99" s="26">
        <v>2</v>
      </c>
      <c r="P99" s="26">
        <v>1</v>
      </c>
      <c r="Q99" s="26">
        <v>1</v>
      </c>
      <c r="R99" s="26">
        <v>2</v>
      </c>
      <c r="S99" s="26" t="s">
        <v>494</v>
      </c>
      <c r="T99" s="26" t="s">
        <v>519</v>
      </c>
      <c r="U99" s="379">
        <f t="shared" si="8"/>
        <v>1</v>
      </c>
      <c r="V99" s="379" t="str">
        <f t="shared" si="9"/>
        <v>backache</v>
      </c>
      <c r="W99" s="26">
        <v>1</v>
      </c>
      <c r="X99" s="26">
        <v>3</v>
      </c>
      <c r="Y99" s="26">
        <v>0</v>
      </c>
      <c r="Z99" s="27">
        <v>1</v>
      </c>
      <c r="AA99" s="379">
        <v>1</v>
      </c>
      <c r="AB99" s="129">
        <v>9</v>
      </c>
    </row>
    <row r="100" spans="1:29" s="33" customFormat="1" x14ac:dyDescent="0.2">
      <c r="A100" s="112" t="s">
        <v>397</v>
      </c>
      <c r="B100" s="181">
        <v>0.89583333333333337</v>
      </c>
      <c r="C100" s="379" t="str">
        <f t="shared" si="5"/>
        <v>21:30</v>
      </c>
      <c r="D100" s="26">
        <v>3</v>
      </c>
      <c r="E100" s="379">
        <f t="shared" si="6"/>
        <v>61</v>
      </c>
      <c r="F100" s="181">
        <v>0.29166666666666669</v>
      </c>
      <c r="G100" s="406" t="str">
        <f t="shared" si="7"/>
        <v>7:00</v>
      </c>
      <c r="H100" s="26">
        <v>8</v>
      </c>
      <c r="I100" s="26">
        <v>0</v>
      </c>
      <c r="J100" s="26">
        <v>3</v>
      </c>
      <c r="K100" s="26">
        <v>3</v>
      </c>
      <c r="L100" s="26">
        <v>3</v>
      </c>
      <c r="M100" s="26">
        <v>0</v>
      </c>
      <c r="N100" s="26">
        <v>0</v>
      </c>
      <c r="O100" s="26">
        <v>2</v>
      </c>
      <c r="P100" s="26">
        <v>2</v>
      </c>
      <c r="Q100" s="26">
        <v>2</v>
      </c>
      <c r="R100" s="26">
        <v>2</v>
      </c>
      <c r="S100" s="26" t="s">
        <v>494</v>
      </c>
      <c r="T100" s="26" t="s">
        <v>527</v>
      </c>
      <c r="U100" s="379">
        <f t="shared" si="8"/>
        <v>1</v>
      </c>
      <c r="V100" s="379" t="str">
        <f t="shared" si="9"/>
        <v>I have more thing that warry me</v>
      </c>
      <c r="W100" s="26">
        <v>1</v>
      </c>
      <c r="X100" s="26">
        <v>0</v>
      </c>
      <c r="Y100" s="26">
        <v>0</v>
      </c>
      <c r="Z100" s="27">
        <v>0</v>
      </c>
      <c r="AA100" s="379">
        <v>1</v>
      </c>
      <c r="AB100" s="129">
        <v>6</v>
      </c>
    </row>
    <row r="101" spans="1:29" s="33" customFormat="1" x14ac:dyDescent="0.2">
      <c r="A101" s="112" t="s">
        <v>398</v>
      </c>
      <c r="B101" s="26">
        <v>0</v>
      </c>
      <c r="C101" s="379" t="str">
        <f t="shared" si="5"/>
        <v>0:00</v>
      </c>
      <c r="D101" s="26">
        <v>0</v>
      </c>
      <c r="E101" s="379">
        <f t="shared" si="6"/>
        <v>15</v>
      </c>
      <c r="F101" s="181">
        <v>0.41666666666666669</v>
      </c>
      <c r="G101" s="406" t="str">
        <f t="shared" si="7"/>
        <v>10:00</v>
      </c>
      <c r="H101" s="26">
        <v>10</v>
      </c>
      <c r="I101" s="26">
        <v>0</v>
      </c>
      <c r="J101" s="26">
        <v>0</v>
      </c>
      <c r="K101" s="26">
        <v>0</v>
      </c>
      <c r="L101" s="26">
        <v>1</v>
      </c>
      <c r="M101" s="26">
        <v>0</v>
      </c>
      <c r="N101" s="26">
        <v>0</v>
      </c>
      <c r="O101" s="26">
        <v>0</v>
      </c>
      <c r="P101" s="26">
        <v>0</v>
      </c>
      <c r="Q101" s="26">
        <v>0</v>
      </c>
      <c r="R101" s="26">
        <v>1</v>
      </c>
      <c r="S101" s="26" t="s">
        <v>512</v>
      </c>
      <c r="T101" s="26" t="s">
        <v>11</v>
      </c>
      <c r="U101" s="379">
        <f t="shared" si="8"/>
        <v>0</v>
      </c>
      <c r="V101" s="379" t="str">
        <f t="shared" si="9"/>
        <v/>
      </c>
      <c r="W101" s="26">
        <v>0</v>
      </c>
      <c r="X101" s="26">
        <v>0</v>
      </c>
      <c r="Y101" s="26">
        <v>0</v>
      </c>
      <c r="Z101" s="27">
        <v>0</v>
      </c>
      <c r="AA101" s="379">
        <v>1</v>
      </c>
      <c r="AB101" s="129">
        <v>1</v>
      </c>
      <c r="AC101" s="312"/>
    </row>
    <row r="102" spans="1:29" s="33" customFormat="1" x14ac:dyDescent="0.2">
      <c r="A102" s="112" t="s">
        <v>399</v>
      </c>
      <c r="B102" s="237">
        <v>0.92708333333333337</v>
      </c>
      <c r="C102" s="379" t="str">
        <f t="shared" si="5"/>
        <v>22:15</v>
      </c>
      <c r="D102" s="112">
        <v>0</v>
      </c>
      <c r="E102" s="379">
        <f t="shared" si="6"/>
        <v>15</v>
      </c>
      <c r="F102" s="181">
        <v>0.25</v>
      </c>
      <c r="G102" s="406" t="str">
        <f t="shared" si="7"/>
        <v>6:00</v>
      </c>
      <c r="H102" s="26">
        <v>8</v>
      </c>
      <c r="I102" s="26">
        <v>0</v>
      </c>
      <c r="J102" s="26">
        <v>0</v>
      </c>
      <c r="K102" s="26">
        <v>1</v>
      </c>
      <c r="L102" s="26">
        <v>3</v>
      </c>
      <c r="M102" s="26">
        <v>3</v>
      </c>
      <c r="N102" s="26">
        <v>0</v>
      </c>
      <c r="O102" s="26">
        <v>1</v>
      </c>
      <c r="P102" s="26">
        <v>2</v>
      </c>
      <c r="Q102" s="26">
        <v>1</v>
      </c>
      <c r="R102" s="26">
        <v>3</v>
      </c>
      <c r="S102" s="26" t="s">
        <v>494</v>
      </c>
      <c r="T102" s="26" t="s">
        <v>528</v>
      </c>
      <c r="U102" s="379">
        <f t="shared" si="8"/>
        <v>1</v>
      </c>
      <c r="V102" s="379" t="str">
        <f t="shared" si="9"/>
        <v>I struggle to turn over in bed</v>
      </c>
      <c r="W102" s="26">
        <v>1</v>
      </c>
      <c r="X102" s="123">
        <v>3</v>
      </c>
      <c r="Y102" s="26">
        <v>0</v>
      </c>
      <c r="Z102" s="27">
        <v>2</v>
      </c>
      <c r="AA102" s="379">
        <v>1</v>
      </c>
      <c r="AB102" s="129">
        <v>7</v>
      </c>
      <c r="AC102" s="312"/>
    </row>
    <row r="103" spans="1:29" s="33" customFormat="1" x14ac:dyDescent="0.2">
      <c r="A103" s="112" t="s">
        <v>401</v>
      </c>
      <c r="B103" s="26">
        <v>22</v>
      </c>
      <c r="C103" s="379" t="str">
        <f t="shared" si="5"/>
        <v>22:00</v>
      </c>
      <c r="D103" s="26">
        <v>0</v>
      </c>
      <c r="E103" s="379">
        <f t="shared" si="6"/>
        <v>15</v>
      </c>
      <c r="F103" s="181">
        <v>0.3125</v>
      </c>
      <c r="G103" s="406" t="str">
        <f t="shared" si="7"/>
        <v>7:30</v>
      </c>
      <c r="H103" s="26">
        <v>9</v>
      </c>
      <c r="I103" s="26">
        <v>0</v>
      </c>
      <c r="J103" s="26">
        <v>0</v>
      </c>
      <c r="K103" s="26">
        <v>0</v>
      </c>
      <c r="L103" s="26">
        <v>3</v>
      </c>
      <c r="M103" s="26">
        <v>1</v>
      </c>
      <c r="N103" s="26">
        <v>1</v>
      </c>
      <c r="O103" s="26">
        <v>0</v>
      </c>
      <c r="P103" s="26">
        <v>0</v>
      </c>
      <c r="Q103" s="26">
        <v>0</v>
      </c>
      <c r="R103" s="26">
        <v>0</v>
      </c>
      <c r="S103" s="26" t="s">
        <v>512</v>
      </c>
      <c r="T103" s="26" t="s">
        <v>11</v>
      </c>
      <c r="U103" s="379">
        <f t="shared" si="8"/>
        <v>0</v>
      </c>
      <c r="V103" s="379" t="str">
        <f t="shared" si="9"/>
        <v/>
      </c>
      <c r="W103" s="26">
        <v>1</v>
      </c>
      <c r="X103" s="26">
        <v>0</v>
      </c>
      <c r="Y103" s="26">
        <v>1</v>
      </c>
      <c r="Z103" s="27">
        <v>2</v>
      </c>
      <c r="AA103" s="379">
        <v>1</v>
      </c>
      <c r="AB103" s="129">
        <v>5</v>
      </c>
    </row>
    <row r="104" spans="1:29" s="33" customFormat="1" x14ac:dyDescent="0.2">
      <c r="A104" s="112" t="s">
        <v>402</v>
      </c>
      <c r="B104" s="181">
        <v>0.89583333333333337</v>
      </c>
      <c r="C104" s="379" t="str">
        <f t="shared" si="5"/>
        <v>21:30</v>
      </c>
      <c r="D104" s="26">
        <v>1</v>
      </c>
      <c r="E104" s="379">
        <f t="shared" si="6"/>
        <v>30</v>
      </c>
      <c r="F104" s="181">
        <v>0.3125</v>
      </c>
      <c r="G104" s="406" t="str">
        <f t="shared" si="7"/>
        <v>7:30</v>
      </c>
      <c r="H104" s="26">
        <v>8</v>
      </c>
      <c r="I104" s="26">
        <v>0</v>
      </c>
      <c r="J104" s="26">
        <v>0</v>
      </c>
      <c r="K104" s="26">
        <v>0</v>
      </c>
      <c r="L104" s="26">
        <v>3</v>
      </c>
      <c r="M104" s="26">
        <v>0</v>
      </c>
      <c r="N104" s="26">
        <v>0</v>
      </c>
      <c r="O104" s="26">
        <v>0</v>
      </c>
      <c r="P104" s="26">
        <v>0</v>
      </c>
      <c r="Q104" s="26">
        <v>0</v>
      </c>
      <c r="R104" s="26">
        <v>0</v>
      </c>
      <c r="S104" s="26" t="s">
        <v>512</v>
      </c>
      <c r="T104" s="26" t="s">
        <v>11</v>
      </c>
      <c r="U104" s="379">
        <f t="shared" si="8"/>
        <v>0</v>
      </c>
      <c r="V104" s="379" t="str">
        <f t="shared" si="9"/>
        <v/>
      </c>
      <c r="W104" s="26">
        <v>1</v>
      </c>
      <c r="X104" s="26">
        <v>0</v>
      </c>
      <c r="Y104" s="26">
        <v>0</v>
      </c>
      <c r="Z104" s="27">
        <v>0</v>
      </c>
      <c r="AA104" s="379">
        <v>1</v>
      </c>
      <c r="AB104" s="129">
        <v>3</v>
      </c>
    </row>
    <row r="105" spans="1:29" s="33" customFormat="1" x14ac:dyDescent="0.2">
      <c r="A105" s="236" t="s">
        <v>403</v>
      </c>
      <c r="B105" s="26">
        <v>0</v>
      </c>
      <c r="C105" s="379" t="str">
        <f t="shared" si="5"/>
        <v>0:00</v>
      </c>
      <c r="D105" s="26">
        <v>0</v>
      </c>
      <c r="E105" s="379">
        <f t="shared" si="6"/>
        <v>15</v>
      </c>
      <c r="F105" s="181">
        <v>0.29166666666666669</v>
      </c>
      <c r="G105" s="406" t="str">
        <f t="shared" si="7"/>
        <v>7:00</v>
      </c>
      <c r="H105" s="26">
        <v>8</v>
      </c>
      <c r="I105" s="26">
        <v>0</v>
      </c>
      <c r="J105" s="26">
        <v>0</v>
      </c>
      <c r="K105" s="26">
        <v>0</v>
      </c>
      <c r="L105" s="26">
        <v>3</v>
      </c>
      <c r="M105" s="26">
        <v>0</v>
      </c>
      <c r="N105" s="26">
        <v>1</v>
      </c>
      <c r="O105" s="26">
        <v>0</v>
      </c>
      <c r="P105" s="26">
        <v>0</v>
      </c>
      <c r="Q105" s="26">
        <v>1</v>
      </c>
      <c r="R105" s="26">
        <v>0</v>
      </c>
      <c r="S105" s="26" t="s">
        <v>512</v>
      </c>
      <c r="T105" s="26" t="s">
        <v>11</v>
      </c>
      <c r="U105" s="379">
        <f t="shared" si="8"/>
        <v>0</v>
      </c>
      <c r="V105" s="379" t="str">
        <f t="shared" si="9"/>
        <v/>
      </c>
      <c r="W105" s="26">
        <v>0</v>
      </c>
      <c r="X105" s="26">
        <v>0</v>
      </c>
      <c r="Y105" s="26">
        <v>1</v>
      </c>
      <c r="Z105" s="27">
        <v>1</v>
      </c>
      <c r="AA105" s="379">
        <v>1</v>
      </c>
      <c r="AB105" s="129">
        <v>3</v>
      </c>
    </row>
    <row r="106" spans="1:29" ht="16" x14ac:dyDescent="0.2">
      <c r="A106" s="124" t="s">
        <v>404</v>
      </c>
      <c r="B106" s="238">
        <v>0.97916666666666663</v>
      </c>
      <c r="C106" s="379" t="str">
        <f t="shared" si="5"/>
        <v>23:30</v>
      </c>
      <c r="D106" s="218">
        <v>0</v>
      </c>
      <c r="E106" s="379">
        <f t="shared" si="6"/>
        <v>15</v>
      </c>
      <c r="F106" s="239">
        <v>0.375</v>
      </c>
      <c r="G106" s="406" t="str">
        <f t="shared" si="7"/>
        <v>9:00</v>
      </c>
      <c r="H106" s="218">
        <v>5</v>
      </c>
      <c r="I106" s="218">
        <v>2</v>
      </c>
      <c r="J106" s="218">
        <v>0</v>
      </c>
      <c r="K106" s="218">
        <v>3</v>
      </c>
      <c r="L106" s="218">
        <v>3</v>
      </c>
      <c r="M106" s="218">
        <v>0</v>
      </c>
      <c r="N106" s="218">
        <v>3</v>
      </c>
      <c r="O106" s="218">
        <v>2</v>
      </c>
      <c r="P106" s="218">
        <v>2</v>
      </c>
      <c r="Q106" s="218">
        <v>0</v>
      </c>
      <c r="R106" s="218">
        <v>1</v>
      </c>
      <c r="S106" s="218">
        <v>0</v>
      </c>
      <c r="T106" s="218" t="s">
        <v>529</v>
      </c>
      <c r="U106" s="379">
        <f t="shared" si="8"/>
        <v>0</v>
      </c>
      <c r="V106" s="379" t="str">
        <f t="shared" si="9"/>
        <v/>
      </c>
      <c r="W106" s="218">
        <v>2</v>
      </c>
      <c r="X106" s="218">
        <v>3</v>
      </c>
      <c r="Y106" s="218">
        <v>3</v>
      </c>
      <c r="Z106" s="240">
        <v>2</v>
      </c>
      <c r="AA106" s="379">
        <v>1</v>
      </c>
      <c r="AB106" s="129">
        <v>15</v>
      </c>
    </row>
    <row r="107" spans="1:29" ht="16" x14ac:dyDescent="0.2">
      <c r="A107" s="127" t="s">
        <v>405</v>
      </c>
      <c r="B107" s="242">
        <v>0.95833333333333337</v>
      </c>
      <c r="C107" s="379" t="str">
        <f t="shared" si="5"/>
        <v>23:00</v>
      </c>
      <c r="D107" s="126">
        <v>3</v>
      </c>
      <c r="E107" s="379">
        <f t="shared" si="6"/>
        <v>61</v>
      </c>
      <c r="F107" s="239">
        <v>0.27083333333333331</v>
      </c>
      <c r="G107" s="406" t="str">
        <f t="shared" si="7"/>
        <v>6:30</v>
      </c>
      <c r="H107" s="126">
        <v>4</v>
      </c>
      <c r="I107" s="126">
        <v>3</v>
      </c>
      <c r="J107" s="126">
        <v>3</v>
      </c>
      <c r="K107" s="126">
        <v>3</v>
      </c>
      <c r="L107" s="126">
        <v>3</v>
      </c>
      <c r="M107" s="126">
        <v>3</v>
      </c>
      <c r="N107" s="126">
        <v>3</v>
      </c>
      <c r="O107" s="126">
        <v>0</v>
      </c>
      <c r="P107" s="126">
        <v>3</v>
      </c>
      <c r="Q107" s="126">
        <v>0</v>
      </c>
      <c r="R107" s="126">
        <v>2</v>
      </c>
      <c r="S107" s="126">
        <v>0</v>
      </c>
      <c r="T107" s="126" t="s">
        <v>530</v>
      </c>
      <c r="U107" s="379">
        <f t="shared" si="8"/>
        <v>0</v>
      </c>
      <c r="V107" s="379" t="str">
        <f t="shared" si="9"/>
        <v/>
      </c>
      <c r="W107" s="126">
        <v>3</v>
      </c>
      <c r="X107" s="126">
        <v>3</v>
      </c>
      <c r="Y107" s="126">
        <v>3</v>
      </c>
      <c r="Z107" s="185">
        <v>3</v>
      </c>
      <c r="AA107" s="379">
        <v>1</v>
      </c>
      <c r="AB107" s="129">
        <v>20</v>
      </c>
    </row>
    <row r="108" spans="1:29" ht="16" x14ac:dyDescent="0.2">
      <c r="A108" s="127" t="s">
        <v>406</v>
      </c>
      <c r="B108" s="243">
        <v>0.95833333333333337</v>
      </c>
      <c r="C108" s="379" t="str">
        <f t="shared" si="5"/>
        <v>23:00</v>
      </c>
      <c r="D108" s="131">
        <v>0</v>
      </c>
      <c r="E108" s="379">
        <f t="shared" si="6"/>
        <v>15</v>
      </c>
      <c r="F108" s="244">
        <v>0.29166666666666669</v>
      </c>
      <c r="G108" s="406" t="str">
        <f t="shared" si="7"/>
        <v>7:00</v>
      </c>
      <c r="H108" s="131">
        <v>8</v>
      </c>
      <c r="I108" s="131">
        <v>0</v>
      </c>
      <c r="J108" s="131">
        <v>0</v>
      </c>
      <c r="K108" s="131">
        <v>3</v>
      </c>
      <c r="L108" s="131">
        <v>3</v>
      </c>
      <c r="M108" s="131">
        <v>0</v>
      </c>
      <c r="N108" s="131">
        <v>3</v>
      </c>
      <c r="O108" s="131">
        <v>0</v>
      </c>
      <c r="P108" s="131">
        <v>0</v>
      </c>
      <c r="Q108" s="131">
        <v>0</v>
      </c>
      <c r="R108" s="131">
        <v>0</v>
      </c>
      <c r="S108" s="131">
        <v>0</v>
      </c>
      <c r="T108" s="131" t="s">
        <v>531</v>
      </c>
      <c r="U108" s="379">
        <f t="shared" si="8"/>
        <v>0</v>
      </c>
      <c r="V108" s="379" t="str">
        <f t="shared" si="9"/>
        <v/>
      </c>
      <c r="W108" s="131">
        <v>1</v>
      </c>
      <c r="X108" s="131">
        <v>0</v>
      </c>
      <c r="Y108" s="131">
        <v>0</v>
      </c>
      <c r="Z108" s="245">
        <v>0</v>
      </c>
      <c r="AA108" s="379">
        <v>1</v>
      </c>
      <c r="AB108" s="131">
        <v>4</v>
      </c>
    </row>
    <row r="109" spans="1:29" ht="16" x14ac:dyDescent="0.2">
      <c r="A109" s="127" t="s">
        <v>407</v>
      </c>
      <c r="B109" s="246">
        <v>0.95833333333333337</v>
      </c>
      <c r="C109" s="379" t="str">
        <f t="shared" si="5"/>
        <v>23:00</v>
      </c>
      <c r="D109" s="28">
        <v>1</v>
      </c>
      <c r="E109" s="379">
        <f t="shared" si="6"/>
        <v>30</v>
      </c>
      <c r="F109" s="247">
        <v>0.33333333333333331</v>
      </c>
      <c r="G109" s="406" t="str">
        <f t="shared" si="7"/>
        <v>8:00</v>
      </c>
      <c r="H109" s="28">
        <v>7</v>
      </c>
      <c r="I109" s="28">
        <v>1</v>
      </c>
      <c r="J109" s="28">
        <v>1</v>
      </c>
      <c r="K109" s="28">
        <v>3</v>
      </c>
      <c r="L109" s="28">
        <v>3</v>
      </c>
      <c r="M109" s="28">
        <v>0</v>
      </c>
      <c r="N109" s="28">
        <v>3</v>
      </c>
      <c r="O109" s="28">
        <v>0</v>
      </c>
      <c r="P109" s="28">
        <v>3</v>
      </c>
      <c r="Q109" s="28">
        <v>0</v>
      </c>
      <c r="R109" s="28">
        <v>0</v>
      </c>
      <c r="S109" s="28">
        <v>0</v>
      </c>
      <c r="T109" s="28" t="s">
        <v>529</v>
      </c>
      <c r="U109" s="379">
        <f t="shared" si="8"/>
        <v>0</v>
      </c>
      <c r="V109" s="379" t="str">
        <f t="shared" si="9"/>
        <v/>
      </c>
      <c r="W109" s="28">
        <v>2</v>
      </c>
      <c r="X109" s="28">
        <v>0</v>
      </c>
      <c r="Y109" s="28">
        <v>1</v>
      </c>
      <c r="Z109" s="187">
        <v>0</v>
      </c>
      <c r="AA109" s="379">
        <v>1</v>
      </c>
      <c r="AB109" s="28">
        <v>10</v>
      </c>
    </row>
    <row r="110" spans="1:29" ht="16" x14ac:dyDescent="0.2">
      <c r="A110" s="132" t="s">
        <v>408</v>
      </c>
      <c r="B110" s="246">
        <v>0.95833333333333337</v>
      </c>
      <c r="C110" s="379" t="str">
        <f t="shared" si="5"/>
        <v>23:00</v>
      </c>
      <c r="D110" s="200">
        <v>0</v>
      </c>
      <c r="E110" s="379">
        <f t="shared" si="6"/>
        <v>15</v>
      </c>
      <c r="F110" s="249">
        <v>0.33333333333333331</v>
      </c>
      <c r="G110" s="406" t="str">
        <f t="shared" si="7"/>
        <v>8:00</v>
      </c>
      <c r="H110" s="200">
        <v>7</v>
      </c>
      <c r="I110" s="200">
        <v>0</v>
      </c>
      <c r="J110" s="200">
        <v>0</v>
      </c>
      <c r="K110" s="200">
        <v>0</v>
      </c>
      <c r="L110" s="200">
        <v>0</v>
      </c>
      <c r="M110" s="200">
        <v>0</v>
      </c>
      <c r="N110" s="200">
        <v>2</v>
      </c>
      <c r="O110" s="200">
        <v>0</v>
      </c>
      <c r="P110" s="200">
        <v>0</v>
      </c>
      <c r="Q110" s="200">
        <v>2</v>
      </c>
      <c r="R110" s="200">
        <v>0</v>
      </c>
      <c r="S110" s="200">
        <v>0</v>
      </c>
      <c r="T110" s="200" t="s">
        <v>533</v>
      </c>
      <c r="U110" s="379">
        <f t="shared" si="8"/>
        <v>0</v>
      </c>
      <c r="V110" s="379" t="str">
        <f t="shared" si="9"/>
        <v/>
      </c>
      <c r="W110" s="200">
        <v>0</v>
      </c>
      <c r="X110" s="200">
        <v>0</v>
      </c>
      <c r="Y110" s="200">
        <v>0</v>
      </c>
      <c r="Z110" s="250">
        <v>2</v>
      </c>
      <c r="AA110" s="379">
        <v>1</v>
      </c>
      <c r="AB110" s="28">
        <v>6</v>
      </c>
    </row>
    <row r="111" spans="1:29" x14ac:dyDescent="0.2">
      <c r="A111" s="127" t="s">
        <v>409</v>
      </c>
      <c r="B111" s="243">
        <v>0.5</v>
      </c>
      <c r="C111" s="379" t="str">
        <f t="shared" si="5"/>
        <v>12:00</v>
      </c>
      <c r="D111" s="129">
        <v>2</v>
      </c>
      <c r="E111" s="379">
        <f t="shared" si="6"/>
        <v>60</v>
      </c>
      <c r="F111" s="243">
        <v>0.375</v>
      </c>
      <c r="G111" s="406" t="str">
        <f t="shared" si="7"/>
        <v>9:00</v>
      </c>
      <c r="H111" s="129">
        <v>8</v>
      </c>
      <c r="I111" s="129">
        <v>0</v>
      </c>
      <c r="J111" s="129">
        <v>1</v>
      </c>
      <c r="K111" s="129">
        <v>3</v>
      </c>
      <c r="L111" s="129">
        <v>3</v>
      </c>
      <c r="M111" s="129">
        <v>0</v>
      </c>
      <c r="N111" s="129">
        <v>0</v>
      </c>
      <c r="O111" s="129">
        <v>0</v>
      </c>
      <c r="P111" s="129">
        <v>0</v>
      </c>
      <c r="Q111" s="129">
        <v>0</v>
      </c>
      <c r="R111" s="129">
        <v>0</v>
      </c>
      <c r="S111" s="129">
        <v>0</v>
      </c>
      <c r="T111" s="129" t="s">
        <v>534</v>
      </c>
      <c r="U111" s="379">
        <f t="shared" si="8"/>
        <v>0</v>
      </c>
      <c r="V111" s="379" t="str">
        <f t="shared" si="9"/>
        <v/>
      </c>
      <c r="W111" s="129">
        <v>2</v>
      </c>
      <c r="X111" s="129">
        <v>0</v>
      </c>
      <c r="Y111" s="129">
        <v>0</v>
      </c>
      <c r="Z111" s="234">
        <v>0</v>
      </c>
      <c r="AA111" s="379">
        <v>1</v>
      </c>
      <c r="AB111" s="129">
        <v>8</v>
      </c>
    </row>
    <row r="112" spans="1:29" x14ac:dyDescent="0.2">
      <c r="A112" s="127" t="s">
        <v>410</v>
      </c>
      <c r="B112" s="249">
        <v>0.95833333333333337</v>
      </c>
      <c r="C112" s="379" t="str">
        <f t="shared" si="5"/>
        <v>23:00</v>
      </c>
      <c r="D112" s="28">
        <v>1</v>
      </c>
      <c r="E112" s="379">
        <f t="shared" si="6"/>
        <v>30</v>
      </c>
      <c r="F112" s="249">
        <v>0.375</v>
      </c>
      <c r="G112" s="406" t="str">
        <f t="shared" si="7"/>
        <v>9:00</v>
      </c>
      <c r="H112" s="28">
        <v>8</v>
      </c>
      <c r="I112" s="28">
        <v>0</v>
      </c>
      <c r="J112" s="28">
        <v>2</v>
      </c>
      <c r="K112" s="28">
        <v>3</v>
      </c>
      <c r="L112" s="28">
        <v>3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 t="s">
        <v>535</v>
      </c>
      <c r="U112" s="379">
        <f t="shared" si="8"/>
        <v>0</v>
      </c>
      <c r="V112" s="379" t="str">
        <f t="shared" si="9"/>
        <v/>
      </c>
      <c r="W112" s="28">
        <v>2</v>
      </c>
      <c r="X112" s="28">
        <v>0</v>
      </c>
      <c r="Y112" s="28">
        <v>3</v>
      </c>
      <c r="Z112" s="187">
        <v>0</v>
      </c>
      <c r="AA112" s="379">
        <v>1</v>
      </c>
      <c r="AB112" s="143">
        <v>10</v>
      </c>
    </row>
    <row r="113" spans="1:30" ht="16" x14ac:dyDescent="0.2">
      <c r="A113" s="133" t="s">
        <v>411</v>
      </c>
      <c r="B113" s="251">
        <v>0</v>
      </c>
      <c r="C113" s="379" t="str">
        <f t="shared" si="5"/>
        <v>0:00</v>
      </c>
      <c r="D113" s="126">
        <v>0</v>
      </c>
      <c r="E113" s="379">
        <f t="shared" si="6"/>
        <v>15</v>
      </c>
      <c r="F113" s="247">
        <v>0.33333333333333331</v>
      </c>
      <c r="G113" s="406" t="str">
        <f t="shared" si="7"/>
        <v>8:00</v>
      </c>
      <c r="H113" s="126">
        <v>8</v>
      </c>
      <c r="I113" s="126">
        <v>0</v>
      </c>
      <c r="J113" s="126">
        <v>0</v>
      </c>
      <c r="K113" s="126">
        <v>1</v>
      </c>
      <c r="L113" s="126">
        <v>1</v>
      </c>
      <c r="M113" s="126">
        <v>0</v>
      </c>
      <c r="N113" s="126">
        <v>3</v>
      </c>
      <c r="O113" s="126">
        <v>0</v>
      </c>
      <c r="P113" s="126">
        <v>0</v>
      </c>
      <c r="Q113" s="126">
        <v>0</v>
      </c>
      <c r="R113" s="126">
        <v>0</v>
      </c>
      <c r="S113" s="126">
        <v>0</v>
      </c>
      <c r="T113" s="126" t="s">
        <v>536</v>
      </c>
      <c r="U113" s="379">
        <f t="shared" si="8"/>
        <v>0</v>
      </c>
      <c r="V113" s="379" t="str">
        <f t="shared" si="9"/>
        <v/>
      </c>
      <c r="W113" s="126">
        <v>0</v>
      </c>
      <c r="X113" s="126">
        <v>3</v>
      </c>
      <c r="Y113" s="126">
        <v>0</v>
      </c>
      <c r="Z113" s="185">
        <v>1</v>
      </c>
      <c r="AA113" s="379">
        <v>1</v>
      </c>
      <c r="AB113" s="129">
        <v>5</v>
      </c>
    </row>
    <row r="114" spans="1:30" x14ac:dyDescent="0.2">
      <c r="A114" s="136" t="s">
        <v>412</v>
      </c>
      <c r="B114" s="243">
        <v>4.1666666666666664E-2</v>
      </c>
      <c r="C114" s="379" t="str">
        <f t="shared" si="5"/>
        <v>1:00</v>
      </c>
      <c r="D114" s="126">
        <v>0</v>
      </c>
      <c r="E114" s="379">
        <f t="shared" si="6"/>
        <v>15</v>
      </c>
      <c r="F114" s="252">
        <v>0.33333333333333331</v>
      </c>
      <c r="G114" s="406" t="str">
        <f t="shared" si="7"/>
        <v>8:00</v>
      </c>
      <c r="H114" s="126">
        <v>6</v>
      </c>
      <c r="I114" s="126">
        <v>2</v>
      </c>
      <c r="J114" s="126">
        <v>0</v>
      </c>
      <c r="K114" s="126">
        <v>3</v>
      </c>
      <c r="L114" s="126">
        <v>3</v>
      </c>
      <c r="M114" s="126">
        <v>0</v>
      </c>
      <c r="N114" s="126">
        <v>3</v>
      </c>
      <c r="O114" s="126">
        <v>2</v>
      </c>
      <c r="P114" s="126">
        <v>2</v>
      </c>
      <c r="Q114" s="126">
        <v>3</v>
      </c>
      <c r="R114" s="126">
        <v>3</v>
      </c>
      <c r="S114" s="126">
        <v>0</v>
      </c>
      <c r="T114" s="126" t="s">
        <v>534</v>
      </c>
      <c r="U114" s="379">
        <f t="shared" si="8"/>
        <v>0</v>
      </c>
      <c r="V114" s="379" t="str">
        <f t="shared" si="9"/>
        <v/>
      </c>
      <c r="W114" s="126">
        <v>2</v>
      </c>
      <c r="X114" s="126">
        <v>0</v>
      </c>
      <c r="Y114" s="126">
        <v>3</v>
      </c>
      <c r="Z114" s="185">
        <v>2</v>
      </c>
      <c r="AA114" s="379">
        <v>1</v>
      </c>
      <c r="AB114" s="126">
        <v>13</v>
      </c>
    </row>
    <row r="115" spans="1:30" ht="16" x14ac:dyDescent="0.2">
      <c r="A115" s="136" t="s">
        <v>413</v>
      </c>
      <c r="B115" s="253">
        <v>0.9375</v>
      </c>
      <c r="C115" s="379" t="str">
        <f t="shared" si="5"/>
        <v>22:30</v>
      </c>
      <c r="D115" s="131">
        <v>0</v>
      </c>
      <c r="E115" s="379">
        <f t="shared" si="6"/>
        <v>15</v>
      </c>
      <c r="F115" s="254">
        <v>0.39583333333333331</v>
      </c>
      <c r="G115" s="406" t="str">
        <f t="shared" si="7"/>
        <v>9:30</v>
      </c>
      <c r="H115" s="131">
        <v>10</v>
      </c>
      <c r="I115" s="131">
        <v>0</v>
      </c>
      <c r="J115" s="131">
        <v>0</v>
      </c>
      <c r="K115" s="131">
        <v>3</v>
      </c>
      <c r="L115" s="131">
        <v>3</v>
      </c>
      <c r="M115" s="131">
        <v>0</v>
      </c>
      <c r="N115" s="131">
        <v>2</v>
      </c>
      <c r="O115" s="131">
        <v>0</v>
      </c>
      <c r="P115" s="131">
        <v>0</v>
      </c>
      <c r="Q115" s="131">
        <v>1</v>
      </c>
      <c r="R115" s="131">
        <v>0</v>
      </c>
      <c r="S115" s="131">
        <v>0</v>
      </c>
      <c r="T115" s="131" t="s">
        <v>534</v>
      </c>
      <c r="U115" s="379">
        <f t="shared" si="8"/>
        <v>0</v>
      </c>
      <c r="V115" s="379" t="str">
        <f t="shared" si="9"/>
        <v/>
      </c>
      <c r="W115" s="131">
        <v>1</v>
      </c>
      <c r="X115" s="131">
        <v>0</v>
      </c>
      <c r="Y115" s="131">
        <v>3</v>
      </c>
      <c r="Z115" s="245">
        <v>3</v>
      </c>
      <c r="AA115" s="379">
        <v>1</v>
      </c>
      <c r="AB115" s="131">
        <v>8</v>
      </c>
    </row>
    <row r="116" spans="1:30" ht="16" x14ac:dyDescent="0.2">
      <c r="A116" s="136" t="s">
        <v>414</v>
      </c>
      <c r="B116" s="247">
        <v>0.97916666666666663</v>
      </c>
      <c r="C116" s="379" t="str">
        <f t="shared" si="5"/>
        <v>23:30</v>
      </c>
      <c r="D116" s="28">
        <v>2</v>
      </c>
      <c r="E116" s="379">
        <f t="shared" si="6"/>
        <v>60</v>
      </c>
      <c r="F116" s="249">
        <v>0.33333333333333331</v>
      </c>
      <c r="G116" s="406" t="str">
        <f t="shared" si="7"/>
        <v>8:00</v>
      </c>
      <c r="H116" s="28">
        <v>6</v>
      </c>
      <c r="I116" s="28">
        <v>2</v>
      </c>
      <c r="J116" s="28">
        <v>2</v>
      </c>
      <c r="K116" s="28">
        <v>3</v>
      </c>
      <c r="L116" s="28">
        <v>3</v>
      </c>
      <c r="M116" s="28">
        <v>0</v>
      </c>
      <c r="N116" s="28">
        <v>1</v>
      </c>
      <c r="O116" s="28">
        <v>0</v>
      </c>
      <c r="P116" s="28">
        <v>2</v>
      </c>
      <c r="Q116" s="28">
        <v>3</v>
      </c>
      <c r="R116" s="28">
        <v>2</v>
      </c>
      <c r="S116" s="28">
        <v>0</v>
      </c>
      <c r="T116" s="28" t="s">
        <v>529</v>
      </c>
      <c r="U116" s="379">
        <f t="shared" si="8"/>
        <v>0</v>
      </c>
      <c r="V116" s="379" t="str">
        <f t="shared" si="9"/>
        <v/>
      </c>
      <c r="W116" s="28">
        <v>2</v>
      </c>
      <c r="X116" s="28">
        <v>0</v>
      </c>
      <c r="Y116" s="28">
        <v>3</v>
      </c>
      <c r="Z116" s="187">
        <v>2</v>
      </c>
      <c r="AA116" s="379">
        <v>1</v>
      </c>
      <c r="AB116" s="28">
        <v>14</v>
      </c>
    </row>
    <row r="117" spans="1:30" ht="16" x14ac:dyDescent="0.2">
      <c r="A117" s="139" t="s">
        <v>415</v>
      </c>
      <c r="B117" s="251">
        <v>0.95833333333333337</v>
      </c>
      <c r="C117" s="379" t="str">
        <f t="shared" si="5"/>
        <v>23:00</v>
      </c>
      <c r="D117" s="129">
        <v>0</v>
      </c>
      <c r="E117" s="379">
        <f t="shared" si="6"/>
        <v>15</v>
      </c>
      <c r="F117" s="248">
        <v>0.29166666666666669</v>
      </c>
      <c r="G117" s="406" t="str">
        <f t="shared" si="7"/>
        <v>7:00</v>
      </c>
      <c r="H117" s="129">
        <v>7</v>
      </c>
      <c r="I117" s="129">
        <v>0</v>
      </c>
      <c r="J117" s="129">
        <v>0</v>
      </c>
      <c r="K117" s="129">
        <v>3</v>
      </c>
      <c r="L117" s="129">
        <v>3</v>
      </c>
      <c r="M117" s="129">
        <v>0</v>
      </c>
      <c r="N117" s="129">
        <v>3</v>
      </c>
      <c r="O117" s="129">
        <v>0</v>
      </c>
      <c r="P117" s="129">
        <v>0</v>
      </c>
      <c r="Q117" s="129">
        <v>0</v>
      </c>
      <c r="R117" s="129">
        <v>0</v>
      </c>
      <c r="S117" s="129">
        <v>0</v>
      </c>
      <c r="T117" s="129" t="s">
        <v>531</v>
      </c>
      <c r="U117" s="379">
        <f t="shared" si="8"/>
        <v>0</v>
      </c>
      <c r="V117" s="379" t="str">
        <f t="shared" si="9"/>
        <v/>
      </c>
      <c r="W117" s="129">
        <v>1</v>
      </c>
      <c r="X117" s="129">
        <v>0</v>
      </c>
      <c r="Y117" s="129">
        <v>0</v>
      </c>
      <c r="Z117" s="234">
        <v>0</v>
      </c>
      <c r="AA117" s="379">
        <v>1</v>
      </c>
      <c r="AB117" s="129">
        <v>6</v>
      </c>
    </row>
    <row r="118" spans="1:30" ht="16" x14ac:dyDescent="0.2">
      <c r="A118" s="139" t="s">
        <v>416</v>
      </c>
      <c r="B118" s="251">
        <v>0.95833333333333337</v>
      </c>
      <c r="C118" s="379" t="str">
        <f t="shared" si="5"/>
        <v>23:00</v>
      </c>
      <c r="D118" s="129">
        <v>0</v>
      </c>
      <c r="E118" s="379">
        <f t="shared" si="6"/>
        <v>15</v>
      </c>
      <c r="F118" s="254">
        <v>0.33333333333333331</v>
      </c>
      <c r="G118" s="406" t="str">
        <f t="shared" si="7"/>
        <v>8:00</v>
      </c>
      <c r="H118" s="131">
        <v>8</v>
      </c>
      <c r="I118" s="129">
        <v>0</v>
      </c>
      <c r="J118" s="129">
        <v>0</v>
      </c>
      <c r="K118" s="129">
        <v>3</v>
      </c>
      <c r="L118" s="129">
        <v>3</v>
      </c>
      <c r="M118" s="129">
        <v>0</v>
      </c>
      <c r="N118" s="129">
        <v>2</v>
      </c>
      <c r="O118" s="129">
        <v>0</v>
      </c>
      <c r="P118" s="129">
        <v>0</v>
      </c>
      <c r="Q118" s="129">
        <v>0</v>
      </c>
      <c r="R118" s="129">
        <v>2</v>
      </c>
      <c r="S118" s="129">
        <v>0</v>
      </c>
      <c r="T118" s="129" t="s">
        <v>531</v>
      </c>
      <c r="U118" s="379">
        <f t="shared" si="8"/>
        <v>0</v>
      </c>
      <c r="V118" s="379" t="str">
        <f t="shared" si="9"/>
        <v/>
      </c>
      <c r="W118" s="129">
        <v>1</v>
      </c>
      <c r="X118" s="129">
        <v>0</v>
      </c>
      <c r="Y118" s="129">
        <v>0</v>
      </c>
      <c r="Z118" s="234">
        <v>0</v>
      </c>
      <c r="AA118" s="379">
        <v>1</v>
      </c>
      <c r="AB118" s="129">
        <v>6</v>
      </c>
    </row>
    <row r="119" spans="1:30" ht="16" x14ac:dyDescent="0.2">
      <c r="A119" s="139" t="s">
        <v>417</v>
      </c>
      <c r="B119" s="251">
        <v>0.97916666666666663</v>
      </c>
      <c r="C119" s="379" t="str">
        <f t="shared" si="5"/>
        <v>23:30</v>
      </c>
      <c r="D119" s="204">
        <v>0</v>
      </c>
      <c r="E119" s="379">
        <f t="shared" si="6"/>
        <v>15</v>
      </c>
      <c r="F119" s="249">
        <v>0.375</v>
      </c>
      <c r="G119" s="406" t="str">
        <f t="shared" si="7"/>
        <v>9:00</v>
      </c>
      <c r="H119" s="28">
        <v>8</v>
      </c>
      <c r="I119" s="129">
        <v>0</v>
      </c>
      <c r="J119" s="129">
        <v>0</v>
      </c>
      <c r="K119" s="129">
        <v>1</v>
      </c>
      <c r="L119" s="129">
        <v>1</v>
      </c>
      <c r="M119" s="129">
        <v>0</v>
      </c>
      <c r="N119" s="129">
        <v>2</v>
      </c>
      <c r="O119" s="129">
        <v>0</v>
      </c>
      <c r="P119" s="129">
        <v>0</v>
      </c>
      <c r="Q119" s="129">
        <v>1</v>
      </c>
      <c r="R119" s="129">
        <v>0</v>
      </c>
      <c r="S119" s="129">
        <v>0</v>
      </c>
      <c r="T119" s="129" t="s">
        <v>536</v>
      </c>
      <c r="U119" s="379">
        <f t="shared" si="8"/>
        <v>0</v>
      </c>
      <c r="V119" s="379" t="str">
        <f t="shared" si="9"/>
        <v/>
      </c>
      <c r="W119" s="129">
        <v>0</v>
      </c>
      <c r="X119" s="129">
        <v>0</v>
      </c>
      <c r="Y119" s="129">
        <v>0</v>
      </c>
      <c r="Z119" s="234">
        <v>0</v>
      </c>
      <c r="AA119" s="379">
        <v>1</v>
      </c>
      <c r="AB119" s="129">
        <v>4</v>
      </c>
    </row>
    <row r="120" spans="1:30" ht="16" x14ac:dyDescent="0.2">
      <c r="A120" s="139" t="s">
        <v>418</v>
      </c>
      <c r="B120" s="251">
        <v>0</v>
      </c>
      <c r="C120" s="379" t="str">
        <f t="shared" si="5"/>
        <v>0:00</v>
      </c>
      <c r="D120" s="211">
        <v>1</v>
      </c>
      <c r="E120" s="379">
        <f t="shared" si="6"/>
        <v>30</v>
      </c>
      <c r="F120" s="247">
        <v>0.33333333333333331</v>
      </c>
      <c r="G120" s="406" t="str">
        <f t="shared" si="7"/>
        <v>8:00</v>
      </c>
      <c r="H120" s="212">
        <v>7</v>
      </c>
      <c r="I120" s="210">
        <v>0</v>
      </c>
      <c r="J120" s="210">
        <v>0</v>
      </c>
      <c r="K120" s="210">
        <v>3</v>
      </c>
      <c r="L120" s="210">
        <v>3</v>
      </c>
      <c r="M120" s="210">
        <v>0</v>
      </c>
      <c r="N120" s="210">
        <v>3</v>
      </c>
      <c r="O120" s="210">
        <v>0</v>
      </c>
      <c r="P120" s="210">
        <v>0</v>
      </c>
      <c r="Q120" s="210">
        <v>0</v>
      </c>
      <c r="R120" s="210">
        <v>0</v>
      </c>
      <c r="S120" s="210">
        <v>0</v>
      </c>
      <c r="T120" s="210" t="s">
        <v>531</v>
      </c>
      <c r="U120" s="379">
        <f t="shared" si="8"/>
        <v>0</v>
      </c>
      <c r="V120" s="379" t="str">
        <f t="shared" si="9"/>
        <v/>
      </c>
      <c r="W120" s="210">
        <v>1</v>
      </c>
      <c r="X120" s="210">
        <v>3</v>
      </c>
      <c r="Y120" s="210">
        <v>3</v>
      </c>
      <c r="Z120" s="255">
        <v>2</v>
      </c>
      <c r="AA120" s="379">
        <v>1</v>
      </c>
      <c r="AB120" s="210">
        <v>13</v>
      </c>
    </row>
    <row r="121" spans="1:30" ht="16" x14ac:dyDescent="0.2">
      <c r="A121" s="139" t="s">
        <v>419</v>
      </c>
      <c r="B121" s="251">
        <v>0.91666666666666663</v>
      </c>
      <c r="C121" s="379" t="str">
        <f t="shared" si="5"/>
        <v>22:00</v>
      </c>
      <c r="D121" s="204">
        <v>0</v>
      </c>
      <c r="E121" s="379">
        <f t="shared" si="6"/>
        <v>15</v>
      </c>
      <c r="F121" s="247">
        <v>0.3125</v>
      </c>
      <c r="G121" s="406" t="str">
        <f t="shared" si="7"/>
        <v>7:30</v>
      </c>
      <c r="H121" s="28">
        <v>8</v>
      </c>
      <c r="I121" s="129">
        <v>0</v>
      </c>
      <c r="J121" s="129">
        <v>0</v>
      </c>
      <c r="K121" s="129">
        <v>2</v>
      </c>
      <c r="L121" s="129">
        <v>3</v>
      </c>
      <c r="M121" s="129">
        <v>0</v>
      </c>
      <c r="N121" s="129">
        <v>0</v>
      </c>
      <c r="O121" s="129">
        <v>0</v>
      </c>
      <c r="P121" s="129">
        <v>0</v>
      </c>
      <c r="Q121" s="129">
        <v>0</v>
      </c>
      <c r="R121" s="129">
        <v>3</v>
      </c>
      <c r="S121" s="129">
        <v>0</v>
      </c>
      <c r="T121" s="129" t="s">
        <v>531</v>
      </c>
      <c r="U121" s="379">
        <f t="shared" si="8"/>
        <v>0</v>
      </c>
      <c r="V121" s="379" t="str">
        <f t="shared" si="9"/>
        <v/>
      </c>
      <c r="W121" s="129">
        <v>1</v>
      </c>
      <c r="X121" s="129">
        <v>2</v>
      </c>
      <c r="Y121" s="129">
        <v>0</v>
      </c>
      <c r="Z121" s="234">
        <v>0</v>
      </c>
      <c r="AA121" s="379">
        <v>1</v>
      </c>
      <c r="AB121" s="129">
        <v>7</v>
      </c>
    </row>
    <row r="122" spans="1:30" ht="16" x14ac:dyDescent="0.2">
      <c r="A122" s="139" t="s">
        <v>420</v>
      </c>
      <c r="B122" s="251">
        <v>0</v>
      </c>
      <c r="C122" s="379" t="str">
        <f t="shared" si="5"/>
        <v>0:00</v>
      </c>
      <c r="D122" s="204">
        <v>1</v>
      </c>
      <c r="E122" s="379">
        <f t="shared" si="6"/>
        <v>30</v>
      </c>
      <c r="F122" s="249">
        <v>0.29166666666666669</v>
      </c>
      <c r="G122" s="406" t="str">
        <f t="shared" si="7"/>
        <v>7:00</v>
      </c>
      <c r="H122" s="28">
        <v>6</v>
      </c>
      <c r="I122" s="129">
        <v>1</v>
      </c>
      <c r="J122" s="129">
        <v>1</v>
      </c>
      <c r="K122" s="129">
        <v>2</v>
      </c>
      <c r="L122" s="129">
        <v>2</v>
      </c>
      <c r="M122" s="129">
        <v>0</v>
      </c>
      <c r="N122" s="129">
        <v>0</v>
      </c>
      <c r="O122" s="129">
        <v>0</v>
      </c>
      <c r="P122" s="129">
        <v>0</v>
      </c>
      <c r="Q122" s="129">
        <v>1</v>
      </c>
      <c r="R122" s="129">
        <v>1</v>
      </c>
      <c r="S122" s="129">
        <v>0</v>
      </c>
      <c r="T122" s="129" t="s">
        <v>531</v>
      </c>
      <c r="U122" s="379">
        <f t="shared" si="8"/>
        <v>0</v>
      </c>
      <c r="V122" s="379" t="str">
        <f t="shared" si="9"/>
        <v/>
      </c>
      <c r="W122" s="129">
        <v>1</v>
      </c>
      <c r="X122" s="129">
        <v>0</v>
      </c>
      <c r="Y122" s="129">
        <v>1</v>
      </c>
      <c r="Z122" s="234">
        <v>1</v>
      </c>
      <c r="AA122" s="379">
        <v>1</v>
      </c>
      <c r="AB122" s="129">
        <v>9</v>
      </c>
    </row>
    <row r="123" spans="1:30" ht="16" x14ac:dyDescent="0.2">
      <c r="A123" s="139" t="s">
        <v>421</v>
      </c>
      <c r="B123" s="251">
        <v>0</v>
      </c>
      <c r="C123" s="379" t="str">
        <f t="shared" si="5"/>
        <v>0:00</v>
      </c>
      <c r="D123" s="204">
        <v>0</v>
      </c>
      <c r="E123" s="379">
        <f t="shared" si="6"/>
        <v>15</v>
      </c>
      <c r="F123" s="249">
        <v>0.35416666666666669</v>
      </c>
      <c r="G123" s="406" t="str">
        <f t="shared" si="7"/>
        <v>8:30</v>
      </c>
      <c r="H123" s="28">
        <v>8</v>
      </c>
      <c r="I123" s="129">
        <v>0</v>
      </c>
      <c r="J123" s="129">
        <v>0</v>
      </c>
      <c r="K123" s="129">
        <v>3</v>
      </c>
      <c r="L123" s="129">
        <v>3</v>
      </c>
      <c r="M123" s="129">
        <v>0</v>
      </c>
      <c r="N123" s="129">
        <v>3</v>
      </c>
      <c r="O123" s="129">
        <v>0</v>
      </c>
      <c r="P123" s="129">
        <v>0</v>
      </c>
      <c r="Q123" s="129">
        <v>0</v>
      </c>
      <c r="R123" s="129">
        <v>0</v>
      </c>
      <c r="S123" s="129">
        <v>0</v>
      </c>
      <c r="T123" s="129" t="s">
        <v>536</v>
      </c>
      <c r="U123" s="379">
        <f t="shared" si="8"/>
        <v>0</v>
      </c>
      <c r="V123" s="379" t="str">
        <f t="shared" si="9"/>
        <v/>
      </c>
      <c r="W123" s="129">
        <v>0</v>
      </c>
      <c r="X123" s="129">
        <v>3</v>
      </c>
      <c r="Y123" s="129">
        <v>3</v>
      </c>
      <c r="Z123" s="234">
        <v>1</v>
      </c>
      <c r="AA123" s="379">
        <v>1</v>
      </c>
      <c r="AB123" s="129">
        <v>9</v>
      </c>
    </row>
    <row r="124" spans="1:30" ht="16" x14ac:dyDescent="0.2">
      <c r="A124" s="139" t="s">
        <v>422</v>
      </c>
      <c r="B124" s="253">
        <v>0.95833333333333337</v>
      </c>
      <c r="C124" s="379" t="str">
        <f t="shared" si="5"/>
        <v>23:00</v>
      </c>
      <c r="D124" s="204">
        <v>0</v>
      </c>
      <c r="E124" s="379">
        <f t="shared" si="6"/>
        <v>15</v>
      </c>
      <c r="F124" s="249">
        <v>0.375</v>
      </c>
      <c r="G124" s="406" t="str">
        <f t="shared" si="7"/>
        <v>9:00</v>
      </c>
      <c r="H124" s="28">
        <v>8</v>
      </c>
      <c r="I124" s="129">
        <v>0</v>
      </c>
      <c r="J124" s="129">
        <v>1</v>
      </c>
      <c r="K124" s="129">
        <v>3</v>
      </c>
      <c r="L124" s="129">
        <v>3</v>
      </c>
      <c r="M124" s="129">
        <v>0</v>
      </c>
      <c r="N124" s="129">
        <v>3</v>
      </c>
      <c r="O124" s="129">
        <v>0</v>
      </c>
      <c r="P124" s="129">
        <v>0</v>
      </c>
      <c r="Q124" s="129">
        <v>0</v>
      </c>
      <c r="R124" s="129">
        <v>0</v>
      </c>
      <c r="S124" s="129">
        <v>0</v>
      </c>
      <c r="T124" s="129" t="s">
        <v>531</v>
      </c>
      <c r="U124" s="379">
        <f t="shared" si="8"/>
        <v>0</v>
      </c>
      <c r="V124" s="379" t="str">
        <f t="shared" si="9"/>
        <v/>
      </c>
      <c r="W124" s="129">
        <v>1</v>
      </c>
      <c r="X124" s="129">
        <v>0</v>
      </c>
      <c r="Y124" s="129">
        <v>3</v>
      </c>
      <c r="Z124" s="234">
        <v>2</v>
      </c>
      <c r="AA124" s="379">
        <v>1</v>
      </c>
      <c r="AB124" s="129">
        <v>9</v>
      </c>
    </row>
    <row r="125" spans="1:30" ht="16" x14ac:dyDescent="0.2">
      <c r="A125" s="139" t="s">
        <v>423</v>
      </c>
      <c r="B125" s="247">
        <v>0.95833333333333337</v>
      </c>
      <c r="C125" s="379" t="str">
        <f t="shared" si="5"/>
        <v>23:00</v>
      </c>
      <c r="D125" s="257">
        <v>1</v>
      </c>
      <c r="E125" s="379">
        <f t="shared" si="6"/>
        <v>30</v>
      </c>
      <c r="F125" s="249">
        <v>0.29166666666666669</v>
      </c>
      <c r="G125" s="406" t="str">
        <f t="shared" si="7"/>
        <v>7:00</v>
      </c>
      <c r="H125" s="241">
        <v>7</v>
      </c>
      <c r="I125" s="165">
        <v>0</v>
      </c>
      <c r="J125" s="165">
        <v>0</v>
      </c>
      <c r="K125" s="165">
        <v>2</v>
      </c>
      <c r="L125" s="165">
        <v>2</v>
      </c>
      <c r="M125" s="165">
        <v>2</v>
      </c>
      <c r="N125" s="165">
        <v>2</v>
      </c>
      <c r="O125" s="165">
        <v>0</v>
      </c>
      <c r="P125" s="165">
        <v>3</v>
      </c>
      <c r="Q125" s="165">
        <v>0</v>
      </c>
      <c r="R125" s="165">
        <v>0</v>
      </c>
      <c r="S125" s="165">
        <v>0</v>
      </c>
      <c r="T125" s="165" t="s">
        <v>536</v>
      </c>
      <c r="U125" s="379">
        <f t="shared" si="8"/>
        <v>0</v>
      </c>
      <c r="V125" s="379" t="str">
        <f t="shared" si="9"/>
        <v/>
      </c>
      <c r="W125" s="165">
        <v>0</v>
      </c>
      <c r="X125" s="165">
        <v>3</v>
      </c>
      <c r="Y125" s="165">
        <v>1</v>
      </c>
      <c r="Z125" s="234">
        <v>3</v>
      </c>
      <c r="AA125" s="379">
        <v>1</v>
      </c>
      <c r="AB125" s="129">
        <v>12</v>
      </c>
    </row>
    <row r="126" spans="1:30" ht="16" x14ac:dyDescent="0.2">
      <c r="A126" s="124" t="s">
        <v>424</v>
      </c>
      <c r="B126" s="249">
        <v>0.89583333333333337</v>
      </c>
      <c r="C126" s="379" t="str">
        <f t="shared" si="5"/>
        <v>21:30</v>
      </c>
      <c r="D126" s="126">
        <v>3</v>
      </c>
      <c r="E126" s="379">
        <f t="shared" si="6"/>
        <v>61</v>
      </c>
      <c r="F126" s="247">
        <v>0.3125</v>
      </c>
      <c r="G126" s="406" t="str">
        <f t="shared" si="7"/>
        <v>7:30</v>
      </c>
      <c r="H126" s="126">
        <v>6</v>
      </c>
      <c r="I126" s="126">
        <v>1</v>
      </c>
      <c r="J126" s="126">
        <v>3</v>
      </c>
      <c r="K126" s="126">
        <v>3</v>
      </c>
      <c r="L126" s="126">
        <v>3</v>
      </c>
      <c r="M126" s="126">
        <v>0</v>
      </c>
      <c r="N126" s="126">
        <v>0</v>
      </c>
      <c r="O126" s="126">
        <v>0</v>
      </c>
      <c r="P126" s="126">
        <v>0</v>
      </c>
      <c r="Q126" s="126">
        <v>0</v>
      </c>
      <c r="R126" s="126">
        <v>0</v>
      </c>
      <c r="S126" s="126">
        <v>0</v>
      </c>
      <c r="T126" s="126" t="s">
        <v>534</v>
      </c>
      <c r="U126" s="379">
        <f t="shared" si="8"/>
        <v>0</v>
      </c>
      <c r="V126" s="379" t="str">
        <f t="shared" si="9"/>
        <v/>
      </c>
      <c r="W126" s="126">
        <v>2</v>
      </c>
      <c r="X126" s="126">
        <v>3</v>
      </c>
      <c r="Y126" s="126">
        <v>3</v>
      </c>
      <c r="Z126" s="185">
        <v>1</v>
      </c>
      <c r="AA126" s="379">
        <v>1</v>
      </c>
      <c r="AB126" s="126">
        <v>16</v>
      </c>
    </row>
    <row r="127" spans="1:30" ht="16" x14ac:dyDescent="0.2">
      <c r="A127" s="139" t="s">
        <v>425</v>
      </c>
      <c r="B127" s="259">
        <v>0</v>
      </c>
      <c r="C127" s="379" t="str">
        <f t="shared" si="5"/>
        <v>0:00</v>
      </c>
      <c r="D127" s="260">
        <v>0</v>
      </c>
      <c r="E127" s="379">
        <f t="shared" si="6"/>
        <v>15</v>
      </c>
      <c r="F127" s="249">
        <v>0.39583333333333331</v>
      </c>
      <c r="G127" s="406" t="str">
        <f t="shared" si="7"/>
        <v>9:30</v>
      </c>
      <c r="H127" s="261">
        <v>7</v>
      </c>
      <c r="I127" s="160">
        <v>0</v>
      </c>
      <c r="J127" s="160">
        <v>0</v>
      </c>
      <c r="K127" s="160">
        <v>3</v>
      </c>
      <c r="L127" s="160">
        <v>3</v>
      </c>
      <c r="M127" s="160">
        <v>0</v>
      </c>
      <c r="N127" s="160">
        <v>3</v>
      </c>
      <c r="O127" s="160">
        <v>0</v>
      </c>
      <c r="P127" s="160">
        <v>0</v>
      </c>
      <c r="Q127" s="160">
        <v>1</v>
      </c>
      <c r="R127" s="160">
        <v>0</v>
      </c>
      <c r="S127" s="160">
        <v>0</v>
      </c>
      <c r="T127" s="160" t="s">
        <v>536</v>
      </c>
      <c r="U127" s="379">
        <f t="shared" si="8"/>
        <v>0</v>
      </c>
      <c r="V127" s="379" t="str">
        <f t="shared" si="9"/>
        <v/>
      </c>
      <c r="W127" s="160">
        <v>0</v>
      </c>
      <c r="X127" s="160">
        <v>0</v>
      </c>
      <c r="Y127" s="160">
        <v>3</v>
      </c>
      <c r="Z127" s="262">
        <v>2</v>
      </c>
      <c r="AA127" s="379">
        <v>1</v>
      </c>
      <c r="AB127" s="126">
        <v>9</v>
      </c>
      <c r="AC127" s="313"/>
      <c r="AD127" s="313"/>
    </row>
    <row r="128" spans="1:30" ht="16" x14ac:dyDescent="0.2">
      <c r="A128" s="139" t="s">
        <v>426</v>
      </c>
      <c r="B128" s="263">
        <v>4.1666666666666664E-2</v>
      </c>
      <c r="C128" s="379" t="str">
        <f t="shared" si="5"/>
        <v>1:00</v>
      </c>
      <c r="D128" s="257">
        <v>0</v>
      </c>
      <c r="E128" s="379">
        <f t="shared" si="6"/>
        <v>15</v>
      </c>
      <c r="F128" s="263">
        <v>0.375</v>
      </c>
      <c r="G128" s="406" t="str">
        <f t="shared" si="7"/>
        <v>9:00</v>
      </c>
      <c r="H128" s="241">
        <v>8</v>
      </c>
      <c r="I128" s="165">
        <v>0</v>
      </c>
      <c r="J128" s="165">
        <v>3</v>
      </c>
      <c r="K128" s="165">
        <v>0</v>
      </c>
      <c r="L128" s="165">
        <v>0</v>
      </c>
      <c r="M128" s="165">
        <v>2</v>
      </c>
      <c r="N128" s="165">
        <v>2</v>
      </c>
      <c r="O128" s="165">
        <v>0</v>
      </c>
      <c r="P128" s="165">
        <v>2</v>
      </c>
      <c r="Q128" s="165">
        <v>0</v>
      </c>
      <c r="R128" s="165">
        <v>0</v>
      </c>
      <c r="S128" s="165">
        <v>0</v>
      </c>
      <c r="T128" s="258" t="s">
        <v>536</v>
      </c>
      <c r="U128" s="379">
        <f t="shared" si="8"/>
        <v>0</v>
      </c>
      <c r="V128" s="379" t="str">
        <f t="shared" si="9"/>
        <v/>
      </c>
      <c r="W128" s="165">
        <v>0</v>
      </c>
      <c r="X128" s="165">
        <v>3</v>
      </c>
      <c r="Y128" s="165">
        <v>1</v>
      </c>
      <c r="Z128" s="234">
        <v>3</v>
      </c>
      <c r="AA128" s="379">
        <v>1</v>
      </c>
      <c r="AB128" s="129">
        <v>8</v>
      </c>
      <c r="AC128" s="313"/>
      <c r="AD128" s="313"/>
    </row>
    <row r="129" spans="1:30" ht="16" x14ac:dyDescent="0.2">
      <c r="A129" s="149" t="s">
        <v>427</v>
      </c>
      <c r="B129" s="249">
        <v>0.91666666666666663</v>
      </c>
      <c r="C129" s="379" t="str">
        <f t="shared" si="5"/>
        <v>22:00</v>
      </c>
      <c r="D129" s="158">
        <v>0</v>
      </c>
      <c r="E129" s="379">
        <f t="shared" si="6"/>
        <v>15</v>
      </c>
      <c r="F129" s="249">
        <v>0.375</v>
      </c>
      <c r="G129" s="406" t="str">
        <f t="shared" si="7"/>
        <v>9:00</v>
      </c>
      <c r="H129" s="28">
        <v>10</v>
      </c>
      <c r="I129" s="131">
        <v>0</v>
      </c>
      <c r="J129" s="131">
        <v>0</v>
      </c>
      <c r="K129" s="131">
        <v>2</v>
      </c>
      <c r="L129" s="131">
        <v>2</v>
      </c>
      <c r="M129" s="131">
        <v>0</v>
      </c>
      <c r="N129" s="131">
        <v>0</v>
      </c>
      <c r="O129" s="131">
        <v>0</v>
      </c>
      <c r="P129" s="131">
        <v>0</v>
      </c>
      <c r="Q129" s="131">
        <v>0</v>
      </c>
      <c r="R129" s="131">
        <v>0</v>
      </c>
      <c r="S129" s="131">
        <v>0</v>
      </c>
      <c r="T129" s="264" t="s">
        <v>536</v>
      </c>
      <c r="U129" s="379">
        <f t="shared" si="8"/>
        <v>0</v>
      </c>
      <c r="V129" s="379" t="str">
        <f t="shared" si="9"/>
        <v/>
      </c>
      <c r="W129" s="131">
        <v>0</v>
      </c>
      <c r="X129" s="131">
        <v>0</v>
      </c>
      <c r="Y129" s="131">
        <v>0</v>
      </c>
      <c r="Z129" s="245">
        <v>1</v>
      </c>
      <c r="AA129" s="379">
        <v>1</v>
      </c>
      <c r="AB129" s="131">
        <v>5</v>
      </c>
      <c r="AC129" s="313"/>
      <c r="AD129" s="313"/>
    </row>
    <row r="130" spans="1:30" ht="16" x14ac:dyDescent="0.2">
      <c r="A130" s="151" t="s">
        <v>428</v>
      </c>
      <c r="B130" s="249">
        <v>0.95833333333333337</v>
      </c>
      <c r="C130" s="379" t="str">
        <f t="shared" si="5"/>
        <v>23:00</v>
      </c>
      <c r="D130" s="219">
        <v>0</v>
      </c>
      <c r="E130" s="379">
        <f t="shared" si="6"/>
        <v>15</v>
      </c>
      <c r="F130" s="249">
        <v>0.375</v>
      </c>
      <c r="G130" s="406" t="str">
        <f t="shared" si="7"/>
        <v>9:00</v>
      </c>
      <c r="H130" s="28">
        <v>8</v>
      </c>
      <c r="I130" s="126">
        <v>0</v>
      </c>
      <c r="J130" s="126">
        <v>1</v>
      </c>
      <c r="K130" s="126">
        <v>3</v>
      </c>
      <c r="L130" s="126">
        <v>3</v>
      </c>
      <c r="M130" s="126">
        <v>0</v>
      </c>
      <c r="N130" s="126">
        <v>3</v>
      </c>
      <c r="O130" s="126">
        <v>0</v>
      </c>
      <c r="P130" s="126">
        <v>0</v>
      </c>
      <c r="Q130" s="126">
        <v>0</v>
      </c>
      <c r="R130" s="126">
        <v>0</v>
      </c>
      <c r="S130" s="126">
        <v>0</v>
      </c>
      <c r="T130" s="160" t="s">
        <v>536</v>
      </c>
      <c r="U130" s="379">
        <f t="shared" si="8"/>
        <v>0</v>
      </c>
      <c r="V130" s="379" t="str">
        <f t="shared" si="9"/>
        <v/>
      </c>
      <c r="W130" s="126">
        <v>0</v>
      </c>
      <c r="X130" s="126">
        <v>0</v>
      </c>
      <c r="Y130" s="126">
        <v>3</v>
      </c>
      <c r="Z130" s="185">
        <v>2</v>
      </c>
      <c r="AA130" s="379">
        <v>1</v>
      </c>
      <c r="AB130" s="126">
        <v>8</v>
      </c>
    </row>
    <row r="131" spans="1:30" ht="16" x14ac:dyDescent="0.2">
      <c r="A131" s="151" t="s">
        <v>429</v>
      </c>
      <c r="B131" s="259">
        <v>0</v>
      </c>
      <c r="C131" s="379" t="str">
        <f t="shared" si="5"/>
        <v>0:00</v>
      </c>
      <c r="D131" s="204">
        <v>1</v>
      </c>
      <c r="E131" s="379">
        <f t="shared" si="6"/>
        <v>30</v>
      </c>
      <c r="F131" s="249">
        <v>0.29166666666666669</v>
      </c>
      <c r="G131" s="406" t="str">
        <f t="shared" si="7"/>
        <v>7:00</v>
      </c>
      <c r="H131" s="28">
        <v>6</v>
      </c>
      <c r="I131" s="129">
        <v>1</v>
      </c>
      <c r="J131" s="129">
        <v>3</v>
      </c>
      <c r="K131" s="129">
        <v>2</v>
      </c>
      <c r="L131" s="129">
        <v>2</v>
      </c>
      <c r="M131" s="129">
        <v>0</v>
      </c>
      <c r="N131" s="129">
        <v>0</v>
      </c>
      <c r="O131" s="129">
        <v>3</v>
      </c>
      <c r="P131" s="129">
        <v>0</v>
      </c>
      <c r="Q131" s="129">
        <v>1</v>
      </c>
      <c r="R131" s="129">
        <v>3</v>
      </c>
      <c r="S131" s="129">
        <v>0</v>
      </c>
      <c r="T131" s="129" t="s">
        <v>531</v>
      </c>
      <c r="U131" s="379">
        <f t="shared" si="8"/>
        <v>0</v>
      </c>
      <c r="V131" s="379" t="str">
        <f t="shared" si="9"/>
        <v/>
      </c>
      <c r="W131" s="129">
        <v>1</v>
      </c>
      <c r="X131" s="129">
        <v>0</v>
      </c>
      <c r="Y131" s="129">
        <v>2</v>
      </c>
      <c r="Z131" s="234">
        <v>0</v>
      </c>
      <c r="AA131" s="379">
        <v>1</v>
      </c>
      <c r="AB131" s="129">
        <v>11</v>
      </c>
    </row>
    <row r="132" spans="1:30" ht="16" x14ac:dyDescent="0.2">
      <c r="A132" s="152" t="s">
        <v>430</v>
      </c>
      <c r="B132" s="265">
        <v>0.95833333333333337</v>
      </c>
      <c r="C132" s="379" t="str">
        <f t="shared" ref="C132:C190" si="10">IF(B132&lt;1,HOUR(B132)&amp;":"&amp;TEXT(MINUTE(B132),"00"),B132&amp;":00")</f>
        <v>23:00</v>
      </c>
      <c r="D132" s="154">
        <v>1</v>
      </c>
      <c r="E132" s="379">
        <f t="shared" ref="E132:E190" si="11">15*(D132=0)+30*(D132=1)+60*(D132=2)+61*(D132=3)</f>
        <v>30</v>
      </c>
      <c r="F132" s="266">
        <v>0.375</v>
      </c>
      <c r="G132" s="406" t="str">
        <f t="shared" ref="G132:G190" si="12">HOUR(F132)&amp;":"&amp;TEXT(MINUTE(F132),"00")</f>
        <v>9:00</v>
      </c>
      <c r="H132" s="154">
        <v>7</v>
      </c>
      <c r="I132" s="154">
        <v>1</v>
      </c>
      <c r="J132" s="154">
        <v>3</v>
      </c>
      <c r="K132" s="154">
        <v>3</v>
      </c>
      <c r="L132" s="154">
        <v>3</v>
      </c>
      <c r="M132" s="154">
        <v>0</v>
      </c>
      <c r="N132" s="154">
        <v>2</v>
      </c>
      <c r="O132" s="154">
        <v>0</v>
      </c>
      <c r="P132" s="154">
        <v>0</v>
      </c>
      <c r="Q132" s="154">
        <v>0</v>
      </c>
      <c r="R132" s="154">
        <v>0</v>
      </c>
      <c r="S132" s="154">
        <v>0</v>
      </c>
      <c r="T132" s="154" t="s">
        <v>531</v>
      </c>
      <c r="U132" s="379">
        <f t="shared" ref="U132:U190" si="13">IF(S132="YES",1,0)</f>
        <v>0</v>
      </c>
      <c r="V132" s="379" t="str">
        <f t="shared" ref="V132:V190" si="14">IF(U132=1,T132,"")</f>
        <v/>
      </c>
      <c r="W132" s="154">
        <v>1</v>
      </c>
      <c r="X132" s="154">
        <v>0</v>
      </c>
      <c r="Y132" s="154">
        <v>3</v>
      </c>
      <c r="Z132" s="267">
        <v>0</v>
      </c>
      <c r="AA132" s="379">
        <v>1</v>
      </c>
      <c r="AB132" s="154">
        <v>10</v>
      </c>
    </row>
    <row r="133" spans="1:30" ht="16" x14ac:dyDescent="0.2">
      <c r="A133" s="152" t="s">
        <v>431</v>
      </c>
      <c r="B133" s="249">
        <v>0.95833333333333337</v>
      </c>
      <c r="C133" s="379" t="str">
        <f t="shared" si="10"/>
        <v>23:00</v>
      </c>
      <c r="D133" s="268">
        <v>0</v>
      </c>
      <c r="E133" s="379">
        <f t="shared" si="11"/>
        <v>15</v>
      </c>
      <c r="F133" s="249">
        <v>0.29166666666666669</v>
      </c>
      <c r="G133" s="406" t="str">
        <f t="shared" si="12"/>
        <v>7:00</v>
      </c>
      <c r="H133" s="28">
        <v>7</v>
      </c>
      <c r="I133" s="221">
        <v>1</v>
      </c>
      <c r="J133" s="28">
        <v>0</v>
      </c>
      <c r="K133" s="28">
        <v>3</v>
      </c>
      <c r="L133" s="28">
        <v>3</v>
      </c>
      <c r="M133" s="28">
        <v>0</v>
      </c>
      <c r="N133" s="28">
        <v>0</v>
      </c>
      <c r="O133" s="28">
        <v>0</v>
      </c>
      <c r="P133" s="28">
        <v>0</v>
      </c>
      <c r="Q133" s="28">
        <v>0</v>
      </c>
      <c r="R133" s="28">
        <v>1</v>
      </c>
      <c r="S133" s="28">
        <v>0</v>
      </c>
      <c r="T133" s="28" t="s">
        <v>531</v>
      </c>
      <c r="U133" s="379">
        <f t="shared" si="13"/>
        <v>0</v>
      </c>
      <c r="V133" s="379" t="str">
        <f t="shared" si="14"/>
        <v/>
      </c>
      <c r="W133" s="28">
        <v>1</v>
      </c>
      <c r="X133" s="28">
        <v>0</v>
      </c>
      <c r="Y133" s="28">
        <v>1</v>
      </c>
      <c r="Z133" s="187">
        <v>1</v>
      </c>
      <c r="AA133" s="379">
        <v>1</v>
      </c>
      <c r="AB133" s="28">
        <v>7</v>
      </c>
    </row>
    <row r="134" spans="1:30" x14ac:dyDescent="0.2">
      <c r="A134" s="136" t="s">
        <v>432</v>
      </c>
      <c r="B134" s="249">
        <v>0.95833333333333337</v>
      </c>
      <c r="C134" s="379" t="str">
        <f t="shared" si="10"/>
        <v>23:00</v>
      </c>
      <c r="D134" s="126">
        <v>0</v>
      </c>
      <c r="E134" s="379">
        <f t="shared" si="11"/>
        <v>15</v>
      </c>
      <c r="F134" s="249">
        <v>0.25</v>
      </c>
      <c r="G134" s="406" t="str">
        <f t="shared" si="12"/>
        <v>6:00</v>
      </c>
      <c r="H134" s="126">
        <v>6.5</v>
      </c>
      <c r="I134" s="158">
        <v>1</v>
      </c>
      <c r="J134" s="125">
        <v>0</v>
      </c>
      <c r="K134" s="126">
        <v>3</v>
      </c>
      <c r="L134" s="126">
        <v>3</v>
      </c>
      <c r="M134" s="126">
        <v>0</v>
      </c>
      <c r="N134" s="126">
        <v>0</v>
      </c>
      <c r="O134" s="126">
        <v>0</v>
      </c>
      <c r="P134" s="126">
        <v>0</v>
      </c>
      <c r="Q134" s="126">
        <v>0</v>
      </c>
      <c r="R134" s="126">
        <v>1</v>
      </c>
      <c r="S134" s="126">
        <v>0</v>
      </c>
      <c r="T134" s="126" t="s">
        <v>531</v>
      </c>
      <c r="U134" s="379">
        <f t="shared" si="13"/>
        <v>0</v>
      </c>
      <c r="V134" s="379" t="str">
        <f t="shared" si="14"/>
        <v/>
      </c>
      <c r="W134" s="126">
        <v>1</v>
      </c>
      <c r="X134" s="126">
        <v>0</v>
      </c>
      <c r="Y134" s="126">
        <v>3</v>
      </c>
      <c r="Z134" s="185">
        <v>3</v>
      </c>
      <c r="AA134" s="379">
        <v>1</v>
      </c>
      <c r="AB134" s="219">
        <v>9</v>
      </c>
    </row>
    <row r="135" spans="1:30" x14ac:dyDescent="0.2">
      <c r="A135" s="136" t="s">
        <v>433</v>
      </c>
      <c r="B135" s="249">
        <v>0.95833333333333337</v>
      </c>
      <c r="C135" s="379" t="str">
        <f t="shared" si="10"/>
        <v>23:00</v>
      </c>
      <c r="D135" s="136">
        <v>0</v>
      </c>
      <c r="E135" s="379">
        <f t="shared" si="11"/>
        <v>15</v>
      </c>
      <c r="F135" s="249">
        <v>0.41666666666666669</v>
      </c>
      <c r="G135" s="406" t="str">
        <f t="shared" si="12"/>
        <v>10:00</v>
      </c>
      <c r="H135" s="28">
        <v>10</v>
      </c>
      <c r="I135" s="221">
        <v>0</v>
      </c>
      <c r="J135" s="28">
        <v>0</v>
      </c>
      <c r="K135" s="28">
        <v>1</v>
      </c>
      <c r="L135" s="28">
        <v>0</v>
      </c>
      <c r="M135" s="28">
        <v>0</v>
      </c>
      <c r="N135" s="28">
        <v>2</v>
      </c>
      <c r="O135" s="28">
        <v>0</v>
      </c>
      <c r="P135" s="28">
        <v>0</v>
      </c>
      <c r="Q135" s="28">
        <v>0</v>
      </c>
      <c r="R135" s="28">
        <v>0</v>
      </c>
      <c r="S135" s="28">
        <v>0</v>
      </c>
      <c r="T135" s="28" t="s">
        <v>531</v>
      </c>
      <c r="U135" s="379">
        <f t="shared" si="13"/>
        <v>0</v>
      </c>
      <c r="V135" s="379" t="str">
        <f t="shared" si="14"/>
        <v/>
      </c>
      <c r="W135" s="28">
        <v>1</v>
      </c>
      <c r="X135" s="28">
        <v>3</v>
      </c>
      <c r="Y135" s="28">
        <v>2</v>
      </c>
      <c r="Z135" s="187">
        <v>3</v>
      </c>
      <c r="AA135" s="379">
        <v>1</v>
      </c>
      <c r="AB135" s="28">
        <v>11</v>
      </c>
    </row>
    <row r="136" spans="1:30" ht="16" x14ac:dyDescent="0.2">
      <c r="A136" s="136" t="s">
        <v>434</v>
      </c>
      <c r="B136" s="253">
        <v>0.91666666666666663</v>
      </c>
      <c r="C136" s="379" t="str">
        <f t="shared" si="10"/>
        <v>22:00</v>
      </c>
      <c r="D136" s="126">
        <v>0</v>
      </c>
      <c r="E136" s="379">
        <f t="shared" si="11"/>
        <v>15</v>
      </c>
      <c r="F136" s="249">
        <v>0.33333333333333331</v>
      </c>
      <c r="G136" s="406" t="str">
        <f t="shared" si="12"/>
        <v>8:00</v>
      </c>
      <c r="H136" s="126">
        <v>9</v>
      </c>
      <c r="I136" s="126">
        <v>0</v>
      </c>
      <c r="J136" s="126">
        <v>0</v>
      </c>
      <c r="K136" s="126">
        <v>3</v>
      </c>
      <c r="L136" s="126">
        <v>0</v>
      </c>
      <c r="M136" s="126">
        <v>0</v>
      </c>
      <c r="N136" s="126">
        <v>0</v>
      </c>
      <c r="O136" s="126">
        <v>0</v>
      </c>
      <c r="P136" s="126">
        <v>0</v>
      </c>
      <c r="Q136" s="126">
        <v>0</v>
      </c>
      <c r="R136" s="126">
        <v>0</v>
      </c>
      <c r="S136" s="126">
        <v>0</v>
      </c>
      <c r="T136" s="126" t="s">
        <v>537</v>
      </c>
      <c r="U136" s="379">
        <f t="shared" si="13"/>
        <v>0</v>
      </c>
      <c r="V136" s="379" t="str">
        <f t="shared" si="14"/>
        <v/>
      </c>
      <c r="W136" s="126">
        <v>2</v>
      </c>
      <c r="X136" s="126">
        <v>0</v>
      </c>
      <c r="Y136" s="126">
        <v>3</v>
      </c>
      <c r="Z136" s="185">
        <v>0</v>
      </c>
      <c r="AA136" s="379">
        <v>1</v>
      </c>
      <c r="AB136" s="126">
        <v>8</v>
      </c>
    </row>
    <row r="137" spans="1:30" x14ac:dyDescent="0.2">
      <c r="A137" s="136" t="s">
        <v>435</v>
      </c>
      <c r="B137" s="249">
        <v>0</v>
      </c>
      <c r="C137" s="379" t="str">
        <f t="shared" si="10"/>
        <v>0:00</v>
      </c>
      <c r="D137" s="136">
        <v>1</v>
      </c>
      <c r="E137" s="379">
        <f t="shared" si="11"/>
        <v>30</v>
      </c>
      <c r="F137" s="249">
        <v>0.375</v>
      </c>
      <c r="G137" s="406" t="str">
        <f t="shared" si="12"/>
        <v>9:00</v>
      </c>
      <c r="H137" s="28">
        <v>7</v>
      </c>
      <c r="I137" s="221">
        <v>1</v>
      </c>
      <c r="J137" s="28">
        <v>2</v>
      </c>
      <c r="K137" s="28">
        <v>2</v>
      </c>
      <c r="L137" s="28">
        <v>2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0</v>
      </c>
      <c r="T137" s="28" t="s">
        <v>531</v>
      </c>
      <c r="U137" s="379">
        <f t="shared" si="13"/>
        <v>0</v>
      </c>
      <c r="V137" s="379" t="str">
        <f t="shared" si="14"/>
        <v/>
      </c>
      <c r="W137" s="28">
        <v>1</v>
      </c>
      <c r="X137" s="28">
        <v>3</v>
      </c>
      <c r="Y137" s="28">
        <v>3</v>
      </c>
      <c r="Z137" s="187">
        <v>3</v>
      </c>
      <c r="AA137" s="379">
        <v>1</v>
      </c>
      <c r="AB137" s="28">
        <v>14</v>
      </c>
      <c r="AC137" s="313"/>
      <c r="AD137" s="313"/>
    </row>
    <row r="138" spans="1:30" x14ac:dyDescent="0.2">
      <c r="A138" s="136" t="s">
        <v>436</v>
      </c>
      <c r="B138" s="249">
        <v>0.95833333333333337</v>
      </c>
      <c r="C138" s="379" t="str">
        <f t="shared" si="10"/>
        <v>23:00</v>
      </c>
      <c r="D138" s="136">
        <v>0</v>
      </c>
      <c r="E138" s="379">
        <f t="shared" si="11"/>
        <v>15</v>
      </c>
      <c r="F138" s="249">
        <v>0.35416666666666669</v>
      </c>
      <c r="G138" s="406" t="str">
        <f t="shared" si="12"/>
        <v>8:30</v>
      </c>
      <c r="H138" s="28">
        <v>7</v>
      </c>
      <c r="I138" s="221">
        <v>1</v>
      </c>
      <c r="J138" s="28">
        <v>0</v>
      </c>
      <c r="K138" s="28">
        <v>3</v>
      </c>
      <c r="L138" s="28">
        <v>3</v>
      </c>
      <c r="M138" s="28">
        <v>0</v>
      </c>
      <c r="N138" s="28">
        <v>2</v>
      </c>
      <c r="O138" s="28">
        <v>0</v>
      </c>
      <c r="P138" s="28">
        <v>0</v>
      </c>
      <c r="Q138" s="28">
        <v>0</v>
      </c>
      <c r="R138" s="28">
        <v>0</v>
      </c>
      <c r="S138" s="28">
        <v>0</v>
      </c>
      <c r="T138" s="28" t="s">
        <v>531</v>
      </c>
      <c r="U138" s="379">
        <f t="shared" si="13"/>
        <v>0</v>
      </c>
      <c r="V138" s="379" t="str">
        <f t="shared" si="14"/>
        <v/>
      </c>
      <c r="W138" s="28">
        <v>1</v>
      </c>
      <c r="X138" s="28">
        <v>0</v>
      </c>
      <c r="Y138" s="28">
        <v>0</v>
      </c>
      <c r="Z138" s="187">
        <v>3</v>
      </c>
      <c r="AA138" s="379">
        <v>1</v>
      </c>
      <c r="AB138" s="28">
        <v>8</v>
      </c>
      <c r="AC138" s="313"/>
      <c r="AD138" s="313"/>
    </row>
    <row r="139" spans="1:30" x14ac:dyDescent="0.2">
      <c r="A139" s="136" t="s">
        <v>437</v>
      </c>
      <c r="B139" s="243">
        <v>0</v>
      </c>
      <c r="C139" s="379" t="str">
        <f t="shared" si="10"/>
        <v>0:00</v>
      </c>
      <c r="D139" s="204">
        <v>0</v>
      </c>
      <c r="E139" s="379">
        <f t="shared" si="11"/>
        <v>15</v>
      </c>
      <c r="F139" s="249">
        <v>0.33333333333333331</v>
      </c>
      <c r="G139" s="406" t="str">
        <f t="shared" si="12"/>
        <v>8:00</v>
      </c>
      <c r="H139" s="28">
        <v>7</v>
      </c>
      <c r="I139" s="129">
        <v>1</v>
      </c>
      <c r="J139" s="129">
        <v>0</v>
      </c>
      <c r="K139" s="129">
        <v>3</v>
      </c>
      <c r="L139" s="129">
        <v>3</v>
      </c>
      <c r="M139" s="129">
        <v>0</v>
      </c>
      <c r="N139" s="129">
        <v>3</v>
      </c>
      <c r="O139" s="129">
        <v>0</v>
      </c>
      <c r="P139" s="129">
        <v>0</v>
      </c>
      <c r="Q139" s="129">
        <v>3</v>
      </c>
      <c r="R139" s="129">
        <v>0</v>
      </c>
      <c r="S139" s="129">
        <v>0</v>
      </c>
      <c r="T139" s="129" t="s">
        <v>536</v>
      </c>
      <c r="U139" s="379">
        <f t="shared" si="13"/>
        <v>0</v>
      </c>
      <c r="V139" s="379" t="str">
        <f t="shared" si="14"/>
        <v/>
      </c>
      <c r="W139" s="129">
        <v>0</v>
      </c>
      <c r="X139" s="129">
        <v>0</v>
      </c>
      <c r="Y139" s="129">
        <v>0</v>
      </c>
      <c r="Z139" s="234">
        <v>0</v>
      </c>
      <c r="AA139" s="379">
        <v>1</v>
      </c>
      <c r="AB139" s="129">
        <v>6</v>
      </c>
      <c r="AC139" s="313"/>
      <c r="AD139" s="313"/>
    </row>
    <row r="140" spans="1:30" x14ac:dyDescent="0.2">
      <c r="A140" s="136" t="s">
        <v>438</v>
      </c>
      <c r="B140" s="269">
        <v>0.97916666666666663</v>
      </c>
      <c r="C140" s="379" t="str">
        <f t="shared" si="10"/>
        <v>23:30</v>
      </c>
      <c r="D140" s="131">
        <v>1</v>
      </c>
      <c r="E140" s="379">
        <f t="shared" si="11"/>
        <v>30</v>
      </c>
      <c r="F140" s="254">
        <v>0.375</v>
      </c>
      <c r="G140" s="406" t="str">
        <f t="shared" si="12"/>
        <v>9:00</v>
      </c>
      <c r="H140" s="131">
        <v>8</v>
      </c>
      <c r="I140" s="131">
        <v>0</v>
      </c>
      <c r="J140" s="131">
        <v>1</v>
      </c>
      <c r="K140" s="131">
        <v>2</v>
      </c>
      <c r="L140" s="131">
        <v>2</v>
      </c>
      <c r="M140" s="131">
        <v>0</v>
      </c>
      <c r="N140" s="131">
        <v>2</v>
      </c>
      <c r="O140" s="131">
        <v>0</v>
      </c>
      <c r="P140" s="131">
        <v>0</v>
      </c>
      <c r="Q140" s="131">
        <v>0</v>
      </c>
      <c r="R140" s="131">
        <v>0</v>
      </c>
      <c r="S140" s="131">
        <v>0</v>
      </c>
      <c r="T140" s="131" t="s">
        <v>537</v>
      </c>
      <c r="U140" s="379">
        <f t="shared" si="13"/>
        <v>0</v>
      </c>
      <c r="V140" s="379" t="str">
        <f t="shared" si="14"/>
        <v/>
      </c>
      <c r="W140" s="131">
        <v>2</v>
      </c>
      <c r="X140" s="131">
        <v>0</v>
      </c>
      <c r="Y140" s="131">
        <v>2</v>
      </c>
      <c r="Z140" s="245">
        <v>0</v>
      </c>
      <c r="AA140" s="379">
        <v>1</v>
      </c>
      <c r="AB140" s="131">
        <v>8</v>
      </c>
      <c r="AC140" s="313"/>
      <c r="AD140" s="313"/>
    </row>
    <row r="141" spans="1:30" ht="16" x14ac:dyDescent="0.2">
      <c r="A141" s="157" t="s">
        <v>439</v>
      </c>
      <c r="B141" s="249">
        <v>0</v>
      </c>
      <c r="C141" s="379" t="str">
        <f t="shared" si="10"/>
        <v>0:00</v>
      </c>
      <c r="D141" s="126">
        <v>0</v>
      </c>
      <c r="E141" s="379">
        <f t="shared" si="11"/>
        <v>15</v>
      </c>
      <c r="F141" s="249">
        <v>0.29166666666666669</v>
      </c>
      <c r="G141" s="406" t="str">
        <f t="shared" si="12"/>
        <v>7:00</v>
      </c>
      <c r="H141" s="126">
        <v>5</v>
      </c>
      <c r="I141" s="126">
        <v>2</v>
      </c>
      <c r="J141" s="126">
        <v>0</v>
      </c>
      <c r="K141" s="126">
        <v>3</v>
      </c>
      <c r="L141" s="126">
        <v>3</v>
      </c>
      <c r="M141" s="126">
        <v>0</v>
      </c>
      <c r="N141" s="126">
        <v>0</v>
      </c>
      <c r="O141" s="126">
        <v>0</v>
      </c>
      <c r="P141" s="126">
        <v>0</v>
      </c>
      <c r="Q141" s="126">
        <v>1</v>
      </c>
      <c r="R141" s="126">
        <v>0</v>
      </c>
      <c r="S141" s="126">
        <v>0</v>
      </c>
      <c r="T141" s="28" t="s">
        <v>531</v>
      </c>
      <c r="U141" s="379">
        <f t="shared" si="13"/>
        <v>0</v>
      </c>
      <c r="V141" s="379" t="str">
        <f t="shared" si="14"/>
        <v/>
      </c>
      <c r="W141" s="126">
        <v>1</v>
      </c>
      <c r="X141" s="126">
        <v>0</v>
      </c>
      <c r="Y141" s="126">
        <v>2</v>
      </c>
      <c r="Z141" s="185">
        <v>0</v>
      </c>
      <c r="AA141" s="379">
        <v>1</v>
      </c>
      <c r="AB141" s="203">
        <v>8</v>
      </c>
      <c r="AC141" s="313"/>
      <c r="AD141" s="313"/>
    </row>
    <row r="142" spans="1:30" ht="17" x14ac:dyDescent="0.2">
      <c r="A142" s="132" t="s">
        <v>440</v>
      </c>
      <c r="B142" s="249">
        <v>0</v>
      </c>
      <c r="C142" s="379" t="str">
        <f t="shared" si="10"/>
        <v>0:00</v>
      </c>
      <c r="D142" s="272">
        <v>0</v>
      </c>
      <c r="E142" s="379">
        <f t="shared" si="11"/>
        <v>15</v>
      </c>
      <c r="F142" s="249">
        <v>0.25</v>
      </c>
      <c r="G142" s="406" t="str">
        <f t="shared" si="12"/>
        <v>6:00</v>
      </c>
      <c r="H142" s="272">
        <v>6</v>
      </c>
      <c r="I142" s="272">
        <v>1</v>
      </c>
      <c r="J142" s="272">
        <v>0</v>
      </c>
      <c r="K142" s="272">
        <v>0</v>
      </c>
      <c r="L142" s="272">
        <v>0</v>
      </c>
      <c r="M142" s="272">
        <v>0</v>
      </c>
      <c r="N142" s="272">
        <v>2</v>
      </c>
      <c r="O142" s="272">
        <v>0</v>
      </c>
      <c r="P142" s="272">
        <v>0</v>
      </c>
      <c r="Q142" s="272">
        <v>1</v>
      </c>
      <c r="R142" s="272">
        <v>0</v>
      </c>
      <c r="S142" s="272">
        <v>0</v>
      </c>
      <c r="T142" s="272" t="s">
        <v>538</v>
      </c>
      <c r="U142" s="379">
        <f t="shared" si="13"/>
        <v>0</v>
      </c>
      <c r="V142" s="379" t="str">
        <f t="shared" si="14"/>
        <v/>
      </c>
      <c r="W142" s="272">
        <v>1</v>
      </c>
      <c r="X142" s="272">
        <v>0</v>
      </c>
      <c r="Y142" s="272">
        <v>0</v>
      </c>
      <c r="Z142" s="273">
        <v>0</v>
      </c>
      <c r="AA142" s="379">
        <v>1</v>
      </c>
      <c r="AB142" s="274">
        <v>4</v>
      </c>
      <c r="AC142" s="313"/>
      <c r="AD142" s="313"/>
    </row>
    <row r="143" spans="1:30" ht="17" x14ac:dyDescent="0.2">
      <c r="A143" s="275" t="s">
        <v>441</v>
      </c>
      <c r="B143" s="276">
        <v>0.95833333333333337</v>
      </c>
      <c r="C143" s="379" t="str">
        <f t="shared" si="10"/>
        <v>23:00</v>
      </c>
      <c r="D143" s="277">
        <v>0</v>
      </c>
      <c r="E143" s="379">
        <f t="shared" si="11"/>
        <v>15</v>
      </c>
      <c r="F143" s="276">
        <v>0.25</v>
      </c>
      <c r="G143" s="406" t="str">
        <f t="shared" si="12"/>
        <v>6:00</v>
      </c>
      <c r="H143" s="277">
        <v>6</v>
      </c>
      <c r="I143" s="277">
        <v>1</v>
      </c>
      <c r="J143" s="277">
        <v>0</v>
      </c>
      <c r="K143" s="277">
        <v>3</v>
      </c>
      <c r="L143" s="277">
        <v>3</v>
      </c>
      <c r="M143" s="277">
        <v>0</v>
      </c>
      <c r="N143" s="277">
        <v>3</v>
      </c>
      <c r="O143" s="277">
        <v>0</v>
      </c>
      <c r="P143" s="277">
        <v>0</v>
      </c>
      <c r="Q143" s="277">
        <v>0</v>
      </c>
      <c r="R143" s="277">
        <v>0</v>
      </c>
      <c r="S143" s="277">
        <v>0</v>
      </c>
      <c r="T143" s="271" t="s">
        <v>538</v>
      </c>
      <c r="U143" s="379">
        <f t="shared" si="13"/>
        <v>0</v>
      </c>
      <c r="V143" s="379" t="str">
        <f t="shared" si="14"/>
        <v/>
      </c>
      <c r="W143" s="277">
        <v>1</v>
      </c>
      <c r="X143" s="277">
        <v>0</v>
      </c>
      <c r="Y143" s="277">
        <v>1</v>
      </c>
      <c r="Z143" s="278">
        <v>1</v>
      </c>
      <c r="AA143" s="379">
        <v>1</v>
      </c>
      <c r="AB143" s="279">
        <v>8</v>
      </c>
      <c r="AC143" s="313"/>
      <c r="AD143" s="313"/>
    </row>
    <row r="144" spans="1:30" s="314" customFormat="1" x14ac:dyDescent="0.2">
      <c r="A144" s="28" t="s">
        <v>442</v>
      </c>
      <c r="B144" s="249">
        <v>0</v>
      </c>
      <c r="C144" s="379" t="str">
        <f t="shared" si="10"/>
        <v>0:00</v>
      </c>
      <c r="D144" s="28">
        <v>2</v>
      </c>
      <c r="E144" s="379">
        <f t="shared" si="11"/>
        <v>60</v>
      </c>
      <c r="F144" s="249">
        <v>0.35416666666666669</v>
      </c>
      <c r="G144" s="406" t="str">
        <f t="shared" si="12"/>
        <v>8:30</v>
      </c>
      <c r="H144" s="28">
        <v>8.5</v>
      </c>
      <c r="I144" s="28">
        <v>0</v>
      </c>
      <c r="J144" s="28">
        <v>2</v>
      </c>
      <c r="K144" s="28">
        <v>2</v>
      </c>
      <c r="L144" s="28">
        <v>1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1</v>
      </c>
      <c r="S144" s="136">
        <v>0</v>
      </c>
      <c r="T144" s="28" t="s">
        <v>536</v>
      </c>
      <c r="U144" s="379">
        <f t="shared" si="13"/>
        <v>0</v>
      </c>
      <c r="V144" s="379" t="str">
        <f t="shared" si="14"/>
        <v/>
      </c>
      <c r="W144" s="221">
        <v>0</v>
      </c>
      <c r="X144" s="28">
        <v>3</v>
      </c>
      <c r="Y144" s="28">
        <v>0</v>
      </c>
      <c r="Z144" s="187">
        <v>0</v>
      </c>
      <c r="AA144" s="379">
        <v>1</v>
      </c>
      <c r="AB144" s="28">
        <v>6</v>
      </c>
      <c r="AC144" s="29"/>
      <c r="AD144" s="29"/>
    </row>
    <row r="145" spans="1:38" x14ac:dyDescent="0.2">
      <c r="A145" s="280" t="s">
        <v>443</v>
      </c>
      <c r="B145" s="281">
        <v>0</v>
      </c>
      <c r="C145" s="379" t="str">
        <f t="shared" si="10"/>
        <v>0:00</v>
      </c>
      <c r="D145" s="129">
        <v>0</v>
      </c>
      <c r="E145" s="379">
        <f t="shared" si="11"/>
        <v>15</v>
      </c>
      <c r="F145" s="281">
        <v>0.375</v>
      </c>
      <c r="G145" s="406" t="str">
        <f t="shared" si="12"/>
        <v>9:00</v>
      </c>
      <c r="H145" s="129">
        <v>9</v>
      </c>
      <c r="I145" s="129">
        <v>0</v>
      </c>
      <c r="J145" s="129">
        <v>0</v>
      </c>
      <c r="K145" s="129">
        <v>3</v>
      </c>
      <c r="L145" s="129">
        <v>3</v>
      </c>
      <c r="M145" s="129">
        <v>0</v>
      </c>
      <c r="N145" s="129">
        <v>0</v>
      </c>
      <c r="O145" s="129">
        <v>0</v>
      </c>
      <c r="P145" s="129">
        <v>0</v>
      </c>
      <c r="Q145" s="129">
        <v>0</v>
      </c>
      <c r="R145" s="129">
        <v>0</v>
      </c>
      <c r="S145" s="204">
        <v>0</v>
      </c>
      <c r="T145" s="28" t="s">
        <v>536</v>
      </c>
      <c r="U145" s="379">
        <f t="shared" si="13"/>
        <v>0</v>
      </c>
      <c r="V145" s="379" t="str">
        <f t="shared" si="14"/>
        <v/>
      </c>
      <c r="W145" s="129">
        <v>0</v>
      </c>
      <c r="X145" s="129">
        <v>3</v>
      </c>
      <c r="Y145" s="129">
        <v>2</v>
      </c>
      <c r="Z145" s="282">
        <v>0</v>
      </c>
      <c r="AA145" s="379">
        <v>1</v>
      </c>
      <c r="AB145" s="129">
        <v>5</v>
      </c>
      <c r="AC145" s="313"/>
      <c r="AD145" s="313"/>
    </row>
    <row r="146" spans="1:38" x14ac:dyDescent="0.2">
      <c r="A146" s="136" t="s">
        <v>444</v>
      </c>
      <c r="B146" s="249">
        <v>0.95833333333333337</v>
      </c>
      <c r="C146" s="379" t="str">
        <f t="shared" si="10"/>
        <v>23:00</v>
      </c>
      <c r="D146" s="129">
        <v>1</v>
      </c>
      <c r="E146" s="379">
        <f t="shared" si="11"/>
        <v>30</v>
      </c>
      <c r="F146" s="248">
        <v>0.375</v>
      </c>
      <c r="G146" s="406" t="str">
        <f t="shared" si="12"/>
        <v>9:00</v>
      </c>
      <c r="H146" s="129">
        <v>8</v>
      </c>
      <c r="I146" s="129">
        <v>0</v>
      </c>
      <c r="J146" s="129">
        <v>2</v>
      </c>
      <c r="K146" s="129">
        <v>3</v>
      </c>
      <c r="L146" s="129">
        <v>3</v>
      </c>
      <c r="M146" s="129">
        <v>0</v>
      </c>
      <c r="N146" s="129">
        <v>0</v>
      </c>
      <c r="O146" s="129">
        <v>0</v>
      </c>
      <c r="P146" s="129">
        <v>0</v>
      </c>
      <c r="Q146" s="129">
        <v>0</v>
      </c>
      <c r="R146" s="129">
        <v>0</v>
      </c>
      <c r="S146" s="204">
        <v>0</v>
      </c>
      <c r="T146" s="28" t="s">
        <v>535</v>
      </c>
      <c r="U146" s="379">
        <f t="shared" si="13"/>
        <v>0</v>
      </c>
      <c r="V146" s="379" t="str">
        <f t="shared" si="14"/>
        <v/>
      </c>
      <c r="W146" s="129">
        <v>2</v>
      </c>
      <c r="X146" s="129">
        <v>0</v>
      </c>
      <c r="Y146" s="129">
        <v>3</v>
      </c>
      <c r="Z146" s="282">
        <v>0</v>
      </c>
      <c r="AA146" s="379">
        <v>1</v>
      </c>
      <c r="AB146" s="129">
        <v>10</v>
      </c>
      <c r="AC146" s="313"/>
      <c r="AD146" s="313"/>
    </row>
    <row r="147" spans="1:38" x14ac:dyDescent="0.2">
      <c r="A147" s="136" t="s">
        <v>445</v>
      </c>
      <c r="B147" s="249">
        <v>0.9375</v>
      </c>
      <c r="C147" s="379" t="str">
        <f t="shared" si="10"/>
        <v>22:30</v>
      </c>
      <c r="D147" s="129">
        <v>1</v>
      </c>
      <c r="E147" s="379">
        <f t="shared" si="11"/>
        <v>30</v>
      </c>
      <c r="F147" s="248">
        <v>0.20833333333333334</v>
      </c>
      <c r="G147" s="406" t="str">
        <f t="shared" si="12"/>
        <v>5:00</v>
      </c>
      <c r="H147" s="129">
        <v>5</v>
      </c>
      <c r="I147" s="129">
        <v>2</v>
      </c>
      <c r="J147" s="129">
        <v>1</v>
      </c>
      <c r="K147" s="129">
        <v>3</v>
      </c>
      <c r="L147" s="129">
        <v>3</v>
      </c>
      <c r="M147" s="129">
        <v>1</v>
      </c>
      <c r="N147" s="129">
        <v>3</v>
      </c>
      <c r="O147" s="129">
        <v>0</v>
      </c>
      <c r="P147" s="129">
        <v>0</v>
      </c>
      <c r="Q147" s="129">
        <v>1</v>
      </c>
      <c r="R147" s="129">
        <v>0</v>
      </c>
      <c r="S147" s="204">
        <v>0</v>
      </c>
      <c r="T147" s="28" t="s">
        <v>535</v>
      </c>
      <c r="U147" s="379">
        <f t="shared" si="13"/>
        <v>0</v>
      </c>
      <c r="V147" s="379" t="str">
        <f t="shared" si="14"/>
        <v/>
      </c>
      <c r="W147" s="129">
        <v>1</v>
      </c>
      <c r="X147" s="129">
        <v>3</v>
      </c>
      <c r="Y147" s="129">
        <v>1</v>
      </c>
      <c r="Z147" s="282">
        <v>0</v>
      </c>
      <c r="AA147" s="379">
        <v>1</v>
      </c>
      <c r="AB147" s="129">
        <v>14</v>
      </c>
      <c r="AC147" s="313"/>
      <c r="AD147" s="313"/>
    </row>
    <row r="148" spans="1:38" ht="16" x14ac:dyDescent="0.2">
      <c r="A148" s="132" t="s">
        <v>446</v>
      </c>
      <c r="B148" s="249">
        <v>0.95833333333333337</v>
      </c>
      <c r="C148" s="379" t="str">
        <f t="shared" si="10"/>
        <v>23:00</v>
      </c>
      <c r="D148" s="126">
        <v>1</v>
      </c>
      <c r="E148" s="379">
        <f t="shared" si="11"/>
        <v>30</v>
      </c>
      <c r="F148" s="249">
        <v>0.33333333333333331</v>
      </c>
      <c r="G148" s="406" t="str">
        <f t="shared" si="12"/>
        <v>8:00</v>
      </c>
      <c r="H148" s="126">
        <v>7</v>
      </c>
      <c r="I148" s="126">
        <v>1</v>
      </c>
      <c r="J148" s="126">
        <v>1</v>
      </c>
      <c r="K148" s="126">
        <v>3</v>
      </c>
      <c r="L148" s="126">
        <v>3</v>
      </c>
      <c r="M148" s="126">
        <v>0</v>
      </c>
      <c r="N148" s="126">
        <v>3</v>
      </c>
      <c r="O148" s="126">
        <v>0</v>
      </c>
      <c r="P148" s="126">
        <v>3</v>
      </c>
      <c r="Q148" s="126">
        <v>0</v>
      </c>
      <c r="R148" s="126">
        <v>0</v>
      </c>
      <c r="S148" s="219">
        <v>0</v>
      </c>
      <c r="T148" s="28" t="s">
        <v>537</v>
      </c>
      <c r="U148" s="379">
        <f t="shared" si="13"/>
        <v>0</v>
      </c>
      <c r="V148" s="379" t="str">
        <f t="shared" si="14"/>
        <v/>
      </c>
      <c r="W148" s="126">
        <v>2</v>
      </c>
      <c r="X148" s="126">
        <v>0</v>
      </c>
      <c r="Y148" s="126">
        <v>1</v>
      </c>
      <c r="Z148" s="185">
        <v>0</v>
      </c>
      <c r="AA148" s="379">
        <v>1</v>
      </c>
      <c r="AB148" s="203">
        <v>10</v>
      </c>
      <c r="AC148" s="313"/>
      <c r="AD148" s="313"/>
    </row>
    <row r="149" spans="1:38" ht="17" x14ac:dyDescent="0.2">
      <c r="A149" s="127" t="s">
        <v>447</v>
      </c>
      <c r="B149" s="249">
        <v>0.95833333333333337</v>
      </c>
      <c r="C149" s="379" t="str">
        <f t="shared" si="10"/>
        <v>23:00</v>
      </c>
      <c r="D149" s="126">
        <v>0</v>
      </c>
      <c r="E149" s="379">
        <f t="shared" si="11"/>
        <v>15</v>
      </c>
      <c r="F149" s="249">
        <v>0.29166666666666669</v>
      </c>
      <c r="G149" s="406" t="str">
        <f t="shared" si="12"/>
        <v>7:00</v>
      </c>
      <c r="H149" s="126">
        <v>8</v>
      </c>
      <c r="I149" s="126">
        <v>0</v>
      </c>
      <c r="J149" s="126">
        <v>0</v>
      </c>
      <c r="K149" s="126">
        <v>3</v>
      </c>
      <c r="L149" s="126">
        <v>3</v>
      </c>
      <c r="M149" s="126">
        <v>0</v>
      </c>
      <c r="N149" s="126">
        <v>3</v>
      </c>
      <c r="O149" s="126">
        <v>0</v>
      </c>
      <c r="P149" s="126">
        <v>0</v>
      </c>
      <c r="Q149" s="126">
        <v>0</v>
      </c>
      <c r="R149" s="126">
        <v>0</v>
      </c>
      <c r="S149" s="219">
        <v>0</v>
      </c>
      <c r="T149" s="270" t="s">
        <v>538</v>
      </c>
      <c r="U149" s="379">
        <f t="shared" si="13"/>
        <v>0</v>
      </c>
      <c r="V149" s="379" t="str">
        <f t="shared" si="14"/>
        <v/>
      </c>
      <c r="W149" s="126">
        <v>1</v>
      </c>
      <c r="X149" s="126">
        <v>0</v>
      </c>
      <c r="Y149" s="126">
        <v>0</v>
      </c>
      <c r="Z149" s="185">
        <v>0</v>
      </c>
      <c r="AA149" s="379">
        <v>1</v>
      </c>
      <c r="AB149" s="203">
        <v>4</v>
      </c>
      <c r="AC149" s="313"/>
      <c r="AD149" s="313"/>
    </row>
    <row r="150" spans="1:38" x14ac:dyDescent="0.2">
      <c r="A150" s="127" t="s">
        <v>448</v>
      </c>
      <c r="B150" s="263">
        <v>4.1666666666666664E-2</v>
      </c>
      <c r="C150" s="379" t="str">
        <f t="shared" si="10"/>
        <v>1:00</v>
      </c>
      <c r="D150" s="126">
        <v>0</v>
      </c>
      <c r="E150" s="379">
        <f t="shared" si="11"/>
        <v>15</v>
      </c>
      <c r="F150" s="249">
        <v>0.33333333333333331</v>
      </c>
      <c r="G150" s="406" t="str">
        <f t="shared" si="12"/>
        <v>8:00</v>
      </c>
      <c r="H150" s="126">
        <v>6</v>
      </c>
      <c r="I150" s="126">
        <v>2</v>
      </c>
      <c r="J150" s="126">
        <v>0</v>
      </c>
      <c r="K150" s="126">
        <v>3</v>
      </c>
      <c r="L150" s="126">
        <v>3</v>
      </c>
      <c r="M150" s="126">
        <v>0</v>
      </c>
      <c r="N150" s="126">
        <v>3</v>
      </c>
      <c r="O150" s="126">
        <v>2</v>
      </c>
      <c r="P150" s="126">
        <v>2</v>
      </c>
      <c r="Q150" s="126">
        <v>3</v>
      </c>
      <c r="R150" s="126">
        <v>3</v>
      </c>
      <c r="S150" s="219">
        <v>0</v>
      </c>
      <c r="T150" s="28" t="s">
        <v>534</v>
      </c>
      <c r="U150" s="379">
        <f t="shared" si="13"/>
        <v>0</v>
      </c>
      <c r="V150" s="379" t="str">
        <f t="shared" si="14"/>
        <v/>
      </c>
      <c r="W150" s="126">
        <v>2</v>
      </c>
      <c r="X150" s="126">
        <v>0</v>
      </c>
      <c r="Y150" s="126">
        <v>3</v>
      </c>
      <c r="Z150" s="185">
        <v>2</v>
      </c>
      <c r="AA150" s="379">
        <v>1</v>
      </c>
      <c r="AB150" s="203">
        <v>13</v>
      </c>
      <c r="AC150" s="313"/>
      <c r="AD150" s="313"/>
    </row>
    <row r="151" spans="1:38" ht="17" x14ac:dyDescent="0.2">
      <c r="A151" s="127" t="s">
        <v>449</v>
      </c>
      <c r="B151" s="249">
        <v>0.95833333333333337</v>
      </c>
      <c r="C151" s="379" t="str">
        <f t="shared" si="10"/>
        <v>23:00</v>
      </c>
      <c r="D151" s="129">
        <v>0</v>
      </c>
      <c r="E151" s="379">
        <f t="shared" si="11"/>
        <v>15</v>
      </c>
      <c r="F151" s="249">
        <v>0.33333333333333331</v>
      </c>
      <c r="G151" s="406" t="str">
        <f t="shared" si="12"/>
        <v>8:00</v>
      </c>
      <c r="H151" s="129">
        <v>8</v>
      </c>
      <c r="I151" s="129">
        <v>0</v>
      </c>
      <c r="J151" s="129">
        <v>0</v>
      </c>
      <c r="K151" s="129">
        <v>3</v>
      </c>
      <c r="L151" s="129">
        <v>3</v>
      </c>
      <c r="M151" s="129">
        <v>0</v>
      </c>
      <c r="N151" s="129">
        <v>3</v>
      </c>
      <c r="O151" s="129">
        <v>0</v>
      </c>
      <c r="P151" s="129">
        <v>0</v>
      </c>
      <c r="Q151" s="129">
        <v>3</v>
      </c>
      <c r="R151" s="129">
        <v>0</v>
      </c>
      <c r="S151" s="204">
        <v>0</v>
      </c>
      <c r="T151" s="270" t="s">
        <v>538</v>
      </c>
      <c r="U151" s="379">
        <f t="shared" si="13"/>
        <v>0</v>
      </c>
      <c r="V151" s="379" t="str">
        <f t="shared" si="14"/>
        <v/>
      </c>
      <c r="W151" s="129">
        <v>1</v>
      </c>
      <c r="X151" s="129">
        <v>1</v>
      </c>
      <c r="Y151" s="129">
        <v>1</v>
      </c>
      <c r="Z151" s="234">
        <v>1</v>
      </c>
      <c r="AA151" s="379">
        <v>1</v>
      </c>
      <c r="AB151" s="274">
        <v>8</v>
      </c>
      <c r="AC151" s="313"/>
      <c r="AD151" s="313"/>
    </row>
    <row r="152" spans="1:38" x14ac:dyDescent="0.2">
      <c r="A152" s="161" t="s">
        <v>450</v>
      </c>
      <c r="B152" s="249">
        <v>2.0833333333333332E-2</v>
      </c>
      <c r="C152" s="379" t="str">
        <f t="shared" si="10"/>
        <v>0:30</v>
      </c>
      <c r="D152" s="126">
        <v>1</v>
      </c>
      <c r="E152" s="379">
        <f t="shared" si="11"/>
        <v>30</v>
      </c>
      <c r="F152" s="252">
        <v>0.16666666666666666</v>
      </c>
      <c r="G152" s="406" t="str">
        <f t="shared" si="12"/>
        <v>4:00</v>
      </c>
      <c r="H152" s="126">
        <v>4</v>
      </c>
      <c r="I152" s="126">
        <v>3</v>
      </c>
      <c r="J152" s="126">
        <v>1</v>
      </c>
      <c r="K152" s="126">
        <v>3</v>
      </c>
      <c r="L152" s="126">
        <v>0</v>
      </c>
      <c r="M152" s="126">
        <v>0</v>
      </c>
      <c r="N152" s="126">
        <v>0</v>
      </c>
      <c r="O152" s="126">
        <v>0</v>
      </c>
      <c r="P152" s="126">
        <v>0</v>
      </c>
      <c r="Q152" s="126">
        <v>0</v>
      </c>
      <c r="R152" s="126">
        <v>0</v>
      </c>
      <c r="S152" s="219">
        <v>0</v>
      </c>
      <c r="T152" s="28" t="s">
        <v>534</v>
      </c>
      <c r="U152" s="379">
        <f t="shared" si="13"/>
        <v>0</v>
      </c>
      <c r="V152" s="379" t="str">
        <f t="shared" si="14"/>
        <v/>
      </c>
      <c r="W152" s="126">
        <v>2</v>
      </c>
      <c r="X152" s="126">
        <v>0</v>
      </c>
      <c r="Y152" s="126">
        <v>3</v>
      </c>
      <c r="Z152" s="186">
        <v>2</v>
      </c>
      <c r="AA152" s="379">
        <v>1</v>
      </c>
      <c r="AB152" s="203">
        <v>12</v>
      </c>
      <c r="AC152" s="313"/>
      <c r="AD152" s="313"/>
    </row>
    <row r="153" spans="1:38" x14ac:dyDescent="0.2">
      <c r="A153" s="161" t="s">
        <v>451</v>
      </c>
      <c r="B153" s="248">
        <v>0.9375</v>
      </c>
      <c r="C153" s="379" t="str">
        <f t="shared" si="10"/>
        <v>22:30</v>
      </c>
      <c r="D153" s="129">
        <v>2</v>
      </c>
      <c r="E153" s="379">
        <f t="shared" si="11"/>
        <v>60</v>
      </c>
      <c r="F153" s="249">
        <v>0.29166666666666669</v>
      </c>
      <c r="G153" s="406" t="str">
        <f t="shared" si="12"/>
        <v>7:00</v>
      </c>
      <c r="H153" s="129">
        <v>6</v>
      </c>
      <c r="I153" s="129">
        <v>2</v>
      </c>
      <c r="J153" s="129">
        <v>3</v>
      </c>
      <c r="K153" s="129">
        <v>3</v>
      </c>
      <c r="L153" s="129">
        <v>3</v>
      </c>
      <c r="M153" s="129">
        <v>0</v>
      </c>
      <c r="N153" s="129">
        <v>0</v>
      </c>
      <c r="O153" s="129">
        <v>0</v>
      </c>
      <c r="P153" s="129">
        <v>0</v>
      </c>
      <c r="Q153" s="129">
        <v>2</v>
      </c>
      <c r="R153" s="129">
        <v>2</v>
      </c>
      <c r="S153" s="204">
        <v>0</v>
      </c>
      <c r="T153" s="28" t="s">
        <v>534</v>
      </c>
      <c r="U153" s="379">
        <f t="shared" si="13"/>
        <v>0</v>
      </c>
      <c r="V153" s="379" t="str">
        <f t="shared" si="14"/>
        <v/>
      </c>
      <c r="W153" s="129">
        <v>2</v>
      </c>
      <c r="X153" s="129">
        <v>0</v>
      </c>
      <c r="Y153" s="129">
        <v>0</v>
      </c>
      <c r="Z153" s="282">
        <v>0</v>
      </c>
      <c r="AA153" s="379">
        <v>1</v>
      </c>
      <c r="AB153" s="274">
        <v>11</v>
      </c>
      <c r="AC153" s="313"/>
      <c r="AD153" s="313"/>
    </row>
    <row r="154" spans="1:38" x14ac:dyDescent="0.2">
      <c r="A154" s="161" t="s">
        <v>452</v>
      </c>
      <c r="B154" s="263">
        <v>8.3333333333333329E-2</v>
      </c>
      <c r="C154" s="379" t="str">
        <f t="shared" si="10"/>
        <v>2:00</v>
      </c>
      <c r="D154" s="126">
        <v>0</v>
      </c>
      <c r="E154" s="379">
        <f t="shared" si="11"/>
        <v>15</v>
      </c>
      <c r="F154" s="249">
        <v>0.33333333333333331</v>
      </c>
      <c r="G154" s="406" t="str">
        <f t="shared" si="12"/>
        <v>8:00</v>
      </c>
      <c r="H154" s="126">
        <v>5</v>
      </c>
      <c r="I154" s="126">
        <v>2</v>
      </c>
      <c r="J154" s="126">
        <v>0</v>
      </c>
      <c r="K154" s="126">
        <v>3</v>
      </c>
      <c r="L154" s="126">
        <v>3</v>
      </c>
      <c r="M154" s="126">
        <v>0</v>
      </c>
      <c r="N154" s="126">
        <v>0</v>
      </c>
      <c r="O154" s="126">
        <v>0</v>
      </c>
      <c r="P154" s="126">
        <v>0</v>
      </c>
      <c r="Q154" s="126">
        <v>2</v>
      </c>
      <c r="R154" s="126">
        <v>0</v>
      </c>
      <c r="S154" s="219">
        <v>0</v>
      </c>
      <c r="T154" s="28" t="s">
        <v>534</v>
      </c>
      <c r="U154" s="379">
        <f t="shared" si="13"/>
        <v>0</v>
      </c>
      <c r="V154" s="379" t="str">
        <f t="shared" si="14"/>
        <v/>
      </c>
      <c r="W154" s="126">
        <v>2</v>
      </c>
      <c r="X154" s="126">
        <v>0</v>
      </c>
      <c r="Y154" s="126">
        <v>0</v>
      </c>
      <c r="Z154" s="185">
        <v>0</v>
      </c>
      <c r="AA154" s="379">
        <v>1</v>
      </c>
      <c r="AB154" s="203">
        <v>8</v>
      </c>
      <c r="AC154" s="313"/>
      <c r="AD154" s="313"/>
    </row>
    <row r="155" spans="1:38" x14ac:dyDescent="0.2">
      <c r="A155" s="161" t="s">
        <v>453</v>
      </c>
      <c r="B155" s="281">
        <v>0</v>
      </c>
      <c r="C155" s="379" t="str">
        <f t="shared" si="10"/>
        <v>0:00</v>
      </c>
      <c r="D155" s="129">
        <v>0</v>
      </c>
      <c r="E155" s="379">
        <f t="shared" si="11"/>
        <v>15</v>
      </c>
      <c r="F155" s="249">
        <v>0.25</v>
      </c>
      <c r="G155" s="406" t="str">
        <f t="shared" si="12"/>
        <v>6:00</v>
      </c>
      <c r="H155" s="129">
        <v>5</v>
      </c>
      <c r="I155" s="129">
        <v>2</v>
      </c>
      <c r="J155" s="129">
        <v>0</v>
      </c>
      <c r="K155" s="129">
        <v>3</v>
      </c>
      <c r="L155" s="129">
        <v>3</v>
      </c>
      <c r="M155" s="129">
        <v>0</v>
      </c>
      <c r="N155" s="129">
        <v>0</v>
      </c>
      <c r="O155" s="129">
        <v>0</v>
      </c>
      <c r="P155" s="129">
        <v>0</v>
      </c>
      <c r="Q155" s="129">
        <v>0</v>
      </c>
      <c r="R155" s="129">
        <v>1</v>
      </c>
      <c r="S155" s="204">
        <v>0</v>
      </c>
      <c r="T155" s="28" t="s">
        <v>534</v>
      </c>
      <c r="U155" s="379">
        <f t="shared" si="13"/>
        <v>0</v>
      </c>
      <c r="V155" s="379" t="str">
        <f t="shared" si="14"/>
        <v/>
      </c>
      <c r="W155" s="129">
        <v>2</v>
      </c>
      <c r="X155" s="129">
        <v>0</v>
      </c>
      <c r="Y155" s="129">
        <v>2</v>
      </c>
      <c r="Z155" s="234">
        <v>0</v>
      </c>
      <c r="AA155" s="379">
        <v>1</v>
      </c>
      <c r="AB155" s="274">
        <v>9</v>
      </c>
      <c r="AC155" s="313"/>
      <c r="AD155" s="313"/>
    </row>
    <row r="156" spans="1:38" x14ac:dyDescent="0.2">
      <c r="A156" s="161" t="s">
        <v>454</v>
      </c>
      <c r="B156" s="249">
        <v>0.95833333333333337</v>
      </c>
      <c r="C156" s="379" t="str">
        <f t="shared" si="10"/>
        <v>23:00</v>
      </c>
      <c r="D156" s="167">
        <v>0</v>
      </c>
      <c r="E156" s="379">
        <f t="shared" si="11"/>
        <v>15</v>
      </c>
      <c r="F156" s="249">
        <v>0.375</v>
      </c>
      <c r="G156" s="406" t="str">
        <f t="shared" si="12"/>
        <v>9:00</v>
      </c>
      <c r="H156" s="167">
        <v>6</v>
      </c>
      <c r="I156" s="167">
        <v>1</v>
      </c>
      <c r="J156" s="167">
        <v>0</v>
      </c>
      <c r="K156" s="167">
        <v>3</v>
      </c>
      <c r="L156" s="167">
        <v>3</v>
      </c>
      <c r="M156" s="167">
        <v>0</v>
      </c>
      <c r="N156" s="167">
        <v>3</v>
      </c>
      <c r="O156" s="167">
        <v>3</v>
      </c>
      <c r="P156" s="167">
        <v>3</v>
      </c>
      <c r="Q156" s="167">
        <v>1</v>
      </c>
      <c r="R156" s="167">
        <v>1</v>
      </c>
      <c r="S156" s="256">
        <v>0</v>
      </c>
      <c r="T156" s="241" t="s">
        <v>534</v>
      </c>
      <c r="U156" s="379">
        <f t="shared" si="13"/>
        <v>0</v>
      </c>
      <c r="V156" s="379" t="str">
        <f t="shared" si="14"/>
        <v/>
      </c>
      <c r="W156" s="167">
        <v>2</v>
      </c>
      <c r="X156" s="167">
        <v>0</v>
      </c>
      <c r="Y156" s="167">
        <v>2</v>
      </c>
      <c r="Z156" s="185">
        <v>0</v>
      </c>
      <c r="AA156" s="379">
        <v>1</v>
      </c>
      <c r="AB156" s="167">
        <v>10</v>
      </c>
      <c r="AC156" s="313"/>
      <c r="AD156" s="313"/>
    </row>
    <row r="157" spans="1:38" ht="16" x14ac:dyDescent="0.2">
      <c r="A157" s="168" t="s">
        <v>455</v>
      </c>
      <c r="B157" s="253">
        <v>0.89583333333333337</v>
      </c>
      <c r="C157" s="379" t="str">
        <f t="shared" si="10"/>
        <v>21:30</v>
      </c>
      <c r="D157" s="126">
        <v>3</v>
      </c>
      <c r="E157" s="379">
        <f t="shared" si="11"/>
        <v>61</v>
      </c>
      <c r="F157" s="249">
        <v>0.41666666666666669</v>
      </c>
      <c r="G157" s="406" t="str">
        <f t="shared" si="12"/>
        <v>10:00</v>
      </c>
      <c r="H157" s="126">
        <v>5</v>
      </c>
      <c r="I157" s="126">
        <v>2</v>
      </c>
      <c r="J157" s="126">
        <v>3</v>
      </c>
      <c r="K157" s="126">
        <v>3</v>
      </c>
      <c r="L157" s="126">
        <v>3</v>
      </c>
      <c r="M157" s="126">
        <v>0</v>
      </c>
      <c r="N157" s="126">
        <v>0</v>
      </c>
      <c r="O157" s="126">
        <v>0</v>
      </c>
      <c r="P157" s="126">
        <v>0</v>
      </c>
      <c r="Q157" s="126">
        <v>0</v>
      </c>
      <c r="R157" s="126">
        <v>1</v>
      </c>
      <c r="S157" s="219">
        <v>0</v>
      </c>
      <c r="T157" s="28" t="s">
        <v>537</v>
      </c>
      <c r="U157" s="379">
        <f t="shared" si="13"/>
        <v>0</v>
      </c>
      <c r="V157" s="379" t="str">
        <f t="shared" si="14"/>
        <v/>
      </c>
      <c r="W157" s="126">
        <v>3</v>
      </c>
      <c r="X157" s="126">
        <v>3</v>
      </c>
      <c r="Y157" s="126">
        <v>0</v>
      </c>
      <c r="Z157" s="185">
        <v>0</v>
      </c>
      <c r="AA157" s="379">
        <v>1</v>
      </c>
      <c r="AB157" s="203">
        <v>15</v>
      </c>
      <c r="AC157" s="313"/>
      <c r="AD157" s="313"/>
    </row>
    <row r="158" spans="1:38" ht="16" x14ac:dyDescent="0.2">
      <c r="A158" s="168" t="s">
        <v>456</v>
      </c>
      <c r="B158" s="249">
        <v>0.95833333333333337</v>
      </c>
      <c r="C158" s="379" t="str">
        <f t="shared" si="10"/>
        <v>23:00</v>
      </c>
      <c r="D158" s="129">
        <v>0</v>
      </c>
      <c r="E158" s="379">
        <f t="shared" si="11"/>
        <v>15</v>
      </c>
      <c r="F158" s="249">
        <v>0.375</v>
      </c>
      <c r="G158" s="406" t="str">
        <f t="shared" si="12"/>
        <v>9:00</v>
      </c>
      <c r="H158" s="129">
        <v>7</v>
      </c>
      <c r="I158" s="129">
        <v>1</v>
      </c>
      <c r="J158" s="129">
        <v>0</v>
      </c>
      <c r="K158" s="129">
        <v>3</v>
      </c>
      <c r="L158" s="129">
        <v>3</v>
      </c>
      <c r="M158" s="129">
        <v>0</v>
      </c>
      <c r="N158" s="129">
        <v>0</v>
      </c>
      <c r="O158" s="129">
        <v>0</v>
      </c>
      <c r="P158" s="129">
        <v>0</v>
      </c>
      <c r="Q158" s="129">
        <v>0</v>
      </c>
      <c r="R158" s="129">
        <v>0</v>
      </c>
      <c r="S158" s="204">
        <v>0</v>
      </c>
      <c r="T158" s="28" t="s">
        <v>534</v>
      </c>
      <c r="U158" s="379">
        <f t="shared" si="13"/>
        <v>0</v>
      </c>
      <c r="V158" s="379" t="str">
        <f t="shared" si="14"/>
        <v/>
      </c>
      <c r="W158" s="129">
        <v>2</v>
      </c>
      <c r="X158" s="129">
        <v>0</v>
      </c>
      <c r="Y158" s="129">
        <v>0</v>
      </c>
      <c r="Z158" s="234">
        <v>0</v>
      </c>
      <c r="AA158" s="379">
        <v>1</v>
      </c>
      <c r="AB158" s="274">
        <v>7</v>
      </c>
      <c r="AC158" s="313"/>
      <c r="AD158" s="313"/>
    </row>
    <row r="159" spans="1:38" ht="17" x14ac:dyDescent="0.2">
      <c r="A159" s="168" t="s">
        <v>457</v>
      </c>
      <c r="B159" s="249">
        <v>0.95833333333333337</v>
      </c>
      <c r="C159" s="379" t="str">
        <f t="shared" si="10"/>
        <v>23:00</v>
      </c>
      <c r="D159" s="165">
        <v>0</v>
      </c>
      <c r="E159" s="379">
        <f t="shared" si="11"/>
        <v>15</v>
      </c>
      <c r="F159" s="249">
        <v>0.33333333333333331</v>
      </c>
      <c r="G159" s="406" t="str">
        <f t="shared" si="12"/>
        <v>8:00</v>
      </c>
      <c r="H159" s="165">
        <v>6</v>
      </c>
      <c r="I159" s="165">
        <v>1</v>
      </c>
      <c r="J159" s="165">
        <v>0</v>
      </c>
      <c r="K159" s="165">
        <v>2</v>
      </c>
      <c r="L159" s="165">
        <v>2</v>
      </c>
      <c r="M159" s="165">
        <v>0</v>
      </c>
      <c r="N159" s="165">
        <v>0</v>
      </c>
      <c r="O159" s="165">
        <v>0</v>
      </c>
      <c r="P159" s="165">
        <v>0</v>
      </c>
      <c r="Q159" s="165">
        <v>2</v>
      </c>
      <c r="R159" s="165">
        <v>0</v>
      </c>
      <c r="S159" s="257">
        <v>0</v>
      </c>
      <c r="T159" s="270" t="s">
        <v>538</v>
      </c>
      <c r="U159" s="379">
        <f t="shared" si="13"/>
        <v>0</v>
      </c>
      <c r="V159" s="379" t="str">
        <f t="shared" si="14"/>
        <v/>
      </c>
      <c r="W159" s="165">
        <v>1</v>
      </c>
      <c r="X159" s="165">
        <v>0</v>
      </c>
      <c r="Y159" s="165">
        <v>0</v>
      </c>
      <c r="Z159" s="234">
        <v>0</v>
      </c>
      <c r="AA159" s="379">
        <v>1</v>
      </c>
      <c r="AB159" s="284">
        <v>7</v>
      </c>
      <c r="AC159" s="313"/>
      <c r="AD159" s="313"/>
    </row>
    <row r="160" spans="1:38" ht="16" x14ac:dyDescent="0.2">
      <c r="A160" s="168" t="s">
        <v>458</v>
      </c>
      <c r="B160" s="249">
        <v>0.95833333333333337</v>
      </c>
      <c r="C160" s="379" t="str">
        <f t="shared" si="10"/>
        <v>23:00</v>
      </c>
      <c r="D160" s="167">
        <v>3</v>
      </c>
      <c r="E160" s="379">
        <f t="shared" si="11"/>
        <v>61</v>
      </c>
      <c r="F160" s="283">
        <v>0.33333333333333331</v>
      </c>
      <c r="G160" s="406" t="str">
        <f t="shared" si="12"/>
        <v>8:00</v>
      </c>
      <c r="H160" s="167">
        <v>8</v>
      </c>
      <c r="I160" s="167">
        <v>0</v>
      </c>
      <c r="J160" s="167">
        <v>3</v>
      </c>
      <c r="K160" s="167">
        <v>3</v>
      </c>
      <c r="L160" s="167">
        <v>3</v>
      </c>
      <c r="M160" s="167">
        <v>0</v>
      </c>
      <c r="N160" s="167">
        <v>0</v>
      </c>
      <c r="O160" s="167">
        <v>0</v>
      </c>
      <c r="P160" s="167">
        <v>0</v>
      </c>
      <c r="Q160" s="167">
        <v>0</v>
      </c>
      <c r="R160" s="167">
        <v>0</v>
      </c>
      <c r="S160" s="167">
        <v>0</v>
      </c>
      <c r="T160" s="167" t="s">
        <v>534</v>
      </c>
      <c r="U160" s="379">
        <f t="shared" si="13"/>
        <v>0</v>
      </c>
      <c r="V160" s="379" t="str">
        <f t="shared" si="14"/>
        <v/>
      </c>
      <c r="W160" s="167">
        <v>2</v>
      </c>
      <c r="X160" s="167">
        <v>3</v>
      </c>
      <c r="Y160" s="167">
        <v>2</v>
      </c>
      <c r="Z160" s="185">
        <v>0</v>
      </c>
      <c r="AA160" s="379">
        <v>1</v>
      </c>
      <c r="AB160" s="167">
        <v>13</v>
      </c>
      <c r="AC160" s="313"/>
      <c r="AD160" s="313"/>
      <c r="AE160" s="313"/>
      <c r="AF160" s="313"/>
      <c r="AG160" s="313"/>
      <c r="AH160" s="313"/>
      <c r="AI160" s="313"/>
      <c r="AJ160" s="313"/>
      <c r="AK160" s="313"/>
      <c r="AL160" s="313"/>
    </row>
    <row r="161" spans="1:38" ht="17" x14ac:dyDescent="0.2">
      <c r="A161" s="168" t="s">
        <v>459</v>
      </c>
      <c r="B161" s="263">
        <v>4.1666666666666664E-2</v>
      </c>
      <c r="C161" s="379" t="str">
        <f t="shared" si="10"/>
        <v>1:00</v>
      </c>
      <c r="D161" s="165">
        <v>0</v>
      </c>
      <c r="E161" s="379">
        <f t="shared" si="11"/>
        <v>15</v>
      </c>
      <c r="F161" s="249">
        <v>0.35416666666666669</v>
      </c>
      <c r="G161" s="406" t="str">
        <f t="shared" si="12"/>
        <v>8:30</v>
      </c>
      <c r="H161" s="165">
        <v>7</v>
      </c>
      <c r="I161" s="165">
        <v>1</v>
      </c>
      <c r="J161" s="165">
        <v>0</v>
      </c>
      <c r="K161" s="165">
        <v>2</v>
      </c>
      <c r="L161" s="165">
        <v>2</v>
      </c>
      <c r="M161" s="165">
        <v>0</v>
      </c>
      <c r="N161" s="165">
        <v>0</v>
      </c>
      <c r="O161" s="165">
        <v>1</v>
      </c>
      <c r="P161" s="165">
        <v>1</v>
      </c>
      <c r="Q161" s="165">
        <v>2</v>
      </c>
      <c r="R161" s="165">
        <v>0</v>
      </c>
      <c r="S161" s="257">
        <v>0</v>
      </c>
      <c r="T161" s="270" t="s">
        <v>538</v>
      </c>
      <c r="U161" s="379">
        <f t="shared" si="13"/>
        <v>0</v>
      </c>
      <c r="V161" s="379" t="str">
        <f t="shared" si="14"/>
        <v/>
      </c>
      <c r="W161" s="165">
        <v>1</v>
      </c>
      <c r="X161" s="165">
        <v>0</v>
      </c>
      <c r="Y161" s="165">
        <v>2</v>
      </c>
      <c r="Z161" s="234">
        <v>1</v>
      </c>
      <c r="AA161" s="379">
        <v>1</v>
      </c>
      <c r="AB161" s="284">
        <v>5</v>
      </c>
      <c r="AC161" s="313"/>
      <c r="AD161" s="313"/>
    </row>
    <row r="162" spans="1:38" ht="17" x14ac:dyDescent="0.2">
      <c r="A162" s="168" t="s">
        <v>460</v>
      </c>
      <c r="B162" s="281">
        <v>0</v>
      </c>
      <c r="C162" s="379" t="str">
        <f t="shared" si="10"/>
        <v>0:00</v>
      </c>
      <c r="D162" s="165">
        <v>0</v>
      </c>
      <c r="E162" s="379">
        <f t="shared" si="11"/>
        <v>15</v>
      </c>
      <c r="F162" s="249">
        <v>0.35416666666666669</v>
      </c>
      <c r="G162" s="406" t="str">
        <f t="shared" si="12"/>
        <v>8:30</v>
      </c>
      <c r="H162" s="165">
        <v>7</v>
      </c>
      <c r="I162" s="165">
        <v>1</v>
      </c>
      <c r="J162" s="165">
        <v>0</v>
      </c>
      <c r="K162" s="165">
        <v>3</v>
      </c>
      <c r="L162" s="165">
        <v>3</v>
      </c>
      <c r="M162" s="165">
        <v>0</v>
      </c>
      <c r="N162" s="165">
        <v>0</v>
      </c>
      <c r="O162" s="165">
        <v>0</v>
      </c>
      <c r="P162" s="165">
        <v>0</v>
      </c>
      <c r="Q162" s="165">
        <v>0</v>
      </c>
      <c r="R162" s="165">
        <v>0</v>
      </c>
      <c r="S162" s="165">
        <v>0</v>
      </c>
      <c r="T162" s="272" t="s">
        <v>538</v>
      </c>
      <c r="U162" s="379">
        <f t="shared" si="13"/>
        <v>0</v>
      </c>
      <c r="V162" s="379" t="str">
        <f t="shared" si="14"/>
        <v/>
      </c>
      <c r="W162" s="165">
        <v>1</v>
      </c>
      <c r="X162" s="165">
        <v>0</v>
      </c>
      <c r="Y162" s="165">
        <v>2</v>
      </c>
      <c r="Z162" s="234">
        <v>0</v>
      </c>
      <c r="AA162" s="379">
        <v>1</v>
      </c>
      <c r="AB162" s="284">
        <v>7</v>
      </c>
      <c r="AC162" s="313"/>
      <c r="AD162" s="313"/>
    </row>
    <row r="163" spans="1:38" ht="17" thickBot="1" x14ac:dyDescent="0.25">
      <c r="A163" s="169" t="s">
        <v>461</v>
      </c>
      <c r="B163" s="243">
        <v>0.95833333333333337</v>
      </c>
      <c r="C163" s="379" t="str">
        <f t="shared" si="10"/>
        <v>23:00</v>
      </c>
      <c r="D163" s="138">
        <v>1</v>
      </c>
      <c r="E163" s="379">
        <f t="shared" si="11"/>
        <v>30</v>
      </c>
      <c r="F163" s="283">
        <v>0.29166666666666669</v>
      </c>
      <c r="G163" s="406" t="str">
        <f t="shared" si="12"/>
        <v>7:00</v>
      </c>
      <c r="H163" s="138">
        <v>6</v>
      </c>
      <c r="I163" s="138">
        <v>1</v>
      </c>
      <c r="J163" s="138">
        <v>1</v>
      </c>
      <c r="K163" s="138">
        <v>3</v>
      </c>
      <c r="L163" s="138">
        <v>3</v>
      </c>
      <c r="M163" s="138">
        <v>0</v>
      </c>
      <c r="N163" s="138">
        <v>0</v>
      </c>
      <c r="O163" s="138">
        <v>0</v>
      </c>
      <c r="P163" s="138">
        <v>0</v>
      </c>
      <c r="Q163" s="138">
        <v>0</v>
      </c>
      <c r="R163" s="138">
        <v>0</v>
      </c>
      <c r="S163" s="138">
        <v>0</v>
      </c>
      <c r="T163" s="138" t="s">
        <v>534</v>
      </c>
      <c r="U163" s="379">
        <f t="shared" si="13"/>
        <v>0</v>
      </c>
      <c r="V163" s="379" t="str">
        <f t="shared" si="14"/>
        <v/>
      </c>
      <c r="W163" s="138">
        <v>2</v>
      </c>
      <c r="X163" s="138">
        <v>0</v>
      </c>
      <c r="Y163" s="138">
        <v>0</v>
      </c>
      <c r="Z163" s="285">
        <v>0</v>
      </c>
      <c r="AA163" s="379">
        <v>1</v>
      </c>
      <c r="AB163" s="138">
        <v>9</v>
      </c>
      <c r="AC163" s="313"/>
      <c r="AD163" s="313"/>
      <c r="AE163" s="313"/>
      <c r="AF163" s="313"/>
      <c r="AG163" s="313"/>
      <c r="AH163" s="313"/>
      <c r="AI163" s="313"/>
      <c r="AJ163" s="313"/>
      <c r="AK163" s="313"/>
      <c r="AL163" s="313"/>
    </row>
    <row r="164" spans="1:38" x14ac:dyDescent="0.2">
      <c r="A164" s="172" t="s">
        <v>462</v>
      </c>
      <c r="B164" s="281">
        <v>0</v>
      </c>
      <c r="C164" s="379" t="str">
        <f t="shared" si="10"/>
        <v>0:00</v>
      </c>
      <c r="D164" s="126">
        <v>0</v>
      </c>
      <c r="E164" s="379">
        <f t="shared" si="11"/>
        <v>15</v>
      </c>
      <c r="F164" s="249">
        <v>0.33333333333333331</v>
      </c>
      <c r="G164" s="406" t="str">
        <f t="shared" si="12"/>
        <v>8:00</v>
      </c>
      <c r="H164" s="126">
        <v>5</v>
      </c>
      <c r="I164" s="126">
        <v>2</v>
      </c>
      <c r="J164" s="126">
        <v>0</v>
      </c>
      <c r="K164" s="126">
        <v>3</v>
      </c>
      <c r="L164" s="126">
        <v>0</v>
      </c>
      <c r="M164" s="126">
        <v>3</v>
      </c>
      <c r="N164" s="126">
        <v>3</v>
      </c>
      <c r="O164" s="126">
        <v>0</v>
      </c>
      <c r="P164" s="126">
        <v>0</v>
      </c>
      <c r="Q164" s="126">
        <v>0</v>
      </c>
      <c r="R164" s="126">
        <v>0</v>
      </c>
      <c r="S164" s="126">
        <v>0</v>
      </c>
      <c r="T164" s="126" t="s">
        <v>534</v>
      </c>
      <c r="U164" s="379">
        <f t="shared" si="13"/>
        <v>0</v>
      </c>
      <c r="V164" s="379" t="str">
        <f t="shared" si="14"/>
        <v/>
      </c>
      <c r="W164" s="126">
        <v>2</v>
      </c>
      <c r="X164" s="126">
        <v>0</v>
      </c>
      <c r="Y164" s="126">
        <v>2</v>
      </c>
      <c r="Z164" s="185">
        <v>2</v>
      </c>
      <c r="AA164" s="379">
        <v>1</v>
      </c>
      <c r="AB164" s="203">
        <v>10</v>
      </c>
      <c r="AC164" s="313"/>
      <c r="AD164" s="313"/>
    </row>
    <row r="165" spans="1:38" ht="17" x14ac:dyDescent="0.2">
      <c r="A165" s="132" t="s">
        <v>463</v>
      </c>
      <c r="B165" s="253">
        <v>0.91666666666666663</v>
      </c>
      <c r="C165" s="379" t="str">
        <f t="shared" si="10"/>
        <v>22:00</v>
      </c>
      <c r="D165" s="167">
        <v>0</v>
      </c>
      <c r="E165" s="379">
        <f t="shared" si="11"/>
        <v>15</v>
      </c>
      <c r="F165" s="249">
        <v>0.29166666666666669</v>
      </c>
      <c r="G165" s="406" t="str">
        <f t="shared" si="12"/>
        <v>7:00</v>
      </c>
      <c r="H165" s="167">
        <v>8</v>
      </c>
      <c r="I165" s="167">
        <v>0</v>
      </c>
      <c r="J165" s="167">
        <v>0</v>
      </c>
      <c r="K165" s="167">
        <v>2</v>
      </c>
      <c r="L165" s="167">
        <v>2</v>
      </c>
      <c r="M165" s="167">
        <v>1</v>
      </c>
      <c r="N165" s="167">
        <v>0</v>
      </c>
      <c r="O165" s="167">
        <v>0</v>
      </c>
      <c r="P165" s="167">
        <v>0</v>
      </c>
      <c r="Q165" s="167">
        <v>3</v>
      </c>
      <c r="R165" s="167">
        <v>0</v>
      </c>
      <c r="S165" s="167">
        <v>0</v>
      </c>
      <c r="T165" s="272" t="s">
        <v>538</v>
      </c>
      <c r="U165" s="379">
        <f t="shared" si="13"/>
        <v>0</v>
      </c>
      <c r="V165" s="379" t="str">
        <f t="shared" si="14"/>
        <v/>
      </c>
      <c r="W165" s="167">
        <v>1</v>
      </c>
      <c r="X165" s="167">
        <v>0</v>
      </c>
      <c r="Y165" s="167">
        <v>1</v>
      </c>
      <c r="Z165" s="185">
        <v>0</v>
      </c>
      <c r="AA165" s="379">
        <v>1</v>
      </c>
      <c r="AB165" s="225">
        <v>6</v>
      </c>
      <c r="AC165" s="313"/>
      <c r="AD165" s="313"/>
    </row>
    <row r="166" spans="1:38" ht="17" thickBot="1" x14ac:dyDescent="0.25">
      <c r="A166" s="132" t="s">
        <v>464</v>
      </c>
      <c r="B166" s="248">
        <v>6.25E-2</v>
      </c>
      <c r="C166" s="379" t="str">
        <f t="shared" si="10"/>
        <v>1:30</v>
      </c>
      <c r="D166" s="138">
        <v>0</v>
      </c>
      <c r="E166" s="379">
        <f t="shared" si="11"/>
        <v>15</v>
      </c>
      <c r="F166" s="252">
        <v>0.35416666666666669</v>
      </c>
      <c r="G166" s="406" t="str">
        <f t="shared" si="12"/>
        <v>8:30</v>
      </c>
      <c r="H166" s="138">
        <v>7</v>
      </c>
      <c r="I166" s="138">
        <v>1</v>
      </c>
      <c r="J166" s="138">
        <v>0</v>
      </c>
      <c r="K166" s="138">
        <v>3</v>
      </c>
      <c r="L166" s="138">
        <v>3</v>
      </c>
      <c r="M166" s="138">
        <v>0</v>
      </c>
      <c r="N166" s="138">
        <v>0</v>
      </c>
      <c r="O166" s="138">
        <v>0</v>
      </c>
      <c r="P166" s="138">
        <v>0</v>
      </c>
      <c r="Q166" s="138">
        <v>0</v>
      </c>
      <c r="R166" s="138">
        <v>0</v>
      </c>
      <c r="S166" s="138">
        <v>0</v>
      </c>
      <c r="T166" s="286" t="s">
        <v>532</v>
      </c>
      <c r="U166" s="379">
        <f t="shared" si="13"/>
        <v>0</v>
      </c>
      <c r="V166" s="379" t="str">
        <f t="shared" si="14"/>
        <v/>
      </c>
      <c r="W166" s="138">
        <v>1</v>
      </c>
      <c r="X166" s="138">
        <v>0</v>
      </c>
      <c r="Y166" s="138">
        <v>0</v>
      </c>
      <c r="Z166" s="285">
        <v>0</v>
      </c>
      <c r="AA166" s="379">
        <v>1</v>
      </c>
      <c r="AB166" s="138">
        <v>3</v>
      </c>
      <c r="AC166" s="313"/>
      <c r="AD166" s="313"/>
      <c r="AE166" s="313"/>
      <c r="AF166" s="313"/>
      <c r="AG166" s="313"/>
      <c r="AH166" s="313"/>
      <c r="AI166" s="313"/>
      <c r="AJ166" s="313"/>
      <c r="AK166" s="313"/>
      <c r="AL166" s="313"/>
    </row>
    <row r="167" spans="1:38" x14ac:dyDescent="0.2">
      <c r="A167" s="127" t="s">
        <v>465</v>
      </c>
      <c r="B167" s="281">
        <v>0</v>
      </c>
      <c r="C167" s="379" t="str">
        <f t="shared" si="10"/>
        <v>0:00</v>
      </c>
      <c r="D167" s="126">
        <v>0</v>
      </c>
      <c r="E167" s="379">
        <f t="shared" si="11"/>
        <v>15</v>
      </c>
      <c r="F167" s="252">
        <v>0.35416666666666669</v>
      </c>
      <c r="G167" s="406" t="str">
        <f t="shared" si="12"/>
        <v>8:30</v>
      </c>
      <c r="H167" s="126">
        <v>8</v>
      </c>
      <c r="I167" s="126">
        <v>0</v>
      </c>
      <c r="J167" s="126">
        <v>0</v>
      </c>
      <c r="K167" s="126">
        <v>3</v>
      </c>
      <c r="L167" s="126">
        <v>3</v>
      </c>
      <c r="M167" s="126">
        <v>0</v>
      </c>
      <c r="N167" s="126">
        <v>2</v>
      </c>
      <c r="O167" s="126">
        <v>0</v>
      </c>
      <c r="P167" s="126">
        <v>0</v>
      </c>
      <c r="Q167" s="126">
        <v>3</v>
      </c>
      <c r="R167" s="126">
        <v>0</v>
      </c>
      <c r="S167" s="126" t="s">
        <v>492</v>
      </c>
      <c r="T167" s="129" t="s">
        <v>536</v>
      </c>
      <c r="U167" s="379">
        <f t="shared" si="13"/>
        <v>0</v>
      </c>
      <c r="V167" s="379" t="str">
        <f t="shared" si="14"/>
        <v/>
      </c>
      <c r="W167" s="126">
        <v>0</v>
      </c>
      <c r="X167" s="126">
        <v>0</v>
      </c>
      <c r="Y167" s="126">
        <v>1</v>
      </c>
      <c r="Z167" s="185">
        <v>0</v>
      </c>
      <c r="AA167" s="379">
        <v>1</v>
      </c>
      <c r="AB167" s="203">
        <v>3</v>
      </c>
      <c r="AC167" s="313"/>
      <c r="AD167" s="313"/>
    </row>
    <row r="168" spans="1:38" ht="17" x14ac:dyDescent="0.2">
      <c r="A168" s="127" t="s">
        <v>466</v>
      </c>
      <c r="B168" s="281">
        <v>2.0833333333333332E-2</v>
      </c>
      <c r="C168" s="379" t="str">
        <f t="shared" si="10"/>
        <v>0:30</v>
      </c>
      <c r="D168" s="129">
        <v>0</v>
      </c>
      <c r="E168" s="379">
        <f t="shared" si="11"/>
        <v>15</v>
      </c>
      <c r="F168" s="249">
        <v>0.375</v>
      </c>
      <c r="G168" s="406" t="str">
        <f t="shared" si="12"/>
        <v>9:00</v>
      </c>
      <c r="H168" s="129">
        <v>8</v>
      </c>
      <c r="I168" s="129">
        <v>0</v>
      </c>
      <c r="J168" s="129">
        <v>0</v>
      </c>
      <c r="K168" s="129">
        <v>3</v>
      </c>
      <c r="L168" s="129">
        <v>3</v>
      </c>
      <c r="M168" s="129">
        <v>0</v>
      </c>
      <c r="N168" s="129">
        <v>3</v>
      </c>
      <c r="O168" s="129">
        <v>0</v>
      </c>
      <c r="P168" s="129">
        <v>0</v>
      </c>
      <c r="Q168" s="129">
        <v>0</v>
      </c>
      <c r="R168" s="129">
        <v>1</v>
      </c>
      <c r="S168" s="129">
        <v>0</v>
      </c>
      <c r="T168" s="272" t="s">
        <v>538</v>
      </c>
      <c r="U168" s="379">
        <f t="shared" si="13"/>
        <v>0</v>
      </c>
      <c r="V168" s="379" t="str">
        <f t="shared" si="14"/>
        <v/>
      </c>
      <c r="W168" s="129">
        <v>1</v>
      </c>
      <c r="X168" s="129">
        <v>0</v>
      </c>
      <c r="Y168" s="129">
        <v>3</v>
      </c>
      <c r="Z168" s="234">
        <v>0</v>
      </c>
      <c r="AA168" s="379">
        <v>1</v>
      </c>
      <c r="AB168" s="274">
        <v>4</v>
      </c>
      <c r="AC168" s="313"/>
      <c r="AD168" s="313"/>
    </row>
    <row r="169" spans="1:38" ht="17" x14ac:dyDescent="0.2">
      <c r="A169" s="132" t="s">
        <v>467</v>
      </c>
      <c r="B169" s="249">
        <v>0.97916666666666663</v>
      </c>
      <c r="C169" s="379" t="str">
        <f t="shared" si="10"/>
        <v>23:30</v>
      </c>
      <c r="D169" s="126">
        <v>0</v>
      </c>
      <c r="E169" s="379">
        <f t="shared" si="11"/>
        <v>15</v>
      </c>
      <c r="F169" s="249">
        <v>0.35416666666666669</v>
      </c>
      <c r="G169" s="406" t="str">
        <f t="shared" si="12"/>
        <v>8:30</v>
      </c>
      <c r="H169" s="126">
        <v>9</v>
      </c>
      <c r="I169" s="126">
        <v>0</v>
      </c>
      <c r="J169" s="126">
        <v>0</v>
      </c>
      <c r="K169" s="126">
        <v>1</v>
      </c>
      <c r="L169" s="126">
        <v>1</v>
      </c>
      <c r="M169" s="126">
        <v>0</v>
      </c>
      <c r="N169" s="126">
        <v>0</v>
      </c>
      <c r="O169" s="126">
        <v>0</v>
      </c>
      <c r="P169" s="126">
        <v>0</v>
      </c>
      <c r="Q169" s="126">
        <v>0</v>
      </c>
      <c r="R169" s="126">
        <v>0</v>
      </c>
      <c r="S169" s="126">
        <v>0</v>
      </c>
      <c r="T169" s="272" t="s">
        <v>538</v>
      </c>
      <c r="U169" s="379">
        <f t="shared" si="13"/>
        <v>0</v>
      </c>
      <c r="V169" s="379" t="str">
        <f t="shared" si="14"/>
        <v/>
      </c>
      <c r="W169" s="126">
        <v>2</v>
      </c>
      <c r="X169" s="126">
        <v>0</v>
      </c>
      <c r="Y169" s="126">
        <v>0</v>
      </c>
      <c r="Z169" s="185">
        <v>0</v>
      </c>
      <c r="AA169" s="379">
        <v>1</v>
      </c>
      <c r="AB169" s="203">
        <v>2</v>
      </c>
      <c r="AC169" s="313"/>
      <c r="AD169" s="313"/>
    </row>
    <row r="170" spans="1:38" ht="16" x14ac:dyDescent="0.2">
      <c r="A170" s="132" t="s">
        <v>468</v>
      </c>
      <c r="B170" s="248">
        <v>0.9375</v>
      </c>
      <c r="C170" s="379" t="str">
        <f t="shared" si="10"/>
        <v>22:30</v>
      </c>
      <c r="D170" s="126">
        <v>1</v>
      </c>
      <c r="E170" s="379">
        <f t="shared" si="11"/>
        <v>30</v>
      </c>
      <c r="F170" s="249">
        <v>0.3125</v>
      </c>
      <c r="G170" s="406" t="str">
        <f t="shared" si="12"/>
        <v>7:30</v>
      </c>
      <c r="H170" s="126">
        <v>4</v>
      </c>
      <c r="I170" s="126">
        <v>3</v>
      </c>
      <c r="J170" s="126">
        <v>1</v>
      </c>
      <c r="K170" s="126">
        <v>2</v>
      </c>
      <c r="L170" s="126">
        <v>0</v>
      </c>
      <c r="M170" s="126">
        <v>0</v>
      </c>
      <c r="N170" s="126">
        <v>0</v>
      </c>
      <c r="O170" s="126">
        <v>0</v>
      </c>
      <c r="P170" s="126">
        <v>0</v>
      </c>
      <c r="Q170" s="126">
        <v>2</v>
      </c>
      <c r="R170" s="126">
        <v>2</v>
      </c>
      <c r="S170" s="126">
        <v>0</v>
      </c>
      <c r="T170" s="126" t="s">
        <v>534</v>
      </c>
      <c r="U170" s="379">
        <f t="shared" si="13"/>
        <v>0</v>
      </c>
      <c r="V170" s="379" t="str">
        <f t="shared" si="14"/>
        <v/>
      </c>
      <c r="W170" s="126">
        <v>2</v>
      </c>
      <c r="X170" s="126">
        <v>0</v>
      </c>
      <c r="Y170" s="126">
        <v>2</v>
      </c>
      <c r="Z170" s="185">
        <v>2</v>
      </c>
      <c r="AA170" s="379">
        <v>1</v>
      </c>
      <c r="AB170" s="203">
        <v>12</v>
      </c>
      <c r="AC170" s="313"/>
      <c r="AD170" s="313"/>
    </row>
    <row r="171" spans="1:38" ht="17" x14ac:dyDescent="0.2">
      <c r="A171" s="132" t="s">
        <v>469</v>
      </c>
      <c r="B171" s="249">
        <v>0.95833333333333337</v>
      </c>
      <c r="C171" s="379" t="str">
        <f t="shared" si="10"/>
        <v>23:00</v>
      </c>
      <c r="D171" s="126">
        <v>1</v>
      </c>
      <c r="E171" s="379">
        <f t="shared" si="11"/>
        <v>30</v>
      </c>
      <c r="F171" s="249">
        <v>0.41666666666666669</v>
      </c>
      <c r="G171" s="406" t="str">
        <f t="shared" si="12"/>
        <v>10:00</v>
      </c>
      <c r="H171" s="126">
        <v>6</v>
      </c>
      <c r="I171" s="126">
        <v>1</v>
      </c>
      <c r="J171" s="126">
        <v>1</v>
      </c>
      <c r="K171" s="126">
        <v>3</v>
      </c>
      <c r="L171" s="126">
        <v>3</v>
      </c>
      <c r="M171" s="126">
        <v>2</v>
      </c>
      <c r="N171" s="126">
        <v>0</v>
      </c>
      <c r="O171" s="126">
        <v>0</v>
      </c>
      <c r="P171" s="126">
        <v>0</v>
      </c>
      <c r="Q171" s="126">
        <v>0</v>
      </c>
      <c r="R171" s="126">
        <v>0</v>
      </c>
      <c r="S171" s="126">
        <v>0</v>
      </c>
      <c r="T171" s="272" t="s">
        <v>538</v>
      </c>
      <c r="U171" s="379">
        <f t="shared" si="13"/>
        <v>0</v>
      </c>
      <c r="V171" s="379" t="str">
        <f t="shared" si="14"/>
        <v/>
      </c>
      <c r="W171" s="126">
        <v>1</v>
      </c>
      <c r="X171" s="126">
        <v>0</v>
      </c>
      <c r="Y171" s="126">
        <v>2</v>
      </c>
      <c r="Z171" s="185">
        <v>2</v>
      </c>
      <c r="AA171" s="379">
        <v>1</v>
      </c>
      <c r="AB171" s="203">
        <v>10</v>
      </c>
      <c r="AC171" s="313"/>
      <c r="AD171" s="313"/>
    </row>
    <row r="172" spans="1:38" ht="16" x14ac:dyDescent="0.2">
      <c r="A172" s="132" t="s">
        <v>470</v>
      </c>
      <c r="B172" s="249">
        <v>0.97916666666666663</v>
      </c>
      <c r="C172" s="379" t="str">
        <f t="shared" si="10"/>
        <v>23:30</v>
      </c>
      <c r="D172" s="129">
        <v>0</v>
      </c>
      <c r="E172" s="379">
        <f t="shared" si="11"/>
        <v>15</v>
      </c>
      <c r="F172" s="249">
        <v>0.33333333333333331</v>
      </c>
      <c r="G172" s="406" t="str">
        <f t="shared" si="12"/>
        <v>8:00</v>
      </c>
      <c r="H172" s="129">
        <v>8</v>
      </c>
      <c r="I172" s="129">
        <v>0</v>
      </c>
      <c r="J172" s="129">
        <v>0</v>
      </c>
      <c r="K172" s="129">
        <v>3</v>
      </c>
      <c r="L172" s="129">
        <v>3</v>
      </c>
      <c r="M172" s="129">
        <v>0</v>
      </c>
      <c r="N172" s="129">
        <v>0</v>
      </c>
      <c r="O172" s="129">
        <v>0</v>
      </c>
      <c r="P172" s="129">
        <v>0</v>
      </c>
      <c r="Q172" s="129">
        <v>3</v>
      </c>
      <c r="R172" s="129">
        <v>3</v>
      </c>
      <c r="S172" s="129">
        <v>0</v>
      </c>
      <c r="T172" s="28" t="s">
        <v>537</v>
      </c>
      <c r="U172" s="379">
        <f t="shared" si="13"/>
        <v>0</v>
      </c>
      <c r="V172" s="379" t="str">
        <f t="shared" si="14"/>
        <v/>
      </c>
      <c r="W172" s="129">
        <v>2</v>
      </c>
      <c r="X172" s="129">
        <v>0</v>
      </c>
      <c r="Y172" s="129">
        <v>3</v>
      </c>
      <c r="Z172" s="234">
        <v>3</v>
      </c>
      <c r="AA172" s="379">
        <v>1</v>
      </c>
      <c r="AB172" s="274">
        <v>10</v>
      </c>
      <c r="AC172" s="313"/>
      <c r="AD172" s="313"/>
    </row>
    <row r="173" spans="1:38" ht="16" x14ac:dyDescent="0.2">
      <c r="A173" s="132" t="s">
        <v>471</v>
      </c>
      <c r="B173" s="249">
        <v>0.9375</v>
      </c>
      <c r="C173" s="379" t="str">
        <f t="shared" si="10"/>
        <v>22:30</v>
      </c>
      <c r="D173" s="129">
        <v>2</v>
      </c>
      <c r="E173" s="379">
        <f t="shared" si="11"/>
        <v>60</v>
      </c>
      <c r="F173" s="249">
        <v>0.29166666666666669</v>
      </c>
      <c r="G173" s="406" t="str">
        <f t="shared" si="12"/>
        <v>7:00</v>
      </c>
      <c r="H173" s="129">
        <v>4</v>
      </c>
      <c r="I173" s="129">
        <v>3</v>
      </c>
      <c r="J173" s="129">
        <v>2</v>
      </c>
      <c r="K173" s="129">
        <v>3</v>
      </c>
      <c r="L173" s="129">
        <v>3</v>
      </c>
      <c r="M173" s="129">
        <v>2</v>
      </c>
      <c r="N173" s="129">
        <v>3</v>
      </c>
      <c r="O173" s="129">
        <v>3</v>
      </c>
      <c r="P173" s="129">
        <v>0</v>
      </c>
      <c r="Q173" s="129">
        <v>0</v>
      </c>
      <c r="R173" s="129">
        <v>3</v>
      </c>
      <c r="S173" s="129">
        <v>0</v>
      </c>
      <c r="T173" s="129" t="s">
        <v>539</v>
      </c>
      <c r="U173" s="379">
        <f t="shared" si="13"/>
        <v>0</v>
      </c>
      <c r="V173" s="379" t="str">
        <f t="shared" si="14"/>
        <v/>
      </c>
      <c r="W173" s="129">
        <v>3</v>
      </c>
      <c r="X173" s="129">
        <v>3</v>
      </c>
      <c r="Y173" s="129">
        <v>3</v>
      </c>
      <c r="Z173" s="234">
        <v>0</v>
      </c>
      <c r="AA173" s="379">
        <v>1</v>
      </c>
      <c r="AB173" s="274">
        <v>18</v>
      </c>
      <c r="AC173" s="313"/>
      <c r="AD173" s="313"/>
    </row>
    <row r="174" spans="1:38" ht="17" x14ac:dyDescent="0.2">
      <c r="A174" s="132" t="s">
        <v>472</v>
      </c>
      <c r="B174" s="287">
        <v>0</v>
      </c>
      <c r="C174" s="379" t="str">
        <f t="shared" si="10"/>
        <v>0:00</v>
      </c>
      <c r="D174" s="129">
        <v>0</v>
      </c>
      <c r="E174" s="379">
        <f t="shared" si="11"/>
        <v>15</v>
      </c>
      <c r="F174" s="249">
        <v>0.29166666666666669</v>
      </c>
      <c r="G174" s="406" t="str">
        <f t="shared" si="12"/>
        <v>7:00</v>
      </c>
      <c r="H174" s="129">
        <v>5</v>
      </c>
      <c r="I174" s="129">
        <v>2</v>
      </c>
      <c r="J174" s="129">
        <v>0</v>
      </c>
      <c r="K174" s="129">
        <v>3</v>
      </c>
      <c r="L174" s="129">
        <v>3</v>
      </c>
      <c r="M174" s="129">
        <v>0</v>
      </c>
      <c r="N174" s="129">
        <v>0</v>
      </c>
      <c r="O174" s="129">
        <v>0</v>
      </c>
      <c r="P174" s="129">
        <v>0</v>
      </c>
      <c r="Q174" s="129">
        <v>0</v>
      </c>
      <c r="R174" s="129">
        <v>0</v>
      </c>
      <c r="S174" s="129">
        <v>0</v>
      </c>
      <c r="T174" s="272" t="s">
        <v>538</v>
      </c>
      <c r="U174" s="379">
        <f t="shared" si="13"/>
        <v>0</v>
      </c>
      <c r="V174" s="379" t="str">
        <f t="shared" si="14"/>
        <v/>
      </c>
      <c r="W174" s="129">
        <v>1</v>
      </c>
      <c r="X174" s="129">
        <v>0</v>
      </c>
      <c r="Y174" s="129">
        <v>1</v>
      </c>
      <c r="Z174" s="234">
        <v>0</v>
      </c>
      <c r="AA174" s="379">
        <v>1</v>
      </c>
      <c r="AB174" s="274">
        <v>8</v>
      </c>
      <c r="AC174" s="313"/>
      <c r="AD174" s="313"/>
    </row>
    <row r="175" spans="1:38" ht="16" x14ac:dyDescent="0.2">
      <c r="A175" s="132" t="s">
        <v>473</v>
      </c>
      <c r="B175" s="249">
        <v>0</v>
      </c>
      <c r="C175" s="379" t="str">
        <f t="shared" si="10"/>
        <v>0:00</v>
      </c>
      <c r="D175" s="129">
        <v>0</v>
      </c>
      <c r="E175" s="379">
        <f t="shared" si="11"/>
        <v>15</v>
      </c>
      <c r="F175" s="249">
        <v>0.25</v>
      </c>
      <c r="G175" s="406" t="str">
        <f t="shared" si="12"/>
        <v>6:00</v>
      </c>
      <c r="H175" s="129">
        <v>4</v>
      </c>
      <c r="I175" s="129">
        <v>3</v>
      </c>
      <c r="J175" s="129">
        <v>0</v>
      </c>
      <c r="K175" s="129">
        <v>3</v>
      </c>
      <c r="L175" s="129">
        <v>2</v>
      </c>
      <c r="M175" s="129">
        <v>0</v>
      </c>
      <c r="N175" s="129">
        <v>3</v>
      </c>
      <c r="O175" s="129">
        <v>0</v>
      </c>
      <c r="P175" s="129">
        <v>0</v>
      </c>
      <c r="Q175" s="129">
        <v>2</v>
      </c>
      <c r="R175" s="129">
        <v>0</v>
      </c>
      <c r="S175" s="129">
        <v>0</v>
      </c>
      <c r="T175" s="129" t="s">
        <v>534</v>
      </c>
      <c r="U175" s="379">
        <f t="shared" si="13"/>
        <v>0</v>
      </c>
      <c r="V175" s="379" t="str">
        <f t="shared" si="14"/>
        <v/>
      </c>
      <c r="W175" s="129">
        <v>2</v>
      </c>
      <c r="X175" s="129">
        <v>0</v>
      </c>
      <c r="Y175" s="129">
        <v>3</v>
      </c>
      <c r="Z175" s="234">
        <v>0</v>
      </c>
      <c r="AA175" s="379">
        <v>1</v>
      </c>
      <c r="AB175" s="274">
        <v>12</v>
      </c>
      <c r="AC175" s="313"/>
      <c r="AD175" s="313"/>
    </row>
    <row r="176" spans="1:38" ht="16" x14ac:dyDescent="0.2">
      <c r="A176" s="132" t="s">
        <v>474</v>
      </c>
      <c r="B176" s="263">
        <v>0.125</v>
      </c>
      <c r="C176" s="379" t="str">
        <f t="shared" si="10"/>
        <v>3:00</v>
      </c>
      <c r="D176" s="129">
        <v>2</v>
      </c>
      <c r="E176" s="379">
        <f t="shared" si="11"/>
        <v>60</v>
      </c>
      <c r="F176" s="249">
        <v>0.41666666666666669</v>
      </c>
      <c r="G176" s="406" t="str">
        <f t="shared" si="12"/>
        <v>10:00</v>
      </c>
      <c r="H176" s="129">
        <v>7</v>
      </c>
      <c r="I176" s="129">
        <v>1</v>
      </c>
      <c r="J176" s="129">
        <v>2</v>
      </c>
      <c r="K176" s="129">
        <v>3</v>
      </c>
      <c r="L176" s="129">
        <v>3</v>
      </c>
      <c r="M176" s="129">
        <v>0</v>
      </c>
      <c r="N176" s="129">
        <v>3</v>
      </c>
      <c r="O176" s="129">
        <v>0</v>
      </c>
      <c r="P176" s="129">
        <v>0</v>
      </c>
      <c r="Q176" s="129">
        <v>1</v>
      </c>
      <c r="R176" s="129">
        <v>2</v>
      </c>
      <c r="S176" s="129">
        <v>0</v>
      </c>
      <c r="T176" s="129" t="s">
        <v>534</v>
      </c>
      <c r="U176" s="379">
        <f t="shared" si="13"/>
        <v>0</v>
      </c>
      <c r="V176" s="379" t="str">
        <f t="shared" si="14"/>
        <v/>
      </c>
      <c r="W176" s="129">
        <v>2</v>
      </c>
      <c r="X176" s="129">
        <v>0</v>
      </c>
      <c r="Y176" s="129">
        <v>3</v>
      </c>
      <c r="Z176" s="234">
        <v>0</v>
      </c>
      <c r="AA176" s="379">
        <v>1</v>
      </c>
      <c r="AB176" s="274">
        <v>9</v>
      </c>
      <c r="AC176" s="313"/>
      <c r="AD176" s="313"/>
    </row>
    <row r="177" spans="1:39" ht="16" x14ac:dyDescent="0.2">
      <c r="A177" s="175" t="s">
        <v>475</v>
      </c>
      <c r="B177" s="249">
        <v>0</v>
      </c>
      <c r="C177" s="379" t="str">
        <f t="shared" si="10"/>
        <v>0:00</v>
      </c>
      <c r="D177" s="129">
        <v>0</v>
      </c>
      <c r="E177" s="379">
        <f t="shared" si="11"/>
        <v>15</v>
      </c>
      <c r="F177" s="249">
        <v>0.33333333333333331</v>
      </c>
      <c r="G177" s="406" t="str">
        <f t="shared" si="12"/>
        <v>8:00</v>
      </c>
      <c r="H177" s="129">
        <v>6</v>
      </c>
      <c r="I177" s="129">
        <v>1</v>
      </c>
      <c r="J177" s="129">
        <v>0</v>
      </c>
      <c r="K177" s="129">
        <v>3</v>
      </c>
      <c r="L177" s="129">
        <v>0</v>
      </c>
      <c r="M177" s="129">
        <v>0</v>
      </c>
      <c r="N177" s="129">
        <v>3</v>
      </c>
      <c r="O177" s="129">
        <v>0</v>
      </c>
      <c r="P177" s="129">
        <v>0</v>
      </c>
      <c r="Q177" s="129">
        <v>3</v>
      </c>
      <c r="R177" s="129">
        <v>0</v>
      </c>
      <c r="S177" s="129">
        <v>0</v>
      </c>
      <c r="T177" s="129" t="s">
        <v>534</v>
      </c>
      <c r="U177" s="379">
        <f t="shared" si="13"/>
        <v>0</v>
      </c>
      <c r="V177" s="379" t="str">
        <f t="shared" si="14"/>
        <v/>
      </c>
      <c r="W177" s="129">
        <v>2</v>
      </c>
      <c r="X177" s="129">
        <v>0</v>
      </c>
      <c r="Y177" s="129">
        <v>3</v>
      </c>
      <c r="Z177" s="234">
        <v>3</v>
      </c>
      <c r="AA177" s="379">
        <v>1</v>
      </c>
      <c r="AB177" s="274">
        <v>11</v>
      </c>
      <c r="AC177" s="313"/>
      <c r="AD177" s="313"/>
    </row>
    <row r="178" spans="1:39" ht="16" x14ac:dyDescent="0.2">
      <c r="A178" s="168" t="s">
        <v>476</v>
      </c>
      <c r="B178" s="249">
        <v>0.9375</v>
      </c>
      <c r="C178" s="379" t="str">
        <f t="shared" si="10"/>
        <v>22:30</v>
      </c>
      <c r="D178" s="129">
        <v>0</v>
      </c>
      <c r="E178" s="379">
        <f t="shared" si="11"/>
        <v>15</v>
      </c>
      <c r="F178" s="249">
        <v>0.29166666666666669</v>
      </c>
      <c r="G178" s="406" t="str">
        <f t="shared" si="12"/>
        <v>7:00</v>
      </c>
      <c r="H178" s="129">
        <v>7</v>
      </c>
      <c r="I178" s="129">
        <v>1</v>
      </c>
      <c r="J178" s="129">
        <v>0</v>
      </c>
      <c r="K178" s="129">
        <v>3</v>
      </c>
      <c r="L178" s="129">
        <v>3</v>
      </c>
      <c r="M178" s="129">
        <v>0</v>
      </c>
      <c r="N178" s="129">
        <v>0</v>
      </c>
      <c r="O178" s="129">
        <v>0</v>
      </c>
      <c r="P178" s="129">
        <v>0</v>
      </c>
      <c r="Q178" s="129">
        <v>0</v>
      </c>
      <c r="R178" s="129">
        <v>1</v>
      </c>
      <c r="S178" s="129">
        <v>0</v>
      </c>
      <c r="T178" s="129" t="s">
        <v>534</v>
      </c>
      <c r="U178" s="379">
        <f t="shared" si="13"/>
        <v>0</v>
      </c>
      <c r="V178" s="379" t="str">
        <f t="shared" si="14"/>
        <v/>
      </c>
      <c r="W178" s="129">
        <v>2</v>
      </c>
      <c r="X178" s="129">
        <v>3</v>
      </c>
      <c r="Y178" s="129">
        <v>2</v>
      </c>
      <c r="Z178" s="234">
        <v>0</v>
      </c>
      <c r="AA178" s="379">
        <v>1</v>
      </c>
      <c r="AB178" s="274">
        <v>11</v>
      </c>
      <c r="AC178" s="313"/>
      <c r="AD178" s="313"/>
    </row>
    <row r="179" spans="1:39" ht="17" x14ac:dyDescent="0.2">
      <c r="A179" s="168" t="s">
        <v>477</v>
      </c>
      <c r="B179" s="247">
        <v>0.91666666666666663</v>
      </c>
      <c r="C179" s="379" t="str">
        <f t="shared" si="10"/>
        <v>22:00</v>
      </c>
      <c r="D179" s="129">
        <v>1</v>
      </c>
      <c r="E179" s="379">
        <f t="shared" si="11"/>
        <v>30</v>
      </c>
      <c r="F179" s="249">
        <v>0.27083333333333331</v>
      </c>
      <c r="G179" s="406" t="str">
        <f t="shared" si="12"/>
        <v>6:30</v>
      </c>
      <c r="H179" s="129">
        <v>7</v>
      </c>
      <c r="I179" s="129">
        <v>1</v>
      </c>
      <c r="J179" s="129">
        <v>1</v>
      </c>
      <c r="K179" s="129">
        <v>3</v>
      </c>
      <c r="L179" s="129">
        <v>3</v>
      </c>
      <c r="M179" s="129">
        <v>0</v>
      </c>
      <c r="N179" s="129">
        <v>0</v>
      </c>
      <c r="O179" s="129">
        <v>0</v>
      </c>
      <c r="P179" s="129">
        <v>0</v>
      </c>
      <c r="Q179" s="129">
        <v>0</v>
      </c>
      <c r="R179" s="129">
        <v>0</v>
      </c>
      <c r="S179" s="129">
        <v>0</v>
      </c>
      <c r="T179" s="272" t="s">
        <v>538</v>
      </c>
      <c r="U179" s="379">
        <f t="shared" si="13"/>
        <v>0</v>
      </c>
      <c r="V179" s="379" t="str">
        <f t="shared" si="14"/>
        <v/>
      </c>
      <c r="W179" s="129">
        <v>1</v>
      </c>
      <c r="X179" s="129">
        <v>0</v>
      </c>
      <c r="Y179" s="129">
        <v>0</v>
      </c>
      <c r="Z179" s="234">
        <v>0</v>
      </c>
      <c r="AA179" s="379">
        <v>1</v>
      </c>
      <c r="AB179" s="274">
        <v>7</v>
      </c>
      <c r="AC179" s="313"/>
      <c r="AD179" s="313"/>
    </row>
    <row r="180" spans="1:39" ht="17" x14ac:dyDescent="0.2">
      <c r="A180" s="168" t="s">
        <v>478</v>
      </c>
      <c r="B180" s="249">
        <v>0</v>
      </c>
      <c r="C180" s="379" t="str">
        <f t="shared" si="10"/>
        <v>0:00</v>
      </c>
      <c r="D180" s="129">
        <v>2</v>
      </c>
      <c r="E180" s="379">
        <f t="shared" si="11"/>
        <v>60</v>
      </c>
      <c r="F180" s="249">
        <v>0.375</v>
      </c>
      <c r="G180" s="406" t="str">
        <f t="shared" si="12"/>
        <v>9:00</v>
      </c>
      <c r="H180" s="129">
        <v>7</v>
      </c>
      <c r="I180" s="129">
        <v>0</v>
      </c>
      <c r="J180" s="129">
        <v>2</v>
      </c>
      <c r="K180" s="129">
        <v>0</v>
      </c>
      <c r="L180" s="129">
        <v>0</v>
      </c>
      <c r="M180" s="129">
        <v>0</v>
      </c>
      <c r="N180" s="129">
        <v>2</v>
      </c>
      <c r="O180" s="129">
        <v>0</v>
      </c>
      <c r="P180" s="129">
        <v>0</v>
      </c>
      <c r="Q180" s="129">
        <v>1</v>
      </c>
      <c r="R180" s="129">
        <v>0</v>
      </c>
      <c r="S180" s="129">
        <v>0</v>
      </c>
      <c r="T180" s="272" t="s">
        <v>538</v>
      </c>
      <c r="U180" s="379">
        <f t="shared" si="13"/>
        <v>0</v>
      </c>
      <c r="V180" s="379" t="str">
        <f t="shared" si="14"/>
        <v/>
      </c>
      <c r="W180" s="129">
        <v>1</v>
      </c>
      <c r="X180" s="129">
        <v>0</v>
      </c>
      <c r="Y180" s="129">
        <v>2</v>
      </c>
      <c r="Z180" s="234">
        <v>1</v>
      </c>
      <c r="AA180" s="379">
        <v>1</v>
      </c>
      <c r="AB180" s="274">
        <v>7</v>
      </c>
      <c r="AC180" s="313"/>
      <c r="AD180" s="313"/>
    </row>
    <row r="181" spans="1:39" ht="17" x14ac:dyDescent="0.2">
      <c r="A181" s="168" t="s">
        <v>479</v>
      </c>
      <c r="B181" s="242">
        <v>0.9375</v>
      </c>
      <c r="C181" s="379" t="str">
        <f t="shared" si="10"/>
        <v>22:30</v>
      </c>
      <c r="D181" s="126">
        <v>0</v>
      </c>
      <c r="E181" s="379">
        <f t="shared" si="11"/>
        <v>15</v>
      </c>
      <c r="F181" s="252">
        <v>0.375</v>
      </c>
      <c r="G181" s="406" t="str">
        <f t="shared" si="12"/>
        <v>9:00</v>
      </c>
      <c r="H181" s="126">
        <v>9</v>
      </c>
      <c r="I181" s="126">
        <v>0</v>
      </c>
      <c r="J181" s="126">
        <v>0</v>
      </c>
      <c r="K181" s="126">
        <v>3</v>
      </c>
      <c r="L181" s="126">
        <v>0</v>
      </c>
      <c r="M181" s="126">
        <v>0</v>
      </c>
      <c r="N181" s="126">
        <v>3</v>
      </c>
      <c r="O181" s="126">
        <v>0</v>
      </c>
      <c r="P181" s="126">
        <v>0</v>
      </c>
      <c r="Q181" s="126">
        <v>3</v>
      </c>
      <c r="R181" s="126">
        <v>0</v>
      </c>
      <c r="S181" s="126">
        <v>0</v>
      </c>
      <c r="T181" s="272" t="s">
        <v>538</v>
      </c>
      <c r="U181" s="379">
        <f t="shared" si="13"/>
        <v>0</v>
      </c>
      <c r="V181" s="379" t="str">
        <f t="shared" si="14"/>
        <v/>
      </c>
      <c r="W181" s="126">
        <v>1</v>
      </c>
      <c r="X181" s="126">
        <v>0</v>
      </c>
      <c r="Y181" s="126">
        <v>3</v>
      </c>
      <c r="Z181" s="185">
        <v>3</v>
      </c>
      <c r="AA181" s="379">
        <v>1</v>
      </c>
      <c r="AB181" s="203">
        <v>8</v>
      </c>
      <c r="AC181" s="313"/>
      <c r="AD181" s="313"/>
    </row>
    <row r="182" spans="1:39" ht="17" x14ac:dyDescent="0.2">
      <c r="A182" s="168" t="s">
        <v>480</v>
      </c>
      <c r="B182" s="249">
        <v>0</v>
      </c>
      <c r="C182" s="379" t="str">
        <f t="shared" si="10"/>
        <v>0:00</v>
      </c>
      <c r="D182" s="129">
        <v>0</v>
      </c>
      <c r="E182" s="379">
        <f t="shared" si="11"/>
        <v>15</v>
      </c>
      <c r="F182" s="249">
        <v>0.29166666666666669</v>
      </c>
      <c r="G182" s="406" t="str">
        <f t="shared" si="12"/>
        <v>7:00</v>
      </c>
      <c r="H182" s="129">
        <v>7</v>
      </c>
      <c r="I182" s="129">
        <v>1</v>
      </c>
      <c r="J182" s="129">
        <v>0</v>
      </c>
      <c r="K182" s="129">
        <v>3</v>
      </c>
      <c r="L182" s="129">
        <v>3</v>
      </c>
      <c r="M182" s="129">
        <v>0</v>
      </c>
      <c r="N182" s="129">
        <v>0</v>
      </c>
      <c r="O182" s="129">
        <v>0</v>
      </c>
      <c r="P182" s="129">
        <v>0</v>
      </c>
      <c r="Q182" s="129">
        <v>0</v>
      </c>
      <c r="R182" s="129">
        <v>0</v>
      </c>
      <c r="S182" s="129">
        <v>0</v>
      </c>
      <c r="T182" s="272" t="s">
        <v>538</v>
      </c>
      <c r="U182" s="379">
        <f t="shared" si="13"/>
        <v>0</v>
      </c>
      <c r="V182" s="379" t="str">
        <f t="shared" si="14"/>
        <v/>
      </c>
      <c r="W182" s="129">
        <v>1</v>
      </c>
      <c r="X182" s="129">
        <v>0</v>
      </c>
      <c r="Y182" s="129">
        <v>0</v>
      </c>
      <c r="Z182" s="234">
        <v>0</v>
      </c>
      <c r="AA182" s="379">
        <v>1</v>
      </c>
      <c r="AB182" s="274">
        <v>3</v>
      </c>
      <c r="AC182" s="313"/>
      <c r="AD182" s="313"/>
    </row>
    <row r="183" spans="1:39" ht="16" x14ac:dyDescent="0.2">
      <c r="A183" s="168" t="s">
        <v>481</v>
      </c>
      <c r="B183" s="249">
        <v>0.95833333333333337</v>
      </c>
      <c r="C183" s="379" t="str">
        <f t="shared" si="10"/>
        <v>23:00</v>
      </c>
      <c r="D183" s="129">
        <v>0</v>
      </c>
      <c r="E183" s="379">
        <f t="shared" si="11"/>
        <v>15</v>
      </c>
      <c r="F183" s="249">
        <v>0.3125</v>
      </c>
      <c r="G183" s="406" t="str">
        <f t="shared" si="12"/>
        <v>7:30</v>
      </c>
      <c r="H183" s="129">
        <v>6</v>
      </c>
      <c r="I183" s="129">
        <v>1</v>
      </c>
      <c r="J183" s="129">
        <v>0</v>
      </c>
      <c r="K183" s="129">
        <v>3</v>
      </c>
      <c r="L183" s="129">
        <v>3</v>
      </c>
      <c r="M183" s="129">
        <v>0</v>
      </c>
      <c r="N183" s="129">
        <v>0</v>
      </c>
      <c r="O183" s="129">
        <v>0</v>
      </c>
      <c r="P183" s="129">
        <v>0</v>
      </c>
      <c r="Q183" s="129">
        <v>3</v>
      </c>
      <c r="R183" s="129">
        <v>3</v>
      </c>
      <c r="S183" s="129">
        <v>0</v>
      </c>
      <c r="T183" s="129" t="s">
        <v>534</v>
      </c>
      <c r="U183" s="379">
        <f t="shared" si="13"/>
        <v>0</v>
      </c>
      <c r="V183" s="379" t="str">
        <f t="shared" si="14"/>
        <v/>
      </c>
      <c r="W183" s="129">
        <v>2</v>
      </c>
      <c r="X183" s="129">
        <v>0</v>
      </c>
      <c r="Y183" s="129">
        <v>0</v>
      </c>
      <c r="Z183" s="234">
        <v>1</v>
      </c>
      <c r="AA183" s="379">
        <v>1</v>
      </c>
      <c r="AB183" s="274">
        <v>9</v>
      </c>
      <c r="AC183" s="313"/>
      <c r="AD183" s="313"/>
    </row>
    <row r="184" spans="1:39" ht="17" x14ac:dyDescent="0.2">
      <c r="A184" s="168" t="s">
        <v>482</v>
      </c>
      <c r="B184" s="276">
        <v>0</v>
      </c>
      <c r="C184" s="379" t="str">
        <f t="shared" si="10"/>
        <v>0:00</v>
      </c>
      <c r="D184" s="126">
        <v>0</v>
      </c>
      <c r="E184" s="379">
        <f t="shared" si="11"/>
        <v>15</v>
      </c>
      <c r="F184" s="249">
        <v>0.35416666666666669</v>
      </c>
      <c r="G184" s="406" t="str">
        <f t="shared" si="12"/>
        <v>8:30</v>
      </c>
      <c r="H184" s="126">
        <v>8</v>
      </c>
      <c r="I184" s="126">
        <v>0</v>
      </c>
      <c r="J184" s="126">
        <v>0</v>
      </c>
      <c r="K184" s="126">
        <v>3</v>
      </c>
      <c r="L184" s="126">
        <v>3</v>
      </c>
      <c r="M184" s="126">
        <v>0</v>
      </c>
      <c r="N184" s="126">
        <v>0</v>
      </c>
      <c r="O184" s="126">
        <v>0</v>
      </c>
      <c r="P184" s="126">
        <v>0</v>
      </c>
      <c r="Q184" s="126">
        <v>0</v>
      </c>
      <c r="R184" s="126">
        <v>0</v>
      </c>
      <c r="S184" s="126">
        <v>0</v>
      </c>
      <c r="T184" s="272" t="s">
        <v>538</v>
      </c>
      <c r="U184" s="379">
        <f t="shared" si="13"/>
        <v>0</v>
      </c>
      <c r="V184" s="379" t="str">
        <f t="shared" si="14"/>
        <v/>
      </c>
      <c r="W184" s="126">
        <v>1</v>
      </c>
      <c r="X184" s="126">
        <v>0</v>
      </c>
      <c r="Y184" s="126">
        <v>0</v>
      </c>
      <c r="Z184" s="185">
        <v>0</v>
      </c>
      <c r="AA184" s="379">
        <v>1</v>
      </c>
      <c r="AB184" s="126">
        <v>5</v>
      </c>
      <c r="AC184" s="313"/>
      <c r="AD184" s="313"/>
    </row>
    <row r="185" spans="1:39" ht="17" x14ac:dyDescent="0.2">
      <c r="A185" s="168" t="s">
        <v>483</v>
      </c>
      <c r="B185" s="247">
        <v>0.91666666666666663</v>
      </c>
      <c r="C185" s="379" t="str">
        <f t="shared" si="10"/>
        <v>22:00</v>
      </c>
      <c r="D185" s="126">
        <v>0</v>
      </c>
      <c r="E185" s="379">
        <f t="shared" si="11"/>
        <v>15</v>
      </c>
      <c r="F185" s="249">
        <v>0.29166666666666669</v>
      </c>
      <c r="G185" s="406" t="str">
        <f t="shared" si="12"/>
        <v>7:00</v>
      </c>
      <c r="H185" s="126">
        <v>8</v>
      </c>
      <c r="I185" s="126">
        <v>0</v>
      </c>
      <c r="J185" s="126">
        <v>0</v>
      </c>
      <c r="K185" s="126">
        <v>3</v>
      </c>
      <c r="L185" s="126">
        <v>3</v>
      </c>
      <c r="M185" s="126">
        <v>0</v>
      </c>
      <c r="N185" s="126">
        <v>3</v>
      </c>
      <c r="O185" s="126">
        <v>0</v>
      </c>
      <c r="P185" s="126">
        <v>0</v>
      </c>
      <c r="Q185" s="126">
        <v>3</v>
      </c>
      <c r="R185" s="126">
        <v>1</v>
      </c>
      <c r="S185" s="126">
        <v>0</v>
      </c>
      <c r="T185" s="272" t="s">
        <v>538</v>
      </c>
      <c r="U185" s="379">
        <f t="shared" si="13"/>
        <v>0</v>
      </c>
      <c r="V185" s="379" t="str">
        <f t="shared" si="14"/>
        <v/>
      </c>
      <c r="W185" s="126">
        <v>1</v>
      </c>
      <c r="X185" s="126">
        <v>0</v>
      </c>
      <c r="Y185" s="126">
        <v>3</v>
      </c>
      <c r="Z185" s="185">
        <v>0</v>
      </c>
      <c r="AA185" s="379">
        <v>1</v>
      </c>
      <c r="AB185" s="203">
        <v>8</v>
      </c>
      <c r="AC185" s="313"/>
      <c r="AD185" s="313"/>
    </row>
    <row r="186" spans="1:39" ht="16" x14ac:dyDescent="0.2">
      <c r="A186" s="168" t="s">
        <v>484</v>
      </c>
      <c r="B186" s="249">
        <v>2.0833333333333332E-2</v>
      </c>
      <c r="C186" s="379" t="str">
        <f t="shared" si="10"/>
        <v>0:30</v>
      </c>
      <c r="D186" s="165">
        <v>1</v>
      </c>
      <c r="E186" s="379">
        <f t="shared" si="11"/>
        <v>30</v>
      </c>
      <c r="F186" s="249">
        <v>0.3125</v>
      </c>
      <c r="G186" s="406" t="str">
        <f t="shared" si="12"/>
        <v>7:30</v>
      </c>
      <c r="H186" s="165">
        <v>6</v>
      </c>
      <c r="I186" s="165">
        <v>1</v>
      </c>
      <c r="J186" s="165">
        <v>1</v>
      </c>
      <c r="K186" s="165">
        <v>3</v>
      </c>
      <c r="L186" s="165">
        <v>3</v>
      </c>
      <c r="M186" s="165">
        <v>2</v>
      </c>
      <c r="N186" s="165">
        <v>0</v>
      </c>
      <c r="O186" s="165">
        <v>0</v>
      </c>
      <c r="P186" s="165">
        <v>3</v>
      </c>
      <c r="Q186" s="165">
        <v>1</v>
      </c>
      <c r="R186" s="165">
        <v>1</v>
      </c>
      <c r="S186" s="165">
        <v>0</v>
      </c>
      <c r="T186" s="165" t="s">
        <v>534</v>
      </c>
      <c r="U186" s="379">
        <f t="shared" si="13"/>
        <v>0</v>
      </c>
      <c r="V186" s="379" t="str">
        <f t="shared" si="14"/>
        <v/>
      </c>
      <c r="W186" s="165">
        <v>2</v>
      </c>
      <c r="X186" s="165">
        <v>3</v>
      </c>
      <c r="Y186" s="165">
        <v>0</v>
      </c>
      <c r="Z186" s="234">
        <v>0</v>
      </c>
      <c r="AA186" s="379">
        <v>1</v>
      </c>
      <c r="AB186" s="284">
        <v>13</v>
      </c>
      <c r="AC186" s="313"/>
      <c r="AD186" s="313"/>
    </row>
    <row r="187" spans="1:39" ht="17" x14ac:dyDescent="0.2">
      <c r="A187" s="168" t="s">
        <v>485</v>
      </c>
      <c r="B187" s="281">
        <v>0</v>
      </c>
      <c r="C187" s="379" t="str">
        <f t="shared" si="10"/>
        <v>0:00</v>
      </c>
      <c r="D187" s="165">
        <v>0</v>
      </c>
      <c r="E187" s="379">
        <f t="shared" si="11"/>
        <v>15</v>
      </c>
      <c r="F187" s="249">
        <v>0.33333333333333331</v>
      </c>
      <c r="G187" s="406" t="str">
        <f t="shared" si="12"/>
        <v>8:00</v>
      </c>
      <c r="H187" s="165">
        <v>6</v>
      </c>
      <c r="I187" s="165">
        <v>1</v>
      </c>
      <c r="J187" s="165">
        <v>0</v>
      </c>
      <c r="K187" s="165">
        <v>3</v>
      </c>
      <c r="L187" s="165">
        <v>3</v>
      </c>
      <c r="M187" s="165">
        <v>0</v>
      </c>
      <c r="N187" s="165">
        <v>1</v>
      </c>
      <c r="O187" s="165">
        <v>0</v>
      </c>
      <c r="P187" s="165">
        <v>0</v>
      </c>
      <c r="Q187" s="165">
        <v>0</v>
      </c>
      <c r="R187" s="165">
        <v>0</v>
      </c>
      <c r="S187" s="165">
        <v>0</v>
      </c>
      <c r="T187" s="272" t="s">
        <v>538</v>
      </c>
      <c r="U187" s="379">
        <f t="shared" si="13"/>
        <v>0</v>
      </c>
      <c r="V187" s="379" t="str">
        <f t="shared" si="14"/>
        <v/>
      </c>
      <c r="W187" s="165">
        <v>1</v>
      </c>
      <c r="X187" s="165">
        <v>3</v>
      </c>
      <c r="Y187" s="165">
        <v>1</v>
      </c>
      <c r="Z187" s="234">
        <v>0</v>
      </c>
      <c r="AA187" s="379">
        <v>1</v>
      </c>
      <c r="AB187" s="284">
        <v>11</v>
      </c>
      <c r="AC187" s="313"/>
      <c r="AD187" s="313"/>
    </row>
    <row r="188" spans="1:39" ht="17" x14ac:dyDescent="0.2">
      <c r="A188" s="168" t="s">
        <v>486</v>
      </c>
      <c r="B188" s="249">
        <v>0.95833333333333337</v>
      </c>
      <c r="C188" s="379" t="str">
        <f t="shared" si="10"/>
        <v>23:00</v>
      </c>
      <c r="D188" s="165">
        <v>0</v>
      </c>
      <c r="E188" s="379">
        <f t="shared" si="11"/>
        <v>15</v>
      </c>
      <c r="F188" s="249">
        <v>0.33333333333333331</v>
      </c>
      <c r="G188" s="406" t="str">
        <f t="shared" si="12"/>
        <v>8:00</v>
      </c>
      <c r="H188" s="165">
        <v>6</v>
      </c>
      <c r="I188" s="165">
        <v>1</v>
      </c>
      <c r="J188" s="165">
        <v>0</v>
      </c>
      <c r="K188" s="165">
        <v>3</v>
      </c>
      <c r="L188" s="165">
        <v>3</v>
      </c>
      <c r="M188" s="165">
        <v>0</v>
      </c>
      <c r="N188" s="165">
        <v>0</v>
      </c>
      <c r="O188" s="165">
        <v>0</v>
      </c>
      <c r="P188" s="165">
        <v>0</v>
      </c>
      <c r="Q188" s="165">
        <v>1</v>
      </c>
      <c r="R188" s="165">
        <v>0</v>
      </c>
      <c r="S188" s="165">
        <v>0</v>
      </c>
      <c r="T188" s="272" t="s">
        <v>538</v>
      </c>
      <c r="U188" s="379">
        <f t="shared" si="13"/>
        <v>0</v>
      </c>
      <c r="V188" s="379" t="str">
        <f t="shared" si="14"/>
        <v/>
      </c>
      <c r="W188" s="165">
        <v>1</v>
      </c>
      <c r="X188" s="165">
        <v>0</v>
      </c>
      <c r="Y188" s="165">
        <v>2</v>
      </c>
      <c r="Z188" s="234">
        <v>0</v>
      </c>
      <c r="AA188" s="379">
        <v>1</v>
      </c>
      <c r="AB188" s="284">
        <v>8</v>
      </c>
      <c r="AC188" s="313"/>
      <c r="AD188" s="313"/>
    </row>
    <row r="189" spans="1:39" ht="16" x14ac:dyDescent="0.2">
      <c r="A189" s="168" t="s">
        <v>487</v>
      </c>
      <c r="B189" s="248">
        <v>0.9375</v>
      </c>
      <c r="C189" s="379" t="str">
        <f t="shared" si="10"/>
        <v>22:30</v>
      </c>
      <c r="D189" s="129">
        <v>0</v>
      </c>
      <c r="E189" s="379">
        <f t="shared" si="11"/>
        <v>15</v>
      </c>
      <c r="F189" s="249">
        <v>0.33333333333333331</v>
      </c>
      <c r="G189" s="406" t="str">
        <f t="shared" si="12"/>
        <v>8:00</v>
      </c>
      <c r="H189" s="129">
        <v>9</v>
      </c>
      <c r="I189" s="129">
        <v>0</v>
      </c>
      <c r="J189" s="129">
        <v>0</v>
      </c>
      <c r="K189" s="129">
        <v>3</v>
      </c>
      <c r="L189" s="129">
        <v>3</v>
      </c>
      <c r="M189" s="129">
        <v>0</v>
      </c>
      <c r="N189" s="129">
        <v>0</v>
      </c>
      <c r="O189" s="129">
        <v>0</v>
      </c>
      <c r="P189" s="129">
        <v>0</v>
      </c>
      <c r="Q189" s="129">
        <v>2</v>
      </c>
      <c r="R189" s="129">
        <v>0</v>
      </c>
      <c r="S189" s="129">
        <v>0</v>
      </c>
      <c r="T189" s="129" t="s">
        <v>534</v>
      </c>
      <c r="U189" s="379">
        <f t="shared" si="13"/>
        <v>0</v>
      </c>
      <c r="V189" s="379" t="str">
        <f t="shared" si="14"/>
        <v/>
      </c>
      <c r="W189" s="129">
        <v>2</v>
      </c>
      <c r="X189" s="129">
        <v>0</v>
      </c>
      <c r="Y189" s="129">
        <v>1</v>
      </c>
      <c r="Z189" s="234">
        <v>0</v>
      </c>
      <c r="AA189" s="379">
        <v>1</v>
      </c>
      <c r="AB189" s="274">
        <v>5</v>
      </c>
      <c r="AC189" s="313"/>
      <c r="AD189" s="313"/>
    </row>
    <row r="190" spans="1:39" ht="16" x14ac:dyDescent="0.2">
      <c r="A190" s="168" t="s">
        <v>488</v>
      </c>
      <c r="B190" s="288">
        <v>4.1666666666666664E-2</v>
      </c>
      <c r="C190" s="379" t="str">
        <f t="shared" si="10"/>
        <v>1:00</v>
      </c>
      <c r="D190" s="167">
        <v>0</v>
      </c>
      <c r="E190" s="379">
        <f t="shared" si="11"/>
        <v>15</v>
      </c>
      <c r="F190" s="288">
        <v>0.33333333333333331</v>
      </c>
      <c r="G190" s="406" t="str">
        <f t="shared" si="12"/>
        <v>8:00</v>
      </c>
      <c r="H190" s="167">
        <v>7</v>
      </c>
      <c r="I190" s="167">
        <v>1</v>
      </c>
      <c r="J190" s="167">
        <v>0</v>
      </c>
      <c r="K190" s="167">
        <v>3</v>
      </c>
      <c r="L190" s="167">
        <v>3</v>
      </c>
      <c r="M190" s="167">
        <v>0</v>
      </c>
      <c r="N190" s="167">
        <v>3</v>
      </c>
      <c r="O190" s="167">
        <v>0</v>
      </c>
      <c r="P190" s="167">
        <v>0</v>
      </c>
      <c r="Q190" s="167">
        <v>0</v>
      </c>
      <c r="R190" s="167">
        <v>0</v>
      </c>
      <c r="S190" s="167">
        <v>0</v>
      </c>
      <c r="T190" s="167" t="s">
        <v>532</v>
      </c>
      <c r="U190" s="379">
        <f t="shared" si="13"/>
        <v>0</v>
      </c>
      <c r="V190" s="379" t="str">
        <f t="shared" si="14"/>
        <v/>
      </c>
      <c r="W190" s="167">
        <v>1</v>
      </c>
      <c r="X190" s="167">
        <v>0</v>
      </c>
      <c r="Y190" s="167">
        <v>1</v>
      </c>
      <c r="Z190" s="185">
        <v>0</v>
      </c>
      <c r="AA190" s="379">
        <v>1</v>
      </c>
      <c r="AB190" s="167">
        <v>4</v>
      </c>
      <c r="AC190" s="313"/>
      <c r="AD190" s="313"/>
      <c r="AE190" s="313"/>
      <c r="AF190" s="313"/>
      <c r="AG190" s="313"/>
      <c r="AH190" s="313"/>
      <c r="AI190" s="313"/>
      <c r="AJ190" s="313"/>
      <c r="AK190" s="313"/>
      <c r="AL190" s="313"/>
      <c r="AM190" s="313"/>
    </row>
  </sheetData>
  <pageMargins left="0.7" right="0.7" top="0.75" bottom="0.75" header="0.3" footer="0.3"/>
  <headerFooter>
    <oddFooter>&amp;C_x000D_&amp;1#&amp;"Calibri"&amp;10&amp;K000000 Uso 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Q178"/>
  <sheetViews>
    <sheetView workbookViewId="0">
      <selection activeCell="A2" sqref="A2"/>
    </sheetView>
  </sheetViews>
  <sheetFormatPr baseColWidth="10" defaultColWidth="18.83203125" defaultRowHeight="15" x14ac:dyDescent="0.2"/>
  <sheetData>
    <row r="1" spans="1:43" ht="88.5" customHeight="1" x14ac:dyDescent="0.2">
      <c r="A1" s="323" t="s">
        <v>497</v>
      </c>
      <c r="B1" s="21" t="s">
        <v>246</v>
      </c>
      <c r="C1" s="21" t="s">
        <v>247</v>
      </c>
      <c r="D1" s="22" t="s">
        <v>248</v>
      </c>
      <c r="E1" s="22" t="s">
        <v>249</v>
      </c>
      <c r="F1" s="21" t="s">
        <v>250</v>
      </c>
      <c r="G1" s="22" t="s">
        <v>251</v>
      </c>
      <c r="H1" s="22" t="s">
        <v>252</v>
      </c>
      <c r="I1" s="21" t="s">
        <v>253</v>
      </c>
      <c r="J1" s="22" t="s">
        <v>254</v>
      </c>
      <c r="K1" s="21" t="s">
        <v>255</v>
      </c>
      <c r="L1" s="21" t="s">
        <v>256</v>
      </c>
      <c r="M1" s="22" t="s">
        <v>257</v>
      </c>
      <c r="N1" s="22" t="s">
        <v>258</v>
      </c>
      <c r="O1" s="22" t="s">
        <v>259</v>
      </c>
      <c r="P1" s="21" t="s">
        <v>260</v>
      </c>
      <c r="Q1" s="21" t="s">
        <v>261</v>
      </c>
      <c r="R1" s="22" t="s">
        <v>262</v>
      </c>
      <c r="S1" s="22" t="s">
        <v>263</v>
      </c>
      <c r="T1" s="21" t="s">
        <v>264</v>
      </c>
      <c r="U1" s="21" t="s">
        <v>265</v>
      </c>
      <c r="V1" s="23" t="s">
        <v>266</v>
      </c>
      <c r="W1" s="24" t="s">
        <v>267</v>
      </c>
      <c r="X1" s="23" t="s">
        <v>268</v>
      </c>
      <c r="Y1" s="24" t="s">
        <v>269</v>
      </c>
      <c r="Z1" s="24" t="s">
        <v>270</v>
      </c>
      <c r="AA1" s="23" t="s">
        <v>271</v>
      </c>
      <c r="AB1" s="23" t="s">
        <v>272</v>
      </c>
      <c r="AC1" s="24" t="s">
        <v>273</v>
      </c>
      <c r="AD1" s="24" t="s">
        <v>274</v>
      </c>
      <c r="AE1" s="23" t="s">
        <v>275</v>
      </c>
      <c r="AF1" s="24" t="s">
        <v>276</v>
      </c>
      <c r="AG1" s="24" t="s">
        <v>277</v>
      </c>
      <c r="AH1" s="23" t="s">
        <v>278</v>
      </c>
      <c r="AI1" s="23" t="s">
        <v>279</v>
      </c>
      <c r="AJ1" s="24" t="s">
        <v>280</v>
      </c>
      <c r="AK1" s="24" t="s">
        <v>281</v>
      </c>
      <c r="AL1" s="23" t="s">
        <v>282</v>
      </c>
      <c r="AM1" s="24" t="s">
        <v>283</v>
      </c>
      <c r="AN1" s="23" t="s">
        <v>284</v>
      </c>
      <c r="AO1" s="25" t="s">
        <v>285</v>
      </c>
      <c r="AP1" s="20" t="s">
        <v>286</v>
      </c>
      <c r="AQ1" s="20" t="s">
        <v>287</v>
      </c>
    </row>
    <row r="2" spans="1:43" ht="32" x14ac:dyDescent="0.2">
      <c r="A2" s="338" t="s">
        <v>497</v>
      </c>
      <c r="B2" s="347" t="str">
        <f>_xlfn.XLOOKUP(B1,STRAI[Pregunta],STRAI[ITEM_CODE],"XXXXXX")</f>
        <v>NOW_CALM</v>
      </c>
      <c r="C2" s="347" t="str">
        <f>_xlfn.XLOOKUP(C1,STRAI[Pregunta],STRAI[ITEM_CODE],"XXXXXX")</f>
        <v>NOW_SECURE</v>
      </c>
      <c r="D2" s="347" t="str">
        <f>_xlfn.XLOOKUP(D1,STRAI[Pregunta],STRAI[ITEM_CODE],"XXXXXX")</f>
        <v>NOW_TENSE</v>
      </c>
      <c r="E2" s="347" t="str">
        <f>_xlfn.XLOOKUP(E1,STRAI[Pregunta],STRAI[ITEM_CODE],"XXXXXX")</f>
        <v>NOW_STRAINED</v>
      </c>
      <c r="F2" s="347" t="str">
        <f>_xlfn.XLOOKUP(F1,STRAI[Pregunta],STRAI[ITEM_CODE],"XXXXXX")</f>
        <v>NOW_EASE</v>
      </c>
      <c r="G2" s="347" t="str">
        <f>_xlfn.XLOOKUP(G1,STRAI[Pregunta],STRAI[ITEM_CODE],"XXXXXX")</f>
        <v>NOW_UPSET</v>
      </c>
      <c r="H2" s="347" t="str">
        <f>_xlfn.XLOOKUP(H1,STRAI[Pregunta],STRAI[ITEM_CODE],"XXXXXX")</f>
        <v>NOW_MISFORTUNES</v>
      </c>
      <c r="I2" s="347" t="str">
        <f>_xlfn.XLOOKUP(I1,STRAI[Pregunta],STRAI[ITEM_CODE],"XXXXXX")</f>
        <v>NOW_SATISFIED</v>
      </c>
      <c r="J2" s="347" t="str">
        <f>_xlfn.XLOOKUP(J1,STRAI[Pregunta],STRAI[ITEM_CODE],"XXXXXX")</f>
        <v>NOW_FRIGHTENED</v>
      </c>
      <c r="K2" s="347" t="str">
        <f>_xlfn.XLOOKUP(K1,STRAI[Pregunta],STRAI[ITEM_CODE],"XXXXXX")</f>
        <v>NOW_UNCOMFORTABLE</v>
      </c>
      <c r="L2" s="347" t="str">
        <f>_xlfn.XLOOKUP(L1,STRAI[Pregunta],STRAI[ITEM_CODE],"XXXXXX")</f>
        <v>NOW_SELFCONFIDENT</v>
      </c>
      <c r="M2" s="347" t="str">
        <f>_xlfn.XLOOKUP(M1,STRAI[Pregunta],STRAI[ITEM_CODE],"XXXXXX")</f>
        <v>NOW_NERVOUS</v>
      </c>
      <c r="N2" s="347" t="str">
        <f>_xlfn.XLOOKUP(N1,STRAI[Pregunta],STRAI[ITEM_CODE],"XXXXXX")</f>
        <v>NOW_JITTERY</v>
      </c>
      <c r="O2" s="347" t="str">
        <f>_xlfn.XLOOKUP(O1,STRAI[Pregunta],STRAI[ITEM_CODE],"XXXXXX")</f>
        <v>NOW_INDECISIVE</v>
      </c>
      <c r="P2" s="347" t="str">
        <f>_xlfn.XLOOKUP(P1,STRAI[Pregunta],STRAI[ITEM_CODE],"XXXXXX")</f>
        <v>NOW_RELAXED</v>
      </c>
      <c r="Q2" s="347" t="str">
        <f>_xlfn.XLOOKUP(Q1,STRAI[Pregunta],STRAI[ITEM_CODE],"XXXXXX")</f>
        <v>NOW_CONTENT</v>
      </c>
      <c r="R2" s="347" t="str">
        <f>_xlfn.XLOOKUP(R1,STRAI[Pregunta],STRAI[ITEM_CODE],"XXXXXX")</f>
        <v>NOW_WORRIED</v>
      </c>
      <c r="S2" s="347" t="str">
        <f>_xlfn.XLOOKUP(S1,STRAI[Pregunta],STRAI[ITEM_CODE],"XXXXXX")</f>
        <v>NOW_CONFUSED</v>
      </c>
      <c r="T2" s="347" t="str">
        <f>_xlfn.XLOOKUP(T1,STRAI[Pregunta],STRAI[ITEM_CODE],"XXXXXX")</f>
        <v>NOW_STEADY</v>
      </c>
      <c r="U2" s="347" t="str">
        <f>_xlfn.XLOOKUP(U1,STRAI[Pregunta],STRAI[ITEM_CODE],"XXXXXX")</f>
        <v>NOW_PLEASANT</v>
      </c>
      <c r="V2" s="347" t="str">
        <f>_xlfn.XLOOKUP(V1,STRAI[Pregunta],STRAI[ITEM_CODE],"XXXXXX")</f>
        <v>GEN_PLEASANT</v>
      </c>
      <c r="W2" s="347" t="str">
        <f>_xlfn.XLOOKUP(W1,STRAI[Pregunta],STRAI[ITEM_CODE],"XXXXXX")</f>
        <v>GEN_NERVOUS</v>
      </c>
      <c r="X2" s="347" t="str">
        <f>_xlfn.XLOOKUP(X1,STRAI[Pregunta],STRAI[ITEM_CODE],"XXXXXX")</f>
        <v>GEN_SATISFIED</v>
      </c>
      <c r="Y2" s="347" t="str">
        <f>_xlfn.XLOOKUP(Y1,STRAI[Pregunta],STRAI[ITEM_CODE],"XXXXXX")</f>
        <v>GEN_WISH_HAPPY</v>
      </c>
      <c r="Z2" s="347" t="str">
        <f>_xlfn.XLOOKUP(Z1,STRAI[Pregunta],STRAI[ITEM_CODE],"XXXXXX")</f>
        <v>GEN_FAILURE</v>
      </c>
      <c r="AA2" s="347" t="str">
        <f>_xlfn.XLOOKUP(AA1,STRAI[Pregunta],STRAI[ITEM_CODE],"XXXXXX")</f>
        <v>GEN_RESTED</v>
      </c>
      <c r="AB2" s="347" t="str">
        <f>_xlfn.XLOOKUP(AB1,STRAI[Pregunta],STRAI[ITEM_CODE],"XXXXXX")</f>
        <v>GEN_CALM</v>
      </c>
      <c r="AC2" s="347" t="str">
        <f>_xlfn.XLOOKUP(AC1,STRAI[Pregunta],STRAI[ITEM_CODE],"XXXXXX")</f>
        <v>GEN_DIFICULTIES</v>
      </c>
      <c r="AD2" s="347" t="str">
        <f>_xlfn.XLOOKUP(AD1,STRAI[Pregunta],STRAI[ITEM_CODE],"XXXXXX")</f>
        <v>GEN_WORRIED</v>
      </c>
      <c r="AE2" s="347" t="str">
        <f>_xlfn.XLOOKUP(AE1,STRAI[Pregunta],STRAI[ITEM_CODE],"XXXXXX")</f>
        <v>GEN_HAPPY</v>
      </c>
      <c r="AF2" s="347" t="str">
        <f>_xlfn.XLOOKUP(AF1,STRAI[Pregunta],STRAI[ITEM_CODE],"XXXXXX")</f>
        <v>GEN_DISTURBING_THOUGHTS</v>
      </c>
      <c r="AG2" s="347" t="str">
        <f>_xlfn.XLOOKUP(AG1,STRAI[Pregunta],STRAI[ITEM_CODE],"XXXXXX")</f>
        <v>GEN_LACK_CONFIDENCE</v>
      </c>
      <c r="AH2" s="347" t="str">
        <f>_xlfn.XLOOKUP(AH1,STRAI[Pregunta],STRAI[ITEM_CODE],"XXXXXX")</f>
        <v>GEN_SECURE</v>
      </c>
      <c r="AI2" s="347" t="str">
        <f>_xlfn.XLOOKUP(AI1,STRAI[Pregunta],STRAI[ITEM_CODE],"XXXXXX")</f>
        <v>GEN_DECIDED</v>
      </c>
      <c r="AJ2" s="347" t="str">
        <f>_xlfn.XLOOKUP(AJ1,STRAI[Pregunta],STRAI[ITEM_CODE],"XXXXXX")</f>
        <v>GEN_INADEQUATE</v>
      </c>
      <c r="AK2" s="347" t="str">
        <f>_xlfn.XLOOKUP(AK1,STRAI[Pregunta],STRAI[ITEM_CODE],"XXXXXX")</f>
        <v>GEN_CONTENT</v>
      </c>
      <c r="AL2" s="347" t="str">
        <f>_xlfn.XLOOKUP(AL1,STRAI[Pregunta],STRAI[ITEM_CODE],"XXXXXX")</f>
        <v>GEN_UNIMPORTANT_THOUGHTS</v>
      </c>
      <c r="AM2" s="347" t="str">
        <f>_xlfn.XLOOKUP(AM1,STRAI[Pregunta],STRAI[ITEM_CODE],"XXXXXX")</f>
        <v>GEN_DISAPPOINTMENT</v>
      </c>
      <c r="AN2" s="347" t="str">
        <f>_xlfn.XLOOKUP(AN1,STRAI[Pregunta],STRAI[ITEM_CODE],"XXXXXX")</f>
        <v>GEN_STEADY</v>
      </c>
      <c r="AO2" s="347" t="str">
        <f>_xlfn.XLOOKUP(AO1,STRAI[Pregunta],STRAI[ITEM_CODE],"XXXXXX")</f>
        <v>GEN_TENSE</v>
      </c>
      <c r="AP2" s="347" t="s">
        <v>789</v>
      </c>
      <c r="AQ2" s="347" t="s">
        <v>790</v>
      </c>
    </row>
    <row r="3" spans="1:43" x14ac:dyDescent="0.2">
      <c r="A3" s="112" t="s">
        <v>297</v>
      </c>
      <c r="B3" s="26">
        <v>2</v>
      </c>
      <c r="C3" s="123">
        <v>2</v>
      </c>
      <c r="D3" s="26">
        <v>3</v>
      </c>
      <c r="E3" s="26">
        <v>3</v>
      </c>
      <c r="F3" s="26">
        <v>2</v>
      </c>
      <c r="G3" s="26">
        <v>1</v>
      </c>
      <c r="H3" s="26">
        <v>3</v>
      </c>
      <c r="I3" s="26">
        <v>3</v>
      </c>
      <c r="J3" s="26">
        <v>1</v>
      </c>
      <c r="K3" s="26">
        <v>1</v>
      </c>
      <c r="L3" s="26">
        <v>3</v>
      </c>
      <c r="M3" s="26">
        <v>2</v>
      </c>
      <c r="N3" s="26">
        <v>1</v>
      </c>
      <c r="O3" s="26">
        <v>2</v>
      </c>
      <c r="P3" s="26">
        <v>2</v>
      </c>
      <c r="Q3" s="26">
        <v>3</v>
      </c>
      <c r="R3" s="26">
        <v>2</v>
      </c>
      <c r="S3" s="26">
        <v>1</v>
      </c>
      <c r="T3" s="26">
        <v>2</v>
      </c>
      <c r="U3" s="26">
        <v>2</v>
      </c>
      <c r="V3" s="26">
        <v>2</v>
      </c>
      <c r="W3" s="26">
        <v>3</v>
      </c>
      <c r="X3" s="26">
        <v>2</v>
      </c>
      <c r="Y3" s="26">
        <v>3</v>
      </c>
      <c r="Z3" s="26">
        <v>2</v>
      </c>
      <c r="AA3" s="26">
        <v>2</v>
      </c>
      <c r="AB3" s="26">
        <v>2</v>
      </c>
      <c r="AC3" s="26">
        <v>3</v>
      </c>
      <c r="AD3" s="26">
        <v>2</v>
      </c>
      <c r="AE3" s="26">
        <v>2</v>
      </c>
      <c r="AF3" s="26">
        <v>1</v>
      </c>
      <c r="AG3" s="26">
        <v>1</v>
      </c>
      <c r="AH3" s="26">
        <v>2</v>
      </c>
      <c r="AI3" s="26">
        <v>2</v>
      </c>
      <c r="AJ3" s="26">
        <v>3</v>
      </c>
      <c r="AK3" s="26">
        <v>2</v>
      </c>
      <c r="AL3" s="26">
        <v>1</v>
      </c>
      <c r="AM3" s="26">
        <v>3</v>
      </c>
      <c r="AN3" s="26">
        <v>3</v>
      </c>
      <c r="AO3" s="26">
        <v>3</v>
      </c>
      <c r="AP3" s="26">
        <f t="shared" ref="AP3:AP14" si="0">SUM(B3:U3)</f>
        <v>41</v>
      </c>
      <c r="AQ3" s="26">
        <f t="shared" ref="AQ3:AQ40" si="1">SUM(V3:AO3)</f>
        <v>44</v>
      </c>
    </row>
    <row r="4" spans="1:43" x14ac:dyDescent="0.2">
      <c r="A4" s="112" t="s">
        <v>298</v>
      </c>
      <c r="B4" s="26">
        <v>4</v>
      </c>
      <c r="C4" s="123">
        <v>4</v>
      </c>
      <c r="D4" s="26">
        <v>4</v>
      </c>
      <c r="E4" s="26">
        <v>1</v>
      </c>
      <c r="F4" s="26">
        <v>4</v>
      </c>
      <c r="G4" s="26">
        <v>1</v>
      </c>
      <c r="H4" s="26">
        <v>1</v>
      </c>
      <c r="I4" s="26">
        <v>3</v>
      </c>
      <c r="J4" s="26">
        <v>1</v>
      </c>
      <c r="K4" s="26">
        <v>1</v>
      </c>
      <c r="L4" s="26">
        <v>4</v>
      </c>
      <c r="M4" s="26">
        <v>1</v>
      </c>
      <c r="N4" s="26">
        <v>1</v>
      </c>
      <c r="O4" s="26">
        <v>1</v>
      </c>
      <c r="P4" s="26">
        <v>3</v>
      </c>
      <c r="Q4" s="26">
        <v>3</v>
      </c>
      <c r="R4" s="26">
        <v>1</v>
      </c>
      <c r="S4" s="26">
        <v>1</v>
      </c>
      <c r="T4" s="26">
        <v>3</v>
      </c>
      <c r="U4" s="26">
        <v>4</v>
      </c>
      <c r="V4" s="26">
        <v>3</v>
      </c>
      <c r="W4" s="26">
        <v>1</v>
      </c>
      <c r="X4" s="26">
        <v>3</v>
      </c>
      <c r="Y4" s="26">
        <v>2</v>
      </c>
      <c r="Z4" s="26">
        <v>1</v>
      </c>
      <c r="AA4" s="26">
        <v>3</v>
      </c>
      <c r="AB4" s="26">
        <v>3</v>
      </c>
      <c r="AC4" s="26">
        <v>1</v>
      </c>
      <c r="AD4" s="26">
        <v>1</v>
      </c>
      <c r="AE4" s="26">
        <v>3</v>
      </c>
      <c r="AF4" s="26">
        <v>1</v>
      </c>
      <c r="AG4" s="26">
        <v>1</v>
      </c>
      <c r="AH4" s="26">
        <v>4</v>
      </c>
      <c r="AI4" s="26">
        <v>4</v>
      </c>
      <c r="AJ4" s="26">
        <v>2</v>
      </c>
      <c r="AK4" s="26">
        <v>4</v>
      </c>
      <c r="AL4" s="26">
        <v>1</v>
      </c>
      <c r="AM4" s="26">
        <v>1</v>
      </c>
      <c r="AN4" s="26">
        <v>3</v>
      </c>
      <c r="AO4" s="26">
        <v>1</v>
      </c>
      <c r="AP4" s="26">
        <f t="shared" si="0"/>
        <v>46</v>
      </c>
      <c r="AQ4" s="26">
        <f t="shared" si="1"/>
        <v>43</v>
      </c>
    </row>
    <row r="5" spans="1:43" x14ac:dyDescent="0.2">
      <c r="A5" s="112" t="s">
        <v>299</v>
      </c>
      <c r="B5" s="26">
        <v>2</v>
      </c>
      <c r="C5" s="123">
        <v>2</v>
      </c>
      <c r="D5" s="26">
        <v>2</v>
      </c>
      <c r="E5" s="26">
        <v>2</v>
      </c>
      <c r="F5" s="26">
        <v>2</v>
      </c>
      <c r="G5" s="26">
        <v>1</v>
      </c>
      <c r="H5" s="26">
        <v>1</v>
      </c>
      <c r="I5" s="26">
        <v>2</v>
      </c>
      <c r="J5" s="26">
        <v>1</v>
      </c>
      <c r="K5" s="26">
        <v>1</v>
      </c>
      <c r="L5" s="26">
        <v>2</v>
      </c>
      <c r="M5" s="26">
        <v>2</v>
      </c>
      <c r="N5" s="26">
        <v>1</v>
      </c>
      <c r="O5" s="26">
        <v>1</v>
      </c>
      <c r="P5" s="26">
        <v>2</v>
      </c>
      <c r="Q5" s="26">
        <v>3</v>
      </c>
      <c r="R5" s="26">
        <v>2</v>
      </c>
      <c r="S5" s="26">
        <v>1</v>
      </c>
      <c r="T5" s="26">
        <v>2</v>
      </c>
      <c r="U5" s="26">
        <v>3</v>
      </c>
      <c r="V5" s="26">
        <v>2</v>
      </c>
      <c r="W5" s="26">
        <v>3</v>
      </c>
      <c r="X5" s="26">
        <v>2</v>
      </c>
      <c r="Y5" s="26">
        <v>2</v>
      </c>
      <c r="Z5" s="26">
        <v>2</v>
      </c>
      <c r="AA5" s="26">
        <v>2</v>
      </c>
      <c r="AB5" s="26">
        <v>1</v>
      </c>
      <c r="AC5" s="26">
        <v>2</v>
      </c>
      <c r="AD5" s="26">
        <v>2</v>
      </c>
      <c r="AE5" s="26">
        <v>2</v>
      </c>
      <c r="AF5" s="26">
        <v>1</v>
      </c>
      <c r="AG5" s="26">
        <v>1</v>
      </c>
      <c r="AH5" s="26">
        <v>3</v>
      </c>
      <c r="AI5" s="26">
        <v>3</v>
      </c>
      <c r="AJ5" s="26">
        <v>2</v>
      </c>
      <c r="AK5" s="26">
        <v>3</v>
      </c>
      <c r="AL5" s="26">
        <v>1</v>
      </c>
      <c r="AM5" s="26">
        <v>3</v>
      </c>
      <c r="AN5" s="26">
        <v>2</v>
      </c>
      <c r="AO5" s="26">
        <v>2</v>
      </c>
      <c r="AP5" s="26">
        <f t="shared" si="0"/>
        <v>35</v>
      </c>
      <c r="AQ5" s="26">
        <f t="shared" si="1"/>
        <v>41</v>
      </c>
    </row>
    <row r="6" spans="1:43" x14ac:dyDescent="0.2">
      <c r="A6" s="112" t="s">
        <v>300</v>
      </c>
      <c r="B6" s="26">
        <v>3</v>
      </c>
      <c r="C6" s="123">
        <v>2</v>
      </c>
      <c r="D6" s="26">
        <v>1</v>
      </c>
      <c r="E6" s="26">
        <v>1</v>
      </c>
      <c r="F6" s="26">
        <v>3</v>
      </c>
      <c r="G6" s="26">
        <v>1</v>
      </c>
      <c r="H6" s="26">
        <v>1</v>
      </c>
      <c r="I6" s="26">
        <v>3</v>
      </c>
      <c r="J6" s="26">
        <v>1</v>
      </c>
      <c r="K6" s="26">
        <v>1</v>
      </c>
      <c r="L6" s="26">
        <v>2</v>
      </c>
      <c r="M6" s="26">
        <v>1</v>
      </c>
      <c r="N6" s="26">
        <v>1</v>
      </c>
      <c r="O6" s="26">
        <v>2</v>
      </c>
      <c r="P6" s="26">
        <v>3</v>
      </c>
      <c r="Q6" s="26">
        <v>2</v>
      </c>
      <c r="R6" s="26">
        <v>1</v>
      </c>
      <c r="S6" s="26">
        <v>2</v>
      </c>
      <c r="T6" s="26">
        <v>2</v>
      </c>
      <c r="U6" s="26">
        <v>2</v>
      </c>
      <c r="V6" s="26">
        <v>1</v>
      </c>
      <c r="W6" s="26">
        <v>1</v>
      </c>
      <c r="X6" s="26">
        <v>2</v>
      </c>
      <c r="Y6" s="26">
        <v>1</v>
      </c>
      <c r="Z6" s="26">
        <v>1</v>
      </c>
      <c r="AA6" s="26">
        <v>2</v>
      </c>
      <c r="AB6" s="26">
        <v>3</v>
      </c>
      <c r="AC6" s="26">
        <v>1</v>
      </c>
      <c r="AD6" s="26">
        <v>1</v>
      </c>
      <c r="AE6" s="26">
        <v>3</v>
      </c>
      <c r="AF6" s="26">
        <v>1</v>
      </c>
      <c r="AG6" s="26">
        <v>2</v>
      </c>
      <c r="AH6" s="26">
        <v>2</v>
      </c>
      <c r="AI6" s="26">
        <v>3</v>
      </c>
      <c r="AJ6" s="26">
        <v>1</v>
      </c>
      <c r="AK6" s="26">
        <v>2</v>
      </c>
      <c r="AL6" s="26">
        <v>1</v>
      </c>
      <c r="AM6" s="26">
        <v>1</v>
      </c>
      <c r="AN6" s="26">
        <v>2</v>
      </c>
      <c r="AO6" s="26">
        <v>1</v>
      </c>
      <c r="AP6" s="26">
        <f t="shared" si="0"/>
        <v>35</v>
      </c>
      <c r="AQ6" s="26">
        <f t="shared" si="1"/>
        <v>32</v>
      </c>
    </row>
    <row r="7" spans="1:43" x14ac:dyDescent="0.2">
      <c r="A7" s="112" t="s">
        <v>301</v>
      </c>
      <c r="B7" s="26">
        <v>3</v>
      </c>
      <c r="C7" s="123">
        <v>2</v>
      </c>
      <c r="D7" s="26">
        <v>1</v>
      </c>
      <c r="E7" s="26">
        <v>1</v>
      </c>
      <c r="F7" s="26">
        <v>3</v>
      </c>
      <c r="G7" s="26">
        <v>1</v>
      </c>
      <c r="H7" s="26">
        <v>1</v>
      </c>
      <c r="I7" s="26">
        <v>3</v>
      </c>
      <c r="J7" s="26">
        <v>1</v>
      </c>
      <c r="K7" s="26">
        <v>1</v>
      </c>
      <c r="L7" s="26">
        <v>2</v>
      </c>
      <c r="M7" s="26">
        <v>1</v>
      </c>
      <c r="N7" s="26">
        <v>1</v>
      </c>
      <c r="O7" s="26">
        <v>2</v>
      </c>
      <c r="P7" s="26">
        <v>3</v>
      </c>
      <c r="Q7" s="26">
        <v>2</v>
      </c>
      <c r="R7" s="26">
        <v>1</v>
      </c>
      <c r="S7" s="26">
        <v>2</v>
      </c>
      <c r="T7" s="26">
        <v>2</v>
      </c>
      <c r="U7" s="26">
        <v>2</v>
      </c>
      <c r="V7" s="26">
        <v>1</v>
      </c>
      <c r="W7" s="26">
        <v>1</v>
      </c>
      <c r="X7" s="26">
        <v>2</v>
      </c>
      <c r="Y7" s="26">
        <v>1</v>
      </c>
      <c r="Z7" s="26">
        <v>1</v>
      </c>
      <c r="AA7" s="26">
        <v>2</v>
      </c>
      <c r="AB7" s="26">
        <v>3</v>
      </c>
      <c r="AC7" s="26">
        <v>1</v>
      </c>
      <c r="AD7" s="26">
        <v>1</v>
      </c>
      <c r="AE7" s="26">
        <v>3</v>
      </c>
      <c r="AF7" s="26">
        <v>1</v>
      </c>
      <c r="AG7" s="26">
        <v>2</v>
      </c>
      <c r="AH7" s="26">
        <v>2</v>
      </c>
      <c r="AI7" s="26">
        <v>3</v>
      </c>
      <c r="AJ7" s="26">
        <v>1</v>
      </c>
      <c r="AK7" s="26">
        <v>2</v>
      </c>
      <c r="AL7" s="26">
        <v>1</v>
      </c>
      <c r="AM7" s="26">
        <v>1</v>
      </c>
      <c r="AN7" s="26">
        <v>2</v>
      </c>
      <c r="AO7" s="26">
        <v>1</v>
      </c>
      <c r="AP7" s="26">
        <f t="shared" si="0"/>
        <v>35</v>
      </c>
      <c r="AQ7" s="26">
        <f t="shared" si="1"/>
        <v>32</v>
      </c>
    </row>
    <row r="8" spans="1:43" x14ac:dyDescent="0.2">
      <c r="A8" s="112" t="s">
        <v>302</v>
      </c>
      <c r="B8" s="26">
        <v>3</v>
      </c>
      <c r="C8" s="123">
        <v>3</v>
      </c>
      <c r="D8" s="26">
        <v>2</v>
      </c>
      <c r="E8" s="26">
        <v>2</v>
      </c>
      <c r="F8" s="26">
        <v>3</v>
      </c>
      <c r="G8" s="26">
        <v>2</v>
      </c>
      <c r="H8" s="26">
        <v>1</v>
      </c>
      <c r="I8" s="26">
        <v>3</v>
      </c>
      <c r="J8" s="26">
        <v>2</v>
      </c>
      <c r="K8" s="26">
        <v>3</v>
      </c>
      <c r="L8" s="26">
        <v>3</v>
      </c>
      <c r="M8" s="26">
        <v>2</v>
      </c>
      <c r="N8" s="26">
        <v>2</v>
      </c>
      <c r="O8" s="26">
        <v>2</v>
      </c>
      <c r="P8" s="26">
        <v>3</v>
      </c>
      <c r="Q8" s="26">
        <v>3</v>
      </c>
      <c r="R8" s="26">
        <v>2</v>
      </c>
      <c r="S8" s="26">
        <v>2</v>
      </c>
      <c r="T8" s="26">
        <v>3</v>
      </c>
      <c r="U8" s="26">
        <v>3</v>
      </c>
      <c r="V8" s="26">
        <v>4</v>
      </c>
      <c r="W8" s="26">
        <v>2</v>
      </c>
      <c r="X8" s="26">
        <v>1</v>
      </c>
      <c r="Y8" s="26">
        <v>1</v>
      </c>
      <c r="Z8" s="26">
        <v>1</v>
      </c>
      <c r="AA8" s="26">
        <v>2</v>
      </c>
      <c r="AB8" s="26">
        <v>4</v>
      </c>
      <c r="AC8" s="26">
        <v>1</v>
      </c>
      <c r="AD8" s="26">
        <v>1</v>
      </c>
      <c r="AE8" s="26">
        <v>3</v>
      </c>
      <c r="AF8" s="26">
        <v>1</v>
      </c>
      <c r="AG8" s="26">
        <v>1</v>
      </c>
      <c r="AH8" s="26">
        <v>4</v>
      </c>
      <c r="AI8" s="26">
        <v>1</v>
      </c>
      <c r="AJ8" s="26">
        <v>1</v>
      </c>
      <c r="AK8" s="26">
        <v>4</v>
      </c>
      <c r="AL8" s="26">
        <v>1</v>
      </c>
      <c r="AM8" s="26">
        <v>1</v>
      </c>
      <c r="AN8" s="26">
        <v>3</v>
      </c>
      <c r="AO8" s="26">
        <v>1</v>
      </c>
      <c r="AP8" s="26">
        <f t="shared" si="0"/>
        <v>49</v>
      </c>
      <c r="AQ8" s="26">
        <f t="shared" si="1"/>
        <v>38</v>
      </c>
    </row>
    <row r="9" spans="1:43" x14ac:dyDescent="0.2">
      <c r="A9" s="112" t="s">
        <v>303</v>
      </c>
      <c r="B9" s="26">
        <v>3</v>
      </c>
      <c r="C9" s="123">
        <v>3</v>
      </c>
      <c r="D9" s="26">
        <v>4</v>
      </c>
      <c r="E9" s="26">
        <v>1</v>
      </c>
      <c r="F9" s="26">
        <v>3</v>
      </c>
      <c r="G9" s="26">
        <v>1</v>
      </c>
      <c r="H9" s="26">
        <v>1</v>
      </c>
      <c r="I9" s="26">
        <v>3</v>
      </c>
      <c r="J9" s="26">
        <v>2</v>
      </c>
      <c r="K9" s="26">
        <v>3</v>
      </c>
      <c r="L9" s="26">
        <v>4</v>
      </c>
      <c r="M9" s="26">
        <v>1</v>
      </c>
      <c r="N9" s="26">
        <v>1</v>
      </c>
      <c r="O9" s="26">
        <v>1</v>
      </c>
      <c r="P9" s="26">
        <v>3</v>
      </c>
      <c r="Q9" s="26">
        <v>3</v>
      </c>
      <c r="R9" s="26">
        <v>1</v>
      </c>
      <c r="S9" s="26">
        <v>1</v>
      </c>
      <c r="T9" s="26">
        <v>3</v>
      </c>
      <c r="U9" s="26">
        <v>3</v>
      </c>
      <c r="V9" s="26">
        <v>3</v>
      </c>
      <c r="W9" s="26">
        <v>3</v>
      </c>
      <c r="X9" s="26">
        <v>1</v>
      </c>
      <c r="Y9" s="26">
        <v>1</v>
      </c>
      <c r="Z9" s="26">
        <v>1</v>
      </c>
      <c r="AA9" s="26">
        <v>2</v>
      </c>
      <c r="AB9" s="26">
        <v>4</v>
      </c>
      <c r="AC9" s="26">
        <v>1</v>
      </c>
      <c r="AD9" s="26">
        <v>2</v>
      </c>
      <c r="AE9" s="26">
        <v>4</v>
      </c>
      <c r="AF9" s="26">
        <v>1</v>
      </c>
      <c r="AG9" s="26">
        <v>1</v>
      </c>
      <c r="AH9" s="26">
        <v>4</v>
      </c>
      <c r="AI9" s="26">
        <v>1</v>
      </c>
      <c r="AJ9" s="26">
        <v>2</v>
      </c>
      <c r="AK9" s="26">
        <v>4</v>
      </c>
      <c r="AL9" s="26">
        <v>1</v>
      </c>
      <c r="AM9" s="26">
        <v>1</v>
      </c>
      <c r="AN9" s="26">
        <v>4</v>
      </c>
      <c r="AO9" s="26">
        <v>2</v>
      </c>
      <c r="AP9" s="26">
        <f t="shared" si="0"/>
        <v>45</v>
      </c>
      <c r="AQ9" s="26">
        <f t="shared" si="1"/>
        <v>43</v>
      </c>
    </row>
    <row r="10" spans="1:43" x14ac:dyDescent="0.2">
      <c r="A10" s="112" t="s">
        <v>304</v>
      </c>
      <c r="B10" s="26">
        <v>1</v>
      </c>
      <c r="C10" s="123">
        <v>1</v>
      </c>
      <c r="D10" s="26">
        <v>1</v>
      </c>
      <c r="E10" s="26">
        <v>1</v>
      </c>
      <c r="F10" s="26">
        <v>4</v>
      </c>
      <c r="G10" s="26">
        <v>1</v>
      </c>
      <c r="H10" s="26">
        <v>1</v>
      </c>
      <c r="I10" s="26">
        <v>4</v>
      </c>
      <c r="J10" s="26">
        <v>1</v>
      </c>
      <c r="K10" s="26">
        <v>4</v>
      </c>
      <c r="L10" s="26">
        <v>4</v>
      </c>
      <c r="M10" s="26">
        <v>1</v>
      </c>
      <c r="N10" s="26">
        <v>4</v>
      </c>
      <c r="O10" s="26">
        <v>1</v>
      </c>
      <c r="P10" s="26">
        <v>4</v>
      </c>
      <c r="Q10" s="26">
        <v>2</v>
      </c>
      <c r="R10" s="26">
        <v>2</v>
      </c>
      <c r="S10" s="26">
        <v>2</v>
      </c>
      <c r="T10" s="26">
        <v>1</v>
      </c>
      <c r="U10" s="26">
        <v>2</v>
      </c>
      <c r="V10" s="26">
        <v>3</v>
      </c>
      <c r="W10" s="26">
        <v>3</v>
      </c>
      <c r="X10" s="26">
        <v>1</v>
      </c>
      <c r="Y10" s="26">
        <v>2</v>
      </c>
      <c r="Z10" s="26">
        <v>2</v>
      </c>
      <c r="AA10" s="26">
        <v>3</v>
      </c>
      <c r="AB10" s="26">
        <v>3</v>
      </c>
      <c r="AC10" s="26">
        <v>2</v>
      </c>
      <c r="AD10" s="26">
        <v>2</v>
      </c>
      <c r="AE10" s="26">
        <v>1</v>
      </c>
      <c r="AF10" s="26">
        <v>2</v>
      </c>
      <c r="AG10" s="26">
        <v>2</v>
      </c>
      <c r="AH10" s="26">
        <v>3</v>
      </c>
      <c r="AI10" s="26">
        <v>1</v>
      </c>
      <c r="AJ10" s="26">
        <v>3</v>
      </c>
      <c r="AK10" s="26">
        <v>2</v>
      </c>
      <c r="AL10" s="26">
        <v>2</v>
      </c>
      <c r="AM10" s="26">
        <v>2</v>
      </c>
      <c r="AN10" s="26">
        <v>3</v>
      </c>
      <c r="AO10" s="26">
        <v>3</v>
      </c>
      <c r="AP10" s="26">
        <f t="shared" si="0"/>
        <v>42</v>
      </c>
      <c r="AQ10" s="26">
        <f t="shared" si="1"/>
        <v>45</v>
      </c>
    </row>
    <row r="11" spans="1:43" x14ac:dyDescent="0.2">
      <c r="A11" s="112" t="s">
        <v>305</v>
      </c>
      <c r="B11" s="26">
        <v>3</v>
      </c>
      <c r="C11" s="123">
        <v>2</v>
      </c>
      <c r="D11" s="26">
        <v>2</v>
      </c>
      <c r="E11" s="26">
        <v>3</v>
      </c>
      <c r="F11" s="26">
        <v>3</v>
      </c>
      <c r="G11" s="26">
        <v>1</v>
      </c>
      <c r="H11" s="26">
        <v>3</v>
      </c>
      <c r="I11" s="26">
        <v>2</v>
      </c>
      <c r="J11" s="26">
        <v>1</v>
      </c>
      <c r="K11" s="26">
        <v>3</v>
      </c>
      <c r="L11" s="26">
        <v>2</v>
      </c>
      <c r="M11" s="26">
        <v>2</v>
      </c>
      <c r="N11" s="26">
        <v>2</v>
      </c>
      <c r="O11" s="26">
        <v>2</v>
      </c>
      <c r="P11" s="26">
        <v>3</v>
      </c>
      <c r="Q11" s="26">
        <v>3</v>
      </c>
      <c r="R11" s="26">
        <v>4</v>
      </c>
      <c r="S11" s="26">
        <v>3</v>
      </c>
      <c r="T11" s="26">
        <v>3</v>
      </c>
      <c r="U11" s="26">
        <v>3</v>
      </c>
      <c r="V11" s="26">
        <v>2</v>
      </c>
      <c r="W11" s="26">
        <v>4</v>
      </c>
      <c r="X11" s="26">
        <v>3</v>
      </c>
      <c r="Y11" s="26">
        <v>2</v>
      </c>
      <c r="Z11" s="26">
        <v>1</v>
      </c>
      <c r="AA11" s="26">
        <v>2</v>
      </c>
      <c r="AB11" s="26">
        <v>3</v>
      </c>
      <c r="AC11" s="26">
        <v>3</v>
      </c>
      <c r="AD11" s="26">
        <v>1</v>
      </c>
      <c r="AE11" s="26">
        <v>3</v>
      </c>
      <c r="AF11" s="26">
        <v>1</v>
      </c>
      <c r="AG11" s="26">
        <v>1</v>
      </c>
      <c r="AH11" s="26">
        <v>1</v>
      </c>
      <c r="AI11" s="26">
        <v>1</v>
      </c>
      <c r="AJ11" s="26">
        <v>1</v>
      </c>
      <c r="AK11" s="26">
        <v>2</v>
      </c>
      <c r="AL11" s="26">
        <v>1</v>
      </c>
      <c r="AM11" s="26">
        <v>1</v>
      </c>
      <c r="AN11" s="26">
        <v>1</v>
      </c>
      <c r="AO11" s="26">
        <v>2</v>
      </c>
      <c r="AP11" s="26">
        <f t="shared" si="0"/>
        <v>50</v>
      </c>
      <c r="AQ11" s="26">
        <f t="shared" si="1"/>
        <v>36</v>
      </c>
    </row>
    <row r="12" spans="1:43" x14ac:dyDescent="0.2">
      <c r="A12" s="112" t="s">
        <v>306</v>
      </c>
      <c r="B12" s="26">
        <v>1</v>
      </c>
      <c r="C12" s="123">
        <v>4</v>
      </c>
      <c r="D12" s="26">
        <v>1</v>
      </c>
      <c r="E12" s="26">
        <v>1</v>
      </c>
      <c r="F12" s="26">
        <v>1</v>
      </c>
      <c r="G12" s="26">
        <v>1</v>
      </c>
      <c r="H12" s="26">
        <v>2</v>
      </c>
      <c r="I12" s="26">
        <v>4</v>
      </c>
      <c r="J12" s="26">
        <v>1</v>
      </c>
      <c r="K12" s="26">
        <v>4</v>
      </c>
      <c r="L12" s="26">
        <v>4</v>
      </c>
      <c r="M12" s="26">
        <v>1</v>
      </c>
      <c r="N12" s="26">
        <v>1</v>
      </c>
      <c r="O12" s="26">
        <v>1</v>
      </c>
      <c r="P12" s="26">
        <v>4</v>
      </c>
      <c r="Q12" s="26">
        <v>4</v>
      </c>
      <c r="R12" s="26">
        <v>1</v>
      </c>
      <c r="S12" s="26">
        <v>1</v>
      </c>
      <c r="T12" s="26">
        <v>4</v>
      </c>
      <c r="U12" s="26">
        <v>4</v>
      </c>
      <c r="V12" s="26">
        <v>4</v>
      </c>
      <c r="W12" s="26">
        <v>3</v>
      </c>
      <c r="X12" s="26">
        <v>2</v>
      </c>
      <c r="Y12" s="26">
        <v>1</v>
      </c>
      <c r="Z12" s="26">
        <v>1</v>
      </c>
      <c r="AA12" s="26">
        <v>2</v>
      </c>
      <c r="AB12" s="26">
        <v>2</v>
      </c>
      <c r="AC12" s="26">
        <v>1</v>
      </c>
      <c r="AD12" s="26">
        <v>1</v>
      </c>
      <c r="AE12" s="26">
        <v>3</v>
      </c>
      <c r="AF12" s="26">
        <v>2</v>
      </c>
      <c r="AG12" s="26">
        <v>1</v>
      </c>
      <c r="AH12" s="26">
        <v>4</v>
      </c>
      <c r="AI12" s="26">
        <v>1</v>
      </c>
      <c r="AJ12" s="26">
        <v>3</v>
      </c>
      <c r="AK12" s="26">
        <v>4</v>
      </c>
      <c r="AL12" s="26">
        <v>2</v>
      </c>
      <c r="AM12" s="26">
        <v>2</v>
      </c>
      <c r="AN12" s="26">
        <v>3</v>
      </c>
      <c r="AO12" s="26">
        <v>2</v>
      </c>
      <c r="AP12" s="26">
        <f t="shared" si="0"/>
        <v>45</v>
      </c>
      <c r="AQ12" s="26">
        <f t="shared" si="1"/>
        <v>44</v>
      </c>
    </row>
    <row r="13" spans="1:43" x14ac:dyDescent="0.2">
      <c r="A13" s="112" t="s">
        <v>307</v>
      </c>
      <c r="B13" s="26">
        <v>4</v>
      </c>
      <c r="C13" s="123">
        <v>1</v>
      </c>
      <c r="D13" s="26">
        <v>1</v>
      </c>
      <c r="E13" s="26">
        <v>1</v>
      </c>
      <c r="F13" s="26">
        <v>4</v>
      </c>
      <c r="G13" s="26">
        <v>1</v>
      </c>
      <c r="H13" s="26">
        <v>1</v>
      </c>
      <c r="I13" s="26">
        <v>3</v>
      </c>
      <c r="J13" s="26">
        <v>2</v>
      </c>
      <c r="K13" s="26">
        <v>1</v>
      </c>
      <c r="L13" s="26">
        <v>1</v>
      </c>
      <c r="M13" s="26">
        <v>2</v>
      </c>
      <c r="N13" s="26">
        <v>1</v>
      </c>
      <c r="O13" s="26">
        <v>1</v>
      </c>
      <c r="P13" s="26">
        <v>4</v>
      </c>
      <c r="Q13" s="26">
        <v>3</v>
      </c>
      <c r="R13" s="26">
        <v>1</v>
      </c>
      <c r="S13" s="26">
        <v>1</v>
      </c>
      <c r="T13" s="26">
        <v>2</v>
      </c>
      <c r="U13" s="26">
        <v>4</v>
      </c>
      <c r="V13" s="26">
        <v>4</v>
      </c>
      <c r="W13" s="26">
        <v>3</v>
      </c>
      <c r="X13" s="26">
        <v>1</v>
      </c>
      <c r="Y13" s="26">
        <v>2</v>
      </c>
      <c r="Z13" s="26">
        <v>1</v>
      </c>
      <c r="AA13" s="26">
        <v>2</v>
      </c>
      <c r="AB13" s="26">
        <v>4</v>
      </c>
      <c r="AC13" s="26">
        <v>1</v>
      </c>
      <c r="AD13" s="26">
        <v>1</v>
      </c>
      <c r="AE13" s="26">
        <v>2</v>
      </c>
      <c r="AF13" s="26">
        <v>2</v>
      </c>
      <c r="AG13" s="26">
        <v>1</v>
      </c>
      <c r="AH13" s="26">
        <v>4</v>
      </c>
      <c r="AI13" s="26">
        <v>4</v>
      </c>
      <c r="AJ13" s="26">
        <v>4</v>
      </c>
      <c r="AK13" s="26">
        <v>3</v>
      </c>
      <c r="AL13" s="26">
        <v>2</v>
      </c>
      <c r="AM13" s="26">
        <v>2</v>
      </c>
      <c r="AN13" s="26">
        <v>3</v>
      </c>
      <c r="AO13" s="26">
        <v>2</v>
      </c>
      <c r="AP13" s="26">
        <f t="shared" si="0"/>
        <v>39</v>
      </c>
      <c r="AQ13" s="26">
        <f t="shared" si="1"/>
        <v>48</v>
      </c>
    </row>
    <row r="14" spans="1:43" x14ac:dyDescent="0.2">
      <c r="A14" s="112" t="s">
        <v>308</v>
      </c>
      <c r="B14" s="26">
        <v>4</v>
      </c>
      <c r="C14" s="123">
        <v>4</v>
      </c>
      <c r="D14" s="26">
        <v>4</v>
      </c>
      <c r="E14" s="26">
        <v>1</v>
      </c>
      <c r="F14" s="26">
        <v>4</v>
      </c>
      <c r="G14" s="26">
        <v>1</v>
      </c>
      <c r="H14" s="26">
        <v>1</v>
      </c>
      <c r="I14" s="26">
        <v>3</v>
      </c>
      <c r="J14" s="26">
        <v>1</v>
      </c>
      <c r="K14" s="26">
        <v>1</v>
      </c>
      <c r="L14" s="26">
        <v>4</v>
      </c>
      <c r="M14" s="26">
        <v>1</v>
      </c>
      <c r="N14" s="26">
        <v>1</v>
      </c>
      <c r="O14" s="26">
        <v>1</v>
      </c>
      <c r="P14" s="26">
        <v>3</v>
      </c>
      <c r="Q14" s="26">
        <v>3</v>
      </c>
      <c r="R14" s="26">
        <v>1</v>
      </c>
      <c r="S14" s="26">
        <v>1</v>
      </c>
      <c r="T14" s="26">
        <v>3</v>
      </c>
      <c r="U14" s="26">
        <v>4</v>
      </c>
      <c r="V14" s="26">
        <v>3</v>
      </c>
      <c r="W14" s="26">
        <v>1</v>
      </c>
      <c r="X14" s="26">
        <v>3</v>
      </c>
      <c r="Y14" s="26">
        <v>2</v>
      </c>
      <c r="Z14" s="26">
        <v>1</v>
      </c>
      <c r="AA14" s="26">
        <v>3</v>
      </c>
      <c r="AB14" s="26">
        <v>3</v>
      </c>
      <c r="AC14" s="26">
        <v>1</v>
      </c>
      <c r="AD14" s="26">
        <v>1</v>
      </c>
      <c r="AE14" s="26">
        <v>3</v>
      </c>
      <c r="AF14" s="26">
        <v>1</v>
      </c>
      <c r="AG14" s="26">
        <v>1</v>
      </c>
      <c r="AH14" s="26">
        <v>4</v>
      </c>
      <c r="AI14" s="26">
        <v>4</v>
      </c>
      <c r="AJ14" s="26">
        <v>2</v>
      </c>
      <c r="AK14" s="26">
        <v>4</v>
      </c>
      <c r="AL14" s="26">
        <v>1</v>
      </c>
      <c r="AM14" s="26">
        <v>1</v>
      </c>
      <c r="AN14" s="26">
        <v>3</v>
      </c>
      <c r="AO14" s="26">
        <v>1</v>
      </c>
      <c r="AP14" s="26">
        <f t="shared" si="0"/>
        <v>46</v>
      </c>
      <c r="AQ14" s="26">
        <f t="shared" si="1"/>
        <v>43</v>
      </c>
    </row>
    <row r="15" spans="1:43" x14ac:dyDescent="0.2">
      <c r="A15" s="112" t="s">
        <v>310</v>
      </c>
      <c r="B15" s="26">
        <v>4</v>
      </c>
      <c r="C15" s="123">
        <v>4</v>
      </c>
      <c r="D15" s="26">
        <v>1</v>
      </c>
      <c r="E15" s="26">
        <v>1</v>
      </c>
      <c r="F15" s="26">
        <v>3</v>
      </c>
      <c r="G15" s="26">
        <v>1</v>
      </c>
      <c r="H15" s="26">
        <v>1</v>
      </c>
      <c r="I15" s="26">
        <v>3</v>
      </c>
      <c r="J15" s="26">
        <v>2</v>
      </c>
      <c r="K15" s="26">
        <v>3</v>
      </c>
      <c r="L15" s="26">
        <v>3</v>
      </c>
      <c r="M15" s="26">
        <v>1</v>
      </c>
      <c r="N15" s="26">
        <v>1</v>
      </c>
      <c r="O15" s="26">
        <v>1</v>
      </c>
      <c r="P15" s="26">
        <v>3</v>
      </c>
      <c r="Q15" s="26">
        <v>3</v>
      </c>
      <c r="R15" s="26">
        <v>1</v>
      </c>
      <c r="S15" s="26">
        <v>1</v>
      </c>
      <c r="T15" s="26">
        <v>3</v>
      </c>
      <c r="U15" s="26">
        <v>3</v>
      </c>
      <c r="V15" s="26">
        <v>3</v>
      </c>
      <c r="W15" s="26">
        <v>3</v>
      </c>
      <c r="X15" s="26">
        <v>1</v>
      </c>
      <c r="Y15" s="26">
        <v>1</v>
      </c>
      <c r="Z15" s="26">
        <v>1</v>
      </c>
      <c r="AA15" s="26">
        <v>3</v>
      </c>
      <c r="AB15" s="26">
        <v>4</v>
      </c>
      <c r="AC15" s="26">
        <v>1</v>
      </c>
      <c r="AD15" s="26">
        <v>1</v>
      </c>
      <c r="AE15" s="26">
        <v>3</v>
      </c>
      <c r="AF15" s="26">
        <v>1</v>
      </c>
      <c r="AG15" s="26">
        <v>1</v>
      </c>
      <c r="AH15" s="26">
        <v>4</v>
      </c>
      <c r="AI15" s="26">
        <v>1</v>
      </c>
      <c r="AJ15" s="26">
        <v>1</v>
      </c>
      <c r="AK15" s="26">
        <v>3</v>
      </c>
      <c r="AL15" s="26">
        <v>2</v>
      </c>
      <c r="AM15" s="26">
        <v>1</v>
      </c>
      <c r="AN15" s="26">
        <v>4</v>
      </c>
      <c r="AO15" s="26">
        <v>2</v>
      </c>
      <c r="AP15" s="26">
        <f>SUM(B15:U15)</f>
        <v>43</v>
      </c>
      <c r="AQ15" s="26">
        <f t="shared" si="1"/>
        <v>41</v>
      </c>
    </row>
    <row r="16" spans="1:43" x14ac:dyDescent="0.2">
      <c r="A16" s="112" t="s">
        <v>311</v>
      </c>
      <c r="B16" s="26">
        <v>3</v>
      </c>
      <c r="C16" s="123">
        <v>3</v>
      </c>
      <c r="D16" s="26">
        <v>2</v>
      </c>
      <c r="E16" s="26">
        <v>2</v>
      </c>
      <c r="F16" s="26">
        <v>1</v>
      </c>
      <c r="G16" s="26">
        <v>1</v>
      </c>
      <c r="H16" s="26">
        <v>1</v>
      </c>
      <c r="I16" s="26">
        <v>3</v>
      </c>
      <c r="J16" s="26">
        <v>2</v>
      </c>
      <c r="K16" s="26">
        <v>3</v>
      </c>
      <c r="L16" s="26">
        <v>2</v>
      </c>
      <c r="M16" s="26">
        <v>2</v>
      </c>
      <c r="N16" s="26">
        <v>2</v>
      </c>
      <c r="O16" s="26">
        <v>2</v>
      </c>
      <c r="P16" s="26">
        <v>3</v>
      </c>
      <c r="Q16" s="26">
        <v>2</v>
      </c>
      <c r="R16" s="26">
        <v>2</v>
      </c>
      <c r="S16" s="26">
        <v>1</v>
      </c>
      <c r="T16" s="26">
        <v>3</v>
      </c>
      <c r="U16" s="26">
        <v>3</v>
      </c>
      <c r="V16" s="26">
        <v>4</v>
      </c>
      <c r="W16" s="26">
        <v>2</v>
      </c>
      <c r="X16" s="26">
        <v>1</v>
      </c>
      <c r="Y16" s="26">
        <v>1</v>
      </c>
      <c r="Z16" s="26">
        <v>2</v>
      </c>
      <c r="AA16" s="26">
        <v>3</v>
      </c>
      <c r="AB16" s="26">
        <v>2</v>
      </c>
      <c r="AC16" s="26">
        <v>1</v>
      </c>
      <c r="AD16" s="26">
        <v>3</v>
      </c>
      <c r="AE16" s="26">
        <v>2</v>
      </c>
      <c r="AF16" s="26">
        <v>3</v>
      </c>
      <c r="AG16" s="26">
        <v>3</v>
      </c>
      <c r="AH16" s="26">
        <v>2</v>
      </c>
      <c r="AI16" s="26">
        <v>2</v>
      </c>
      <c r="AJ16" s="26">
        <v>2</v>
      </c>
      <c r="AK16" s="26">
        <v>3</v>
      </c>
      <c r="AL16" s="26">
        <v>2</v>
      </c>
      <c r="AM16" s="26">
        <v>1</v>
      </c>
      <c r="AN16" s="26">
        <v>4</v>
      </c>
      <c r="AO16" s="26">
        <v>2</v>
      </c>
      <c r="AP16" s="26">
        <f t="shared" ref="AP16:AP19" si="2">SUM(B16:U16)</f>
        <v>43</v>
      </c>
      <c r="AQ16" s="26">
        <f t="shared" si="1"/>
        <v>45</v>
      </c>
    </row>
    <row r="17" spans="1:43" x14ac:dyDescent="0.2">
      <c r="A17" s="112" t="s">
        <v>312</v>
      </c>
      <c r="B17" s="26">
        <v>4</v>
      </c>
      <c r="C17" s="123">
        <v>4</v>
      </c>
      <c r="D17" s="26">
        <v>1</v>
      </c>
      <c r="E17" s="26">
        <v>1</v>
      </c>
      <c r="F17" s="26">
        <v>4</v>
      </c>
      <c r="G17" s="26">
        <v>1</v>
      </c>
      <c r="H17" s="26">
        <v>1</v>
      </c>
      <c r="I17" s="26">
        <v>4</v>
      </c>
      <c r="J17" s="26">
        <v>1</v>
      </c>
      <c r="K17" s="26">
        <v>4</v>
      </c>
      <c r="L17" s="26">
        <v>4</v>
      </c>
      <c r="M17" s="26">
        <v>1</v>
      </c>
      <c r="N17" s="26">
        <v>1</v>
      </c>
      <c r="O17" s="26">
        <v>1</v>
      </c>
      <c r="P17" s="26">
        <v>4</v>
      </c>
      <c r="Q17" s="26">
        <v>4</v>
      </c>
      <c r="R17" s="26">
        <v>1</v>
      </c>
      <c r="S17" s="26">
        <v>1</v>
      </c>
      <c r="T17" s="26">
        <v>4</v>
      </c>
      <c r="U17" s="26">
        <v>4</v>
      </c>
      <c r="V17" s="26">
        <v>3</v>
      </c>
      <c r="W17" s="26">
        <v>2</v>
      </c>
      <c r="X17" s="26">
        <v>2</v>
      </c>
      <c r="Y17" s="26">
        <v>1</v>
      </c>
      <c r="Z17" s="26">
        <v>3</v>
      </c>
      <c r="AA17" s="26">
        <v>3</v>
      </c>
      <c r="AB17" s="26">
        <v>3</v>
      </c>
      <c r="AC17" s="26">
        <v>2</v>
      </c>
      <c r="AD17" s="26">
        <v>2</v>
      </c>
      <c r="AE17" s="26">
        <v>3</v>
      </c>
      <c r="AF17" s="26">
        <v>1</v>
      </c>
      <c r="AG17" s="26">
        <v>2</v>
      </c>
      <c r="AH17" s="26">
        <v>3</v>
      </c>
      <c r="AI17" s="26">
        <v>3</v>
      </c>
      <c r="AJ17" s="26">
        <v>1</v>
      </c>
      <c r="AK17" s="26">
        <v>3</v>
      </c>
      <c r="AL17" s="26">
        <v>1</v>
      </c>
      <c r="AM17" s="26">
        <v>1</v>
      </c>
      <c r="AN17" s="26">
        <v>4</v>
      </c>
      <c r="AO17" s="26">
        <v>2</v>
      </c>
      <c r="AP17" s="26">
        <f t="shared" si="2"/>
        <v>50</v>
      </c>
      <c r="AQ17" s="26">
        <f t="shared" si="1"/>
        <v>45</v>
      </c>
    </row>
    <row r="18" spans="1:43" x14ac:dyDescent="0.2">
      <c r="A18" s="112" t="s">
        <v>313</v>
      </c>
      <c r="B18" s="26">
        <v>4</v>
      </c>
      <c r="C18" s="123">
        <v>4</v>
      </c>
      <c r="D18" s="26">
        <v>1</v>
      </c>
      <c r="E18" s="26">
        <v>1</v>
      </c>
      <c r="F18" s="26">
        <v>4</v>
      </c>
      <c r="G18" s="26">
        <v>1</v>
      </c>
      <c r="H18" s="26">
        <v>1</v>
      </c>
      <c r="I18" s="26">
        <v>3</v>
      </c>
      <c r="J18" s="26">
        <v>1</v>
      </c>
      <c r="K18" s="26">
        <v>3</v>
      </c>
      <c r="L18" s="26">
        <v>3</v>
      </c>
      <c r="M18" s="26">
        <v>1</v>
      </c>
      <c r="N18" s="26">
        <v>1</v>
      </c>
      <c r="O18" s="26">
        <v>1</v>
      </c>
      <c r="P18" s="26">
        <v>3</v>
      </c>
      <c r="Q18" s="26">
        <v>3</v>
      </c>
      <c r="R18" s="26">
        <v>2</v>
      </c>
      <c r="S18" s="26">
        <v>1</v>
      </c>
      <c r="T18" s="26">
        <v>3</v>
      </c>
      <c r="U18" s="26">
        <v>3</v>
      </c>
      <c r="V18" s="26">
        <v>3</v>
      </c>
      <c r="W18" s="26">
        <v>3</v>
      </c>
      <c r="X18" s="26">
        <v>1</v>
      </c>
      <c r="Y18" s="26">
        <v>1</v>
      </c>
      <c r="Z18" s="26">
        <v>1</v>
      </c>
      <c r="AA18" s="26">
        <v>2</v>
      </c>
      <c r="AB18" s="26">
        <v>2</v>
      </c>
      <c r="AC18" s="26">
        <v>1</v>
      </c>
      <c r="AD18" s="26">
        <v>1</v>
      </c>
      <c r="AE18" s="26">
        <v>2</v>
      </c>
      <c r="AF18" s="26">
        <v>1</v>
      </c>
      <c r="AG18" s="26">
        <v>1</v>
      </c>
      <c r="AH18" s="26">
        <v>2</v>
      </c>
      <c r="AI18" s="26">
        <v>1</v>
      </c>
      <c r="AJ18" s="26">
        <v>1</v>
      </c>
      <c r="AK18" s="26">
        <v>3</v>
      </c>
      <c r="AL18" s="26">
        <v>2</v>
      </c>
      <c r="AM18" s="26">
        <v>1</v>
      </c>
      <c r="AN18" s="26">
        <v>3</v>
      </c>
      <c r="AO18" s="26">
        <v>2</v>
      </c>
      <c r="AP18" s="26">
        <f t="shared" si="2"/>
        <v>44</v>
      </c>
      <c r="AQ18" s="26">
        <f t="shared" si="1"/>
        <v>34</v>
      </c>
    </row>
    <row r="19" spans="1:43" x14ac:dyDescent="0.2">
      <c r="A19" s="112" t="s">
        <v>314</v>
      </c>
      <c r="B19" s="26">
        <v>3</v>
      </c>
      <c r="C19" s="123">
        <v>3</v>
      </c>
      <c r="D19" s="26">
        <v>1</v>
      </c>
      <c r="E19" s="26">
        <v>1</v>
      </c>
      <c r="F19" s="26">
        <v>3</v>
      </c>
      <c r="G19" s="26">
        <v>1</v>
      </c>
      <c r="H19" s="26">
        <v>1</v>
      </c>
      <c r="I19" s="26">
        <v>3</v>
      </c>
      <c r="J19" s="26">
        <v>1</v>
      </c>
      <c r="K19" s="26">
        <v>2</v>
      </c>
      <c r="L19" s="26">
        <v>3</v>
      </c>
      <c r="M19" s="26">
        <v>1</v>
      </c>
      <c r="N19" s="26">
        <v>1</v>
      </c>
      <c r="O19" s="26">
        <v>1</v>
      </c>
      <c r="P19" s="26">
        <v>3</v>
      </c>
      <c r="Q19" s="26">
        <v>2</v>
      </c>
      <c r="R19" s="26">
        <v>3</v>
      </c>
      <c r="S19" s="26">
        <v>1</v>
      </c>
      <c r="T19" s="26">
        <v>1</v>
      </c>
      <c r="U19" s="26">
        <v>1</v>
      </c>
      <c r="V19" s="26">
        <v>1</v>
      </c>
      <c r="W19" s="26">
        <v>4</v>
      </c>
      <c r="X19" s="26">
        <v>2</v>
      </c>
      <c r="Y19" s="26">
        <v>1</v>
      </c>
      <c r="Z19" s="26">
        <v>2</v>
      </c>
      <c r="AA19" s="26">
        <v>1</v>
      </c>
      <c r="AB19" s="26">
        <v>3</v>
      </c>
      <c r="AC19" s="26">
        <v>2</v>
      </c>
      <c r="AD19" s="26">
        <v>2</v>
      </c>
      <c r="AE19" s="26">
        <v>1</v>
      </c>
      <c r="AF19" s="26">
        <v>2</v>
      </c>
      <c r="AG19" s="26">
        <v>2</v>
      </c>
      <c r="AH19" s="26">
        <v>3</v>
      </c>
      <c r="AI19" s="26">
        <v>3</v>
      </c>
      <c r="AJ19" s="26">
        <v>2</v>
      </c>
      <c r="AK19" s="26">
        <v>1</v>
      </c>
      <c r="AL19" s="26">
        <v>1</v>
      </c>
      <c r="AM19" s="26">
        <v>1</v>
      </c>
      <c r="AN19" s="26">
        <v>2</v>
      </c>
      <c r="AO19" s="26">
        <v>2</v>
      </c>
      <c r="AP19" s="26">
        <f t="shared" si="2"/>
        <v>36</v>
      </c>
      <c r="AQ19" s="26">
        <f t="shared" si="1"/>
        <v>38</v>
      </c>
    </row>
    <row r="20" spans="1:43" x14ac:dyDescent="0.2">
      <c r="A20" s="112" t="s">
        <v>315</v>
      </c>
      <c r="B20" s="26">
        <v>3</v>
      </c>
      <c r="C20" s="123">
        <v>3</v>
      </c>
      <c r="D20" s="26">
        <v>2</v>
      </c>
      <c r="E20" s="26">
        <v>1</v>
      </c>
      <c r="F20" s="26">
        <v>3</v>
      </c>
      <c r="G20" s="26">
        <v>1</v>
      </c>
      <c r="H20" s="26">
        <v>1</v>
      </c>
      <c r="I20" s="26">
        <v>3</v>
      </c>
      <c r="J20" s="26">
        <v>2</v>
      </c>
      <c r="K20" s="26">
        <v>3</v>
      </c>
      <c r="L20" s="26">
        <v>3</v>
      </c>
      <c r="M20" s="26">
        <v>1</v>
      </c>
      <c r="N20" s="26">
        <v>1</v>
      </c>
      <c r="O20" s="26">
        <v>1</v>
      </c>
      <c r="P20" s="26">
        <v>3</v>
      </c>
      <c r="Q20" s="26">
        <v>3</v>
      </c>
      <c r="R20" s="26">
        <v>1</v>
      </c>
      <c r="S20" s="26">
        <v>1</v>
      </c>
      <c r="T20" s="26">
        <v>3</v>
      </c>
      <c r="U20" s="26">
        <v>3</v>
      </c>
      <c r="V20" s="26">
        <v>3</v>
      </c>
      <c r="W20" s="26">
        <v>3</v>
      </c>
      <c r="X20" s="26">
        <v>2</v>
      </c>
      <c r="Y20" s="26">
        <v>2</v>
      </c>
      <c r="Z20" s="26">
        <v>1</v>
      </c>
      <c r="AA20" s="26">
        <v>2</v>
      </c>
      <c r="AB20" s="26">
        <v>3</v>
      </c>
      <c r="AC20" s="26">
        <v>2</v>
      </c>
      <c r="AD20" s="26">
        <v>2</v>
      </c>
      <c r="AE20" s="26">
        <v>3</v>
      </c>
      <c r="AF20" s="26">
        <v>2</v>
      </c>
      <c r="AG20" s="26">
        <v>2</v>
      </c>
      <c r="AH20" s="26">
        <v>3</v>
      </c>
      <c r="AI20" s="26">
        <v>2</v>
      </c>
      <c r="AJ20" s="26">
        <v>2</v>
      </c>
      <c r="AK20" s="26">
        <v>3</v>
      </c>
      <c r="AL20" s="26">
        <v>2</v>
      </c>
      <c r="AM20" s="26">
        <v>1</v>
      </c>
      <c r="AN20" s="26">
        <v>3</v>
      </c>
      <c r="AO20" s="26">
        <v>2</v>
      </c>
      <c r="AP20" s="26">
        <f>SUM(B20:U20)</f>
        <v>42</v>
      </c>
      <c r="AQ20" s="26">
        <f t="shared" si="1"/>
        <v>45</v>
      </c>
    </row>
    <row r="21" spans="1:43" x14ac:dyDescent="0.2">
      <c r="A21" s="112" t="s">
        <v>316</v>
      </c>
      <c r="B21" s="122">
        <v>2</v>
      </c>
      <c r="C21" s="315">
        <v>3</v>
      </c>
      <c r="D21" s="122">
        <v>2</v>
      </c>
      <c r="E21" s="122">
        <v>3</v>
      </c>
      <c r="F21" s="122">
        <v>2</v>
      </c>
      <c r="G21" s="122">
        <v>2</v>
      </c>
      <c r="H21" s="122">
        <v>2</v>
      </c>
      <c r="I21" s="122">
        <v>3</v>
      </c>
      <c r="J21" s="122">
        <v>2</v>
      </c>
      <c r="K21" s="122">
        <v>2</v>
      </c>
      <c r="L21" s="122">
        <v>3</v>
      </c>
      <c r="M21" s="122">
        <v>2</v>
      </c>
      <c r="N21" s="122">
        <v>3</v>
      </c>
      <c r="O21" s="122">
        <v>3</v>
      </c>
      <c r="P21" s="122">
        <v>3</v>
      </c>
      <c r="Q21" s="122">
        <v>2</v>
      </c>
      <c r="R21" s="122">
        <v>2</v>
      </c>
      <c r="S21" s="122">
        <v>1</v>
      </c>
      <c r="T21" s="122">
        <v>3</v>
      </c>
      <c r="U21" s="122">
        <v>3</v>
      </c>
      <c r="V21" s="122">
        <v>3</v>
      </c>
      <c r="W21" s="122">
        <v>3</v>
      </c>
      <c r="X21" s="122">
        <v>1</v>
      </c>
      <c r="Y21" s="122">
        <v>1</v>
      </c>
      <c r="Z21" s="122">
        <v>3</v>
      </c>
      <c r="AA21" s="122">
        <v>1</v>
      </c>
      <c r="AB21" s="122">
        <v>1</v>
      </c>
      <c r="AC21" s="122">
        <v>2</v>
      </c>
      <c r="AD21" s="122">
        <v>1</v>
      </c>
      <c r="AE21" s="122">
        <v>3</v>
      </c>
      <c r="AF21" s="122">
        <v>3</v>
      </c>
      <c r="AG21" s="122">
        <v>1</v>
      </c>
      <c r="AH21" s="122">
        <v>1</v>
      </c>
      <c r="AI21" s="122">
        <v>1</v>
      </c>
      <c r="AJ21" s="122">
        <v>1</v>
      </c>
      <c r="AK21" s="122">
        <v>3</v>
      </c>
      <c r="AL21" s="122">
        <v>3</v>
      </c>
      <c r="AM21" s="122">
        <v>2</v>
      </c>
      <c r="AN21" s="122">
        <v>3</v>
      </c>
      <c r="AO21" s="122">
        <v>3</v>
      </c>
      <c r="AP21" s="26">
        <f t="shared" ref="AP21:AP24" si="3">SUM(B21:U21)</f>
        <v>48</v>
      </c>
      <c r="AQ21" s="26">
        <f t="shared" si="1"/>
        <v>40</v>
      </c>
    </row>
    <row r="22" spans="1:43" x14ac:dyDescent="0.2">
      <c r="A22" s="316" t="s">
        <v>317</v>
      </c>
      <c r="B22" s="26">
        <v>4</v>
      </c>
      <c r="C22" s="26">
        <v>4</v>
      </c>
      <c r="D22" s="26">
        <v>1</v>
      </c>
      <c r="E22" s="26">
        <v>1</v>
      </c>
      <c r="F22" s="26">
        <v>3</v>
      </c>
      <c r="G22" s="26">
        <v>1</v>
      </c>
      <c r="H22" s="26">
        <v>1</v>
      </c>
      <c r="I22" s="26">
        <v>3</v>
      </c>
      <c r="J22" s="26">
        <v>1</v>
      </c>
      <c r="K22" s="26">
        <v>4</v>
      </c>
      <c r="L22" s="26">
        <v>3</v>
      </c>
      <c r="M22" s="26">
        <v>1</v>
      </c>
      <c r="N22" s="26">
        <v>1</v>
      </c>
      <c r="O22" s="26">
        <v>1</v>
      </c>
      <c r="P22" s="26">
        <v>3</v>
      </c>
      <c r="Q22" s="26">
        <v>3</v>
      </c>
      <c r="R22" s="26">
        <v>2</v>
      </c>
      <c r="S22" s="26">
        <v>1</v>
      </c>
      <c r="T22" s="26">
        <v>3</v>
      </c>
      <c r="U22" s="26">
        <v>3</v>
      </c>
      <c r="V22" s="26">
        <v>3</v>
      </c>
      <c r="W22" s="26">
        <v>1</v>
      </c>
      <c r="X22" s="26">
        <v>1</v>
      </c>
      <c r="Y22" s="26">
        <v>2</v>
      </c>
      <c r="Z22" s="26">
        <v>2</v>
      </c>
      <c r="AA22" s="26">
        <v>3</v>
      </c>
      <c r="AB22" s="26">
        <v>4</v>
      </c>
      <c r="AC22" s="26">
        <v>1</v>
      </c>
      <c r="AD22" s="26">
        <v>2</v>
      </c>
      <c r="AE22" s="26">
        <v>3</v>
      </c>
      <c r="AF22" s="26">
        <v>1</v>
      </c>
      <c r="AG22" s="26">
        <v>1</v>
      </c>
      <c r="AH22" s="26">
        <v>3</v>
      </c>
      <c r="AI22" s="26">
        <v>2</v>
      </c>
      <c r="AJ22" s="26">
        <v>1</v>
      </c>
      <c r="AK22" s="26">
        <v>3</v>
      </c>
      <c r="AL22" s="26">
        <v>2</v>
      </c>
      <c r="AM22" s="26">
        <v>1</v>
      </c>
      <c r="AN22" s="26">
        <v>3</v>
      </c>
      <c r="AO22" s="26">
        <v>2</v>
      </c>
      <c r="AP22" s="26">
        <f t="shared" si="3"/>
        <v>44</v>
      </c>
      <c r="AQ22" s="26">
        <f t="shared" si="1"/>
        <v>41</v>
      </c>
    </row>
    <row r="23" spans="1:43" x14ac:dyDescent="0.2">
      <c r="A23" s="316" t="s">
        <v>318</v>
      </c>
      <c r="B23" s="26">
        <v>3</v>
      </c>
      <c r="C23" s="26">
        <v>3</v>
      </c>
      <c r="D23" s="26">
        <v>2</v>
      </c>
      <c r="E23" s="26">
        <v>1</v>
      </c>
      <c r="F23" s="26">
        <v>3</v>
      </c>
      <c r="G23" s="26">
        <v>1</v>
      </c>
      <c r="H23" s="26">
        <v>2</v>
      </c>
      <c r="I23" s="26">
        <v>2</v>
      </c>
      <c r="J23" s="26">
        <v>1</v>
      </c>
      <c r="K23" s="26">
        <v>3</v>
      </c>
      <c r="L23" s="26">
        <v>2</v>
      </c>
      <c r="M23" s="26">
        <v>2</v>
      </c>
      <c r="N23" s="26">
        <v>2</v>
      </c>
      <c r="O23" s="26">
        <v>2</v>
      </c>
      <c r="P23" s="26">
        <v>3</v>
      </c>
      <c r="Q23" s="26">
        <v>3</v>
      </c>
      <c r="R23" s="26">
        <v>2</v>
      </c>
      <c r="S23" s="26">
        <v>1</v>
      </c>
      <c r="T23" s="26">
        <v>3</v>
      </c>
      <c r="U23" s="26">
        <v>3</v>
      </c>
      <c r="V23" s="26">
        <v>4</v>
      </c>
      <c r="W23" s="26">
        <v>3</v>
      </c>
      <c r="X23" s="26">
        <v>2</v>
      </c>
      <c r="Y23" s="26">
        <v>2</v>
      </c>
      <c r="Z23" s="26">
        <v>1</v>
      </c>
      <c r="AA23" s="26">
        <v>1</v>
      </c>
      <c r="AB23" s="26">
        <v>2</v>
      </c>
      <c r="AC23" s="26">
        <v>1</v>
      </c>
      <c r="AD23" s="26">
        <v>3</v>
      </c>
      <c r="AE23" s="26">
        <v>3</v>
      </c>
      <c r="AF23" s="26">
        <v>2</v>
      </c>
      <c r="AG23" s="26">
        <v>3</v>
      </c>
      <c r="AH23" s="26">
        <v>3</v>
      </c>
      <c r="AI23" s="26">
        <v>2</v>
      </c>
      <c r="AJ23" s="26">
        <v>2</v>
      </c>
      <c r="AK23" s="26">
        <v>3</v>
      </c>
      <c r="AL23" s="26">
        <v>2</v>
      </c>
      <c r="AM23" s="26">
        <v>2</v>
      </c>
      <c r="AN23" s="26">
        <v>2</v>
      </c>
      <c r="AO23" s="26">
        <v>2</v>
      </c>
      <c r="AP23" s="26">
        <f t="shared" si="3"/>
        <v>44</v>
      </c>
      <c r="AQ23" s="26">
        <f t="shared" si="1"/>
        <v>45</v>
      </c>
    </row>
    <row r="24" spans="1:43" x14ac:dyDescent="0.2">
      <c r="A24" s="316" t="s">
        <v>319</v>
      </c>
      <c r="B24" s="26">
        <v>3</v>
      </c>
      <c r="C24" s="26">
        <v>3</v>
      </c>
      <c r="D24" s="26">
        <v>2</v>
      </c>
      <c r="E24" s="26">
        <v>1</v>
      </c>
      <c r="F24" s="26">
        <v>3</v>
      </c>
      <c r="G24" s="26">
        <v>1</v>
      </c>
      <c r="H24" s="26">
        <v>1</v>
      </c>
      <c r="I24" s="26">
        <v>2</v>
      </c>
      <c r="J24" s="26">
        <v>3</v>
      </c>
      <c r="K24" s="26">
        <v>3</v>
      </c>
      <c r="L24" s="26">
        <v>3</v>
      </c>
      <c r="M24" s="26">
        <v>2</v>
      </c>
      <c r="N24" s="26">
        <v>2</v>
      </c>
      <c r="O24" s="26">
        <v>2</v>
      </c>
      <c r="P24" s="26">
        <v>1</v>
      </c>
      <c r="Q24" s="26">
        <v>3</v>
      </c>
      <c r="R24" s="26">
        <v>1</v>
      </c>
      <c r="S24" s="26">
        <v>1</v>
      </c>
      <c r="T24" s="26">
        <v>3</v>
      </c>
      <c r="U24" s="26">
        <v>3</v>
      </c>
      <c r="V24" s="26">
        <v>3</v>
      </c>
      <c r="W24" s="26">
        <v>1</v>
      </c>
      <c r="X24" s="26">
        <v>2</v>
      </c>
      <c r="Y24" s="26">
        <v>2</v>
      </c>
      <c r="Z24" s="26">
        <v>1</v>
      </c>
      <c r="AA24" s="26">
        <v>2</v>
      </c>
      <c r="AB24" s="26">
        <v>4</v>
      </c>
      <c r="AC24" s="26">
        <v>1</v>
      </c>
      <c r="AD24" s="26">
        <v>1</v>
      </c>
      <c r="AE24" s="26">
        <v>4</v>
      </c>
      <c r="AF24" s="26">
        <v>1</v>
      </c>
      <c r="AG24" s="26">
        <v>4</v>
      </c>
      <c r="AH24" s="26">
        <v>3</v>
      </c>
      <c r="AI24" s="26">
        <v>2</v>
      </c>
      <c r="AJ24" s="26">
        <v>1</v>
      </c>
      <c r="AK24" s="26">
        <v>4</v>
      </c>
      <c r="AL24" s="26">
        <v>1</v>
      </c>
      <c r="AM24" s="26">
        <v>1</v>
      </c>
      <c r="AN24" s="26">
        <v>4</v>
      </c>
      <c r="AO24" s="26">
        <v>1</v>
      </c>
      <c r="AP24" s="26">
        <f t="shared" si="3"/>
        <v>43</v>
      </c>
      <c r="AQ24" s="26">
        <f t="shared" si="1"/>
        <v>43</v>
      </c>
    </row>
    <row r="25" spans="1:43" x14ac:dyDescent="0.2">
      <c r="A25" s="112" t="s">
        <v>320</v>
      </c>
      <c r="B25" s="26">
        <v>3</v>
      </c>
      <c r="C25" s="26">
        <v>1</v>
      </c>
      <c r="D25" s="26">
        <v>1</v>
      </c>
      <c r="E25" s="26">
        <v>3</v>
      </c>
      <c r="F25" s="26">
        <v>1</v>
      </c>
      <c r="G25" s="26">
        <v>1</v>
      </c>
      <c r="H25" s="26">
        <v>2</v>
      </c>
      <c r="I25" s="26">
        <v>1</v>
      </c>
      <c r="J25" s="26">
        <v>3</v>
      </c>
      <c r="K25" s="26">
        <v>1</v>
      </c>
      <c r="L25" s="26">
        <v>1</v>
      </c>
      <c r="M25" s="26">
        <v>1</v>
      </c>
      <c r="N25" s="26">
        <v>2</v>
      </c>
      <c r="O25" s="26">
        <v>4</v>
      </c>
      <c r="P25" s="26">
        <v>3</v>
      </c>
      <c r="Q25" s="26">
        <v>2</v>
      </c>
      <c r="R25" s="26">
        <v>2</v>
      </c>
      <c r="S25" s="26">
        <v>3</v>
      </c>
      <c r="T25" s="26">
        <v>3</v>
      </c>
      <c r="U25" s="26">
        <v>3</v>
      </c>
      <c r="V25" s="26">
        <v>1</v>
      </c>
      <c r="W25" s="26">
        <v>4</v>
      </c>
      <c r="X25" s="26">
        <v>2</v>
      </c>
      <c r="Y25" s="26">
        <v>1</v>
      </c>
      <c r="Z25" s="26">
        <v>3</v>
      </c>
      <c r="AA25" s="26">
        <v>3</v>
      </c>
      <c r="AB25" s="26">
        <v>1</v>
      </c>
      <c r="AC25" s="26">
        <v>2</v>
      </c>
      <c r="AD25" s="26">
        <v>3</v>
      </c>
      <c r="AE25" s="26">
        <v>1</v>
      </c>
      <c r="AF25" s="26">
        <v>1</v>
      </c>
      <c r="AG25" s="26">
        <v>3</v>
      </c>
      <c r="AH25" s="26">
        <v>4</v>
      </c>
      <c r="AI25" s="26">
        <v>1</v>
      </c>
      <c r="AJ25" s="26">
        <v>3</v>
      </c>
      <c r="AK25" s="26">
        <v>1</v>
      </c>
      <c r="AL25" s="26">
        <v>1</v>
      </c>
      <c r="AM25" s="26">
        <v>4</v>
      </c>
      <c r="AN25" s="26">
        <v>2</v>
      </c>
      <c r="AO25" s="26" t="s">
        <v>490</v>
      </c>
      <c r="AP25" s="26">
        <f t="shared" ref="AP25:AP37" si="4">SUM(B25:U25)</f>
        <v>41</v>
      </c>
      <c r="AQ25" s="26">
        <f t="shared" si="1"/>
        <v>41</v>
      </c>
    </row>
    <row r="26" spans="1:43" x14ac:dyDescent="0.2">
      <c r="A26" s="112" t="s">
        <v>321</v>
      </c>
      <c r="B26" s="26">
        <v>3</v>
      </c>
      <c r="C26" s="26">
        <v>3</v>
      </c>
      <c r="D26" s="26">
        <v>1</v>
      </c>
      <c r="E26" s="26">
        <v>1</v>
      </c>
      <c r="F26" s="26">
        <v>3</v>
      </c>
      <c r="G26" s="26">
        <v>1</v>
      </c>
      <c r="H26" s="26">
        <v>1</v>
      </c>
      <c r="I26" s="26">
        <v>3</v>
      </c>
      <c r="J26" s="26">
        <v>1</v>
      </c>
      <c r="K26" s="26">
        <v>4</v>
      </c>
      <c r="L26" s="26">
        <v>3</v>
      </c>
      <c r="M26" s="26">
        <v>1</v>
      </c>
      <c r="N26" s="26">
        <v>1</v>
      </c>
      <c r="O26" s="26">
        <v>1</v>
      </c>
      <c r="P26" s="26">
        <v>3</v>
      </c>
      <c r="Q26" s="26">
        <v>3</v>
      </c>
      <c r="R26" s="26">
        <v>1</v>
      </c>
      <c r="S26" s="26">
        <v>1</v>
      </c>
      <c r="T26" s="26">
        <v>3</v>
      </c>
      <c r="U26" s="26">
        <v>3</v>
      </c>
      <c r="V26" s="26">
        <v>3</v>
      </c>
      <c r="W26" s="26">
        <v>2</v>
      </c>
      <c r="X26" s="26">
        <v>2</v>
      </c>
      <c r="Y26" s="26">
        <v>2</v>
      </c>
      <c r="Z26" s="26">
        <v>1</v>
      </c>
      <c r="AA26" s="26">
        <v>2</v>
      </c>
      <c r="AB26" s="26">
        <v>3</v>
      </c>
      <c r="AC26" s="26">
        <v>1</v>
      </c>
      <c r="AD26" s="26">
        <v>2</v>
      </c>
      <c r="AE26" s="26">
        <v>3</v>
      </c>
      <c r="AF26" s="26">
        <v>1</v>
      </c>
      <c r="AG26" s="26">
        <v>1</v>
      </c>
      <c r="AH26" s="26">
        <v>3</v>
      </c>
      <c r="AI26" s="26">
        <v>3</v>
      </c>
      <c r="AJ26" s="26">
        <v>2</v>
      </c>
      <c r="AK26" s="26">
        <v>3</v>
      </c>
      <c r="AL26" s="26">
        <v>1</v>
      </c>
      <c r="AM26" s="26">
        <v>1</v>
      </c>
      <c r="AN26" s="26">
        <v>4</v>
      </c>
      <c r="AO26" s="26">
        <v>2</v>
      </c>
      <c r="AP26" s="26">
        <f t="shared" si="4"/>
        <v>41</v>
      </c>
      <c r="AQ26" s="26">
        <f t="shared" si="1"/>
        <v>42</v>
      </c>
    </row>
    <row r="27" spans="1:43" x14ac:dyDescent="0.2">
      <c r="A27" s="112" t="s">
        <v>322</v>
      </c>
      <c r="B27" s="26">
        <v>3</v>
      </c>
      <c r="C27" s="26">
        <v>3</v>
      </c>
      <c r="D27" s="26">
        <v>1</v>
      </c>
      <c r="E27" s="26">
        <v>1</v>
      </c>
      <c r="F27" s="26">
        <v>3</v>
      </c>
      <c r="G27" s="26">
        <v>1</v>
      </c>
      <c r="H27" s="26">
        <v>1</v>
      </c>
      <c r="I27" s="26">
        <v>4</v>
      </c>
      <c r="J27" s="26">
        <v>4</v>
      </c>
      <c r="K27" s="26">
        <v>4</v>
      </c>
      <c r="L27" s="26">
        <v>3</v>
      </c>
      <c r="M27" s="26">
        <v>1</v>
      </c>
      <c r="N27" s="26">
        <v>1</v>
      </c>
      <c r="O27" s="26">
        <v>2</v>
      </c>
      <c r="P27" s="26">
        <v>3</v>
      </c>
      <c r="Q27" s="26">
        <v>3</v>
      </c>
      <c r="R27" s="26">
        <v>1</v>
      </c>
      <c r="S27" s="26">
        <v>2</v>
      </c>
      <c r="T27" s="26">
        <v>3</v>
      </c>
      <c r="U27" s="26">
        <v>3</v>
      </c>
      <c r="V27" s="26">
        <v>3</v>
      </c>
      <c r="W27" s="26">
        <v>2</v>
      </c>
      <c r="X27" s="26">
        <v>3</v>
      </c>
      <c r="Y27" s="26">
        <v>2</v>
      </c>
      <c r="Z27" s="26">
        <v>1</v>
      </c>
      <c r="AA27" s="26">
        <v>3</v>
      </c>
      <c r="AB27" s="26">
        <v>2</v>
      </c>
      <c r="AC27" s="26">
        <v>1</v>
      </c>
      <c r="AD27" s="26">
        <v>2</v>
      </c>
      <c r="AE27" s="26">
        <v>3</v>
      </c>
      <c r="AF27" s="26">
        <v>2</v>
      </c>
      <c r="AG27" s="26">
        <v>2</v>
      </c>
      <c r="AH27" s="26">
        <v>3</v>
      </c>
      <c r="AI27" s="26">
        <v>4</v>
      </c>
      <c r="AJ27" s="26">
        <v>2</v>
      </c>
      <c r="AK27" s="26">
        <v>3</v>
      </c>
      <c r="AL27" s="26">
        <v>1</v>
      </c>
      <c r="AM27" s="26">
        <v>1</v>
      </c>
      <c r="AN27" s="26">
        <v>4</v>
      </c>
      <c r="AO27" s="26">
        <v>2</v>
      </c>
      <c r="AP27" s="26">
        <f t="shared" si="4"/>
        <v>47</v>
      </c>
      <c r="AQ27" s="26">
        <f t="shared" si="1"/>
        <v>46</v>
      </c>
    </row>
    <row r="28" spans="1:43" x14ac:dyDescent="0.2">
      <c r="A28" s="112" t="s">
        <v>323</v>
      </c>
      <c r="B28" s="26">
        <v>3</v>
      </c>
      <c r="C28" s="26">
        <v>3</v>
      </c>
      <c r="D28" s="26">
        <v>2</v>
      </c>
      <c r="E28" s="26">
        <v>2</v>
      </c>
      <c r="F28" s="26">
        <v>2</v>
      </c>
      <c r="G28" s="26">
        <v>2</v>
      </c>
      <c r="H28" s="26">
        <v>2</v>
      </c>
      <c r="I28" s="26">
        <v>2</v>
      </c>
      <c r="J28" s="26">
        <v>3</v>
      </c>
      <c r="K28" s="26">
        <v>2</v>
      </c>
      <c r="L28" s="26">
        <v>3</v>
      </c>
      <c r="M28" s="26">
        <v>3</v>
      </c>
      <c r="N28" s="26">
        <v>2</v>
      </c>
      <c r="O28" s="26">
        <v>2</v>
      </c>
      <c r="P28" s="26">
        <v>2</v>
      </c>
      <c r="Q28" s="26">
        <v>3</v>
      </c>
      <c r="R28" s="26">
        <v>3</v>
      </c>
      <c r="S28" s="26">
        <v>2</v>
      </c>
      <c r="T28" s="26">
        <v>2</v>
      </c>
      <c r="U28" s="26">
        <v>2</v>
      </c>
      <c r="V28" s="26">
        <v>3</v>
      </c>
      <c r="W28" s="26">
        <v>2</v>
      </c>
      <c r="X28" s="26">
        <v>2</v>
      </c>
      <c r="Y28" s="26">
        <v>3</v>
      </c>
      <c r="Z28" s="26">
        <v>2</v>
      </c>
      <c r="AA28" s="26">
        <v>3</v>
      </c>
      <c r="AB28" s="26">
        <v>2</v>
      </c>
      <c r="AC28" s="26">
        <v>2</v>
      </c>
      <c r="AD28" s="26">
        <v>3</v>
      </c>
      <c r="AE28" s="26">
        <v>2</v>
      </c>
      <c r="AF28" s="26">
        <v>2</v>
      </c>
      <c r="AG28" s="26">
        <v>2</v>
      </c>
      <c r="AH28" s="26">
        <v>2</v>
      </c>
      <c r="AI28" s="26">
        <v>2</v>
      </c>
      <c r="AJ28" s="26">
        <v>2</v>
      </c>
      <c r="AK28" s="26">
        <v>3</v>
      </c>
      <c r="AL28" s="26">
        <v>1</v>
      </c>
      <c r="AM28" s="26">
        <v>1</v>
      </c>
      <c r="AN28" s="26">
        <v>2</v>
      </c>
      <c r="AO28" s="26">
        <v>3</v>
      </c>
      <c r="AP28" s="26">
        <f t="shared" si="4"/>
        <v>47</v>
      </c>
      <c r="AQ28" s="26">
        <f t="shared" si="1"/>
        <v>44</v>
      </c>
    </row>
    <row r="29" spans="1:43" x14ac:dyDescent="0.2">
      <c r="A29" s="112" t="s">
        <v>324</v>
      </c>
      <c r="B29" s="26">
        <v>3</v>
      </c>
      <c r="C29" s="26">
        <v>3</v>
      </c>
      <c r="D29" s="26">
        <v>1</v>
      </c>
      <c r="E29" s="26">
        <v>1</v>
      </c>
      <c r="F29" s="26">
        <v>3</v>
      </c>
      <c r="G29" s="26">
        <v>1</v>
      </c>
      <c r="H29" s="26">
        <v>1</v>
      </c>
      <c r="I29" s="26">
        <v>2</v>
      </c>
      <c r="J29" s="26">
        <v>1</v>
      </c>
      <c r="K29" s="26">
        <v>3</v>
      </c>
      <c r="L29" s="26">
        <v>1</v>
      </c>
      <c r="M29" s="26">
        <v>1</v>
      </c>
      <c r="N29" s="26">
        <v>1</v>
      </c>
      <c r="O29" s="26">
        <v>2</v>
      </c>
      <c r="P29" s="26">
        <v>4</v>
      </c>
      <c r="Q29" s="26">
        <v>3</v>
      </c>
      <c r="R29" s="26">
        <v>2</v>
      </c>
      <c r="S29" s="26">
        <v>2</v>
      </c>
      <c r="T29" s="26">
        <v>3</v>
      </c>
      <c r="U29" s="26">
        <v>3</v>
      </c>
      <c r="V29" s="26">
        <v>3</v>
      </c>
      <c r="W29" s="26">
        <v>1</v>
      </c>
      <c r="X29" s="26">
        <v>4</v>
      </c>
      <c r="Y29" s="26">
        <v>2</v>
      </c>
      <c r="Z29" s="26">
        <v>1</v>
      </c>
      <c r="AA29" s="26">
        <v>3</v>
      </c>
      <c r="AB29" s="26">
        <v>3</v>
      </c>
      <c r="AC29" s="26">
        <v>1</v>
      </c>
      <c r="AD29" s="26">
        <v>2</v>
      </c>
      <c r="AE29" s="26">
        <v>3</v>
      </c>
      <c r="AF29" s="26">
        <v>1</v>
      </c>
      <c r="AG29" s="26">
        <v>1</v>
      </c>
      <c r="AH29" s="26">
        <v>3</v>
      </c>
      <c r="AI29" s="26">
        <v>4</v>
      </c>
      <c r="AJ29" s="26">
        <v>1</v>
      </c>
      <c r="AK29" s="26">
        <v>3</v>
      </c>
      <c r="AL29" s="26">
        <v>1</v>
      </c>
      <c r="AM29" s="26">
        <v>1</v>
      </c>
      <c r="AN29" s="26">
        <v>4</v>
      </c>
      <c r="AO29" s="26">
        <v>2</v>
      </c>
      <c r="AP29" s="26">
        <f t="shared" si="4"/>
        <v>41</v>
      </c>
      <c r="AQ29" s="26">
        <f t="shared" si="1"/>
        <v>44</v>
      </c>
    </row>
    <row r="30" spans="1:43" x14ac:dyDescent="0.2">
      <c r="A30" s="112" t="s">
        <v>325</v>
      </c>
      <c r="B30" s="122">
        <v>3</v>
      </c>
      <c r="C30" s="122">
        <v>1</v>
      </c>
      <c r="D30" s="122">
        <v>3</v>
      </c>
      <c r="E30" s="122">
        <v>1</v>
      </c>
      <c r="F30" s="122">
        <v>1</v>
      </c>
      <c r="G30" s="122">
        <v>4</v>
      </c>
      <c r="H30" s="122">
        <v>2</v>
      </c>
      <c r="I30" s="122">
        <v>1</v>
      </c>
      <c r="J30" s="122">
        <v>2</v>
      </c>
      <c r="K30" s="122">
        <v>3</v>
      </c>
      <c r="L30" s="122">
        <v>3</v>
      </c>
      <c r="M30" s="122">
        <v>3</v>
      </c>
      <c r="N30" s="122">
        <v>4</v>
      </c>
      <c r="O30" s="122">
        <v>2</v>
      </c>
      <c r="P30" s="122">
        <v>1</v>
      </c>
      <c r="Q30" s="122">
        <v>1</v>
      </c>
      <c r="R30" s="122">
        <v>4</v>
      </c>
      <c r="S30" s="122">
        <v>2</v>
      </c>
      <c r="T30" s="122">
        <v>1</v>
      </c>
      <c r="U30" s="122">
        <v>1</v>
      </c>
      <c r="V30" s="122">
        <v>1</v>
      </c>
      <c r="W30" s="122">
        <v>3</v>
      </c>
      <c r="X30" s="122">
        <v>1</v>
      </c>
      <c r="Y30" s="122">
        <v>3</v>
      </c>
      <c r="Z30" s="122">
        <v>2</v>
      </c>
      <c r="AA30" s="122">
        <v>1</v>
      </c>
      <c r="AB30" s="122">
        <v>1</v>
      </c>
      <c r="AC30" s="122">
        <v>3</v>
      </c>
      <c r="AD30" s="122">
        <v>2</v>
      </c>
      <c r="AE30" s="122">
        <v>1</v>
      </c>
      <c r="AF30" s="122">
        <v>4</v>
      </c>
      <c r="AG30" s="122">
        <v>2</v>
      </c>
      <c r="AH30" s="122">
        <v>1</v>
      </c>
      <c r="AI30" s="122">
        <v>2</v>
      </c>
      <c r="AJ30" s="122">
        <v>1</v>
      </c>
      <c r="AK30" s="122">
        <v>1</v>
      </c>
      <c r="AL30" s="122">
        <v>4</v>
      </c>
      <c r="AM30" s="122">
        <v>2</v>
      </c>
      <c r="AN30" s="122">
        <v>3</v>
      </c>
      <c r="AO30" s="122">
        <v>4</v>
      </c>
      <c r="AP30" s="26">
        <f t="shared" si="4"/>
        <v>43</v>
      </c>
      <c r="AQ30" s="26">
        <f t="shared" si="1"/>
        <v>42</v>
      </c>
    </row>
    <row r="31" spans="1:43" x14ac:dyDescent="0.2">
      <c r="A31" s="112" t="s">
        <v>327</v>
      </c>
      <c r="B31" s="26">
        <v>3</v>
      </c>
      <c r="C31" s="26">
        <v>3</v>
      </c>
      <c r="D31" s="26">
        <v>1</v>
      </c>
      <c r="E31" s="26">
        <v>1</v>
      </c>
      <c r="F31" s="26">
        <v>4</v>
      </c>
      <c r="G31" s="26">
        <v>1</v>
      </c>
      <c r="H31" s="26">
        <v>1</v>
      </c>
      <c r="I31" s="26">
        <v>3</v>
      </c>
      <c r="J31" s="26">
        <v>1</v>
      </c>
      <c r="K31" s="26">
        <v>3</v>
      </c>
      <c r="L31" s="26">
        <v>3</v>
      </c>
      <c r="M31" s="26">
        <v>1</v>
      </c>
      <c r="N31" s="26">
        <v>1</v>
      </c>
      <c r="O31" s="26">
        <v>2</v>
      </c>
      <c r="P31" s="26">
        <v>3</v>
      </c>
      <c r="Q31" s="26">
        <v>3</v>
      </c>
      <c r="R31" s="26">
        <v>1</v>
      </c>
      <c r="S31" s="26">
        <v>1</v>
      </c>
      <c r="T31" s="26">
        <v>3</v>
      </c>
      <c r="U31" s="26">
        <v>4</v>
      </c>
      <c r="V31" s="26">
        <v>3</v>
      </c>
      <c r="W31" s="26">
        <v>2</v>
      </c>
      <c r="X31" s="26">
        <v>4</v>
      </c>
      <c r="Y31" s="26">
        <v>2</v>
      </c>
      <c r="Z31" s="26">
        <v>1</v>
      </c>
      <c r="AA31" s="26">
        <v>3</v>
      </c>
      <c r="AB31" s="26">
        <v>3</v>
      </c>
      <c r="AC31" s="26">
        <v>1</v>
      </c>
      <c r="AD31" s="26">
        <v>2</v>
      </c>
      <c r="AE31" s="26">
        <v>3</v>
      </c>
      <c r="AF31" s="26">
        <v>1</v>
      </c>
      <c r="AG31" s="26">
        <v>2</v>
      </c>
      <c r="AH31" s="26">
        <v>3</v>
      </c>
      <c r="AI31" s="26">
        <v>3</v>
      </c>
      <c r="AJ31" s="26">
        <v>2</v>
      </c>
      <c r="AK31" s="26">
        <v>3</v>
      </c>
      <c r="AL31" s="26">
        <v>1</v>
      </c>
      <c r="AM31" s="26">
        <v>4</v>
      </c>
      <c r="AN31" s="26">
        <v>3</v>
      </c>
      <c r="AO31" s="26">
        <v>3</v>
      </c>
      <c r="AP31" s="122">
        <f t="shared" si="4"/>
        <v>43</v>
      </c>
      <c r="AQ31" s="26">
        <f t="shared" si="1"/>
        <v>49</v>
      </c>
    </row>
    <row r="32" spans="1:43" s="311" customFormat="1" x14ac:dyDescent="0.2">
      <c r="A32" s="113" t="s">
        <v>329</v>
      </c>
      <c r="B32" s="27">
        <v>3</v>
      </c>
      <c r="C32" s="27">
        <v>3</v>
      </c>
      <c r="D32" s="27">
        <v>2</v>
      </c>
      <c r="E32" s="27">
        <v>2</v>
      </c>
      <c r="F32" s="27">
        <v>3</v>
      </c>
      <c r="G32" s="27">
        <v>1</v>
      </c>
      <c r="H32" s="27">
        <v>1</v>
      </c>
      <c r="I32" s="27">
        <v>2</v>
      </c>
      <c r="J32" s="27">
        <v>1</v>
      </c>
      <c r="K32" s="27">
        <v>3</v>
      </c>
      <c r="L32" s="27">
        <v>2</v>
      </c>
      <c r="M32" s="27">
        <v>2</v>
      </c>
      <c r="N32" s="27">
        <v>2</v>
      </c>
      <c r="O32" s="27">
        <v>2</v>
      </c>
      <c r="P32" s="27">
        <v>3</v>
      </c>
      <c r="Q32" s="27">
        <v>3</v>
      </c>
      <c r="R32" s="27">
        <v>1</v>
      </c>
      <c r="S32" s="27">
        <v>1</v>
      </c>
      <c r="T32" s="27">
        <v>3</v>
      </c>
      <c r="U32" s="27">
        <v>3</v>
      </c>
      <c r="V32" s="27">
        <v>3</v>
      </c>
      <c r="W32" s="27">
        <v>1</v>
      </c>
      <c r="X32" s="27">
        <v>2</v>
      </c>
      <c r="Y32" s="27">
        <v>2</v>
      </c>
      <c r="Z32" s="27">
        <v>2</v>
      </c>
      <c r="AA32" s="27">
        <v>3</v>
      </c>
      <c r="AB32" s="27">
        <v>3</v>
      </c>
      <c r="AC32" s="27">
        <v>2</v>
      </c>
      <c r="AD32" s="27">
        <v>2</v>
      </c>
      <c r="AE32" s="27">
        <v>2</v>
      </c>
      <c r="AF32" s="27">
        <v>2</v>
      </c>
      <c r="AG32" s="27">
        <v>3</v>
      </c>
      <c r="AH32" s="27">
        <v>2</v>
      </c>
      <c r="AI32" s="27">
        <v>2</v>
      </c>
      <c r="AJ32" s="27">
        <v>2</v>
      </c>
      <c r="AK32" s="27">
        <v>3</v>
      </c>
      <c r="AL32" s="27">
        <v>2</v>
      </c>
      <c r="AM32" s="27">
        <v>1</v>
      </c>
      <c r="AN32" s="27">
        <v>3</v>
      </c>
      <c r="AO32" s="27">
        <v>2</v>
      </c>
      <c r="AP32" s="27">
        <f t="shared" si="4"/>
        <v>43</v>
      </c>
      <c r="AQ32" s="27">
        <f t="shared" si="1"/>
        <v>44</v>
      </c>
    </row>
    <row r="33" spans="1:43" x14ac:dyDescent="0.2">
      <c r="A33" s="316" t="s">
        <v>330</v>
      </c>
      <c r="B33" s="26">
        <v>2</v>
      </c>
      <c r="C33" s="26">
        <v>3</v>
      </c>
      <c r="D33" s="26">
        <v>2</v>
      </c>
      <c r="E33" s="26">
        <v>3</v>
      </c>
      <c r="F33" s="26">
        <v>1</v>
      </c>
      <c r="G33" s="26">
        <v>2</v>
      </c>
      <c r="H33" s="26">
        <v>2</v>
      </c>
      <c r="I33" s="26">
        <v>3</v>
      </c>
      <c r="J33" s="26">
        <v>1</v>
      </c>
      <c r="K33" s="26">
        <v>3</v>
      </c>
      <c r="L33" s="26">
        <v>3</v>
      </c>
      <c r="M33" s="26">
        <v>2</v>
      </c>
      <c r="N33" s="26">
        <v>2</v>
      </c>
      <c r="O33" s="26">
        <v>1</v>
      </c>
      <c r="P33" s="26">
        <v>3</v>
      </c>
      <c r="Q33" s="26">
        <v>3</v>
      </c>
      <c r="R33" s="26">
        <v>2</v>
      </c>
      <c r="S33" s="26">
        <v>2</v>
      </c>
      <c r="T33" s="26">
        <v>3</v>
      </c>
      <c r="U33" s="26">
        <v>3</v>
      </c>
      <c r="V33" s="26">
        <v>3</v>
      </c>
      <c r="W33" s="26">
        <v>2</v>
      </c>
      <c r="X33" s="26">
        <v>1</v>
      </c>
      <c r="Y33" s="26">
        <v>3</v>
      </c>
      <c r="Z33" s="26">
        <v>2</v>
      </c>
      <c r="AA33" s="26">
        <v>4</v>
      </c>
      <c r="AB33" s="26">
        <v>4</v>
      </c>
      <c r="AC33" s="26">
        <v>2</v>
      </c>
      <c r="AD33" s="26">
        <v>1</v>
      </c>
      <c r="AE33" s="26">
        <v>3</v>
      </c>
      <c r="AF33" s="26">
        <v>2</v>
      </c>
      <c r="AG33" s="26">
        <v>1</v>
      </c>
      <c r="AH33" s="26">
        <v>3</v>
      </c>
      <c r="AI33" s="26">
        <v>4</v>
      </c>
      <c r="AJ33" s="26">
        <v>1</v>
      </c>
      <c r="AK33" s="26">
        <v>3</v>
      </c>
      <c r="AL33" s="26">
        <v>1</v>
      </c>
      <c r="AM33" s="26">
        <v>2</v>
      </c>
      <c r="AN33" s="26">
        <v>3</v>
      </c>
      <c r="AO33" s="26">
        <v>2</v>
      </c>
      <c r="AP33" s="27">
        <f t="shared" si="4"/>
        <v>46</v>
      </c>
      <c r="AQ33" s="27">
        <f t="shared" si="1"/>
        <v>47</v>
      </c>
    </row>
    <row r="34" spans="1:43" x14ac:dyDescent="0.2">
      <c r="A34" s="316" t="s">
        <v>331</v>
      </c>
      <c r="B34" s="26">
        <v>3</v>
      </c>
      <c r="C34" s="26">
        <v>3</v>
      </c>
      <c r="D34" s="26">
        <v>1</v>
      </c>
      <c r="E34" s="26">
        <v>2</v>
      </c>
      <c r="F34" s="26">
        <v>3</v>
      </c>
      <c r="G34" s="26">
        <v>1</v>
      </c>
      <c r="H34" s="26">
        <v>3</v>
      </c>
      <c r="I34" s="26">
        <v>2</v>
      </c>
      <c r="J34" s="26">
        <v>2</v>
      </c>
      <c r="K34" s="26">
        <v>3</v>
      </c>
      <c r="L34" s="26">
        <v>2</v>
      </c>
      <c r="M34" s="26">
        <v>1</v>
      </c>
      <c r="N34" s="26">
        <v>2</v>
      </c>
      <c r="O34" s="26">
        <v>1</v>
      </c>
      <c r="P34" s="26">
        <v>3</v>
      </c>
      <c r="Q34" s="26">
        <v>2</v>
      </c>
      <c r="R34" s="26">
        <v>2</v>
      </c>
      <c r="S34" s="26">
        <v>1</v>
      </c>
      <c r="T34" s="26">
        <v>2</v>
      </c>
      <c r="U34" s="26">
        <v>3</v>
      </c>
      <c r="V34" s="26">
        <v>2</v>
      </c>
      <c r="W34" s="26">
        <v>4</v>
      </c>
      <c r="X34" s="26">
        <v>2</v>
      </c>
      <c r="Y34" s="26">
        <v>3</v>
      </c>
      <c r="Z34" s="26">
        <v>4</v>
      </c>
      <c r="AA34" s="26">
        <v>2</v>
      </c>
      <c r="AB34" s="26">
        <v>2</v>
      </c>
      <c r="AC34" s="26">
        <v>3</v>
      </c>
      <c r="AD34" s="26">
        <v>3</v>
      </c>
      <c r="AE34" s="26">
        <v>2</v>
      </c>
      <c r="AF34" s="26">
        <v>3</v>
      </c>
      <c r="AG34" s="26">
        <v>4</v>
      </c>
      <c r="AH34" s="26">
        <v>1</v>
      </c>
      <c r="AI34" s="26">
        <v>2</v>
      </c>
      <c r="AJ34" s="26">
        <v>2</v>
      </c>
      <c r="AK34" s="26">
        <v>2</v>
      </c>
      <c r="AL34" s="26">
        <v>2</v>
      </c>
      <c r="AM34" s="26">
        <v>2</v>
      </c>
      <c r="AN34" s="26">
        <v>4</v>
      </c>
      <c r="AO34" s="26">
        <v>4</v>
      </c>
      <c r="AP34" s="27">
        <f t="shared" si="4"/>
        <v>42</v>
      </c>
      <c r="AQ34" s="27">
        <f t="shared" si="1"/>
        <v>53</v>
      </c>
    </row>
    <row r="35" spans="1:43" s="317" customFormat="1" x14ac:dyDescent="0.2">
      <c r="A35" s="113" t="s">
        <v>333</v>
      </c>
      <c r="B35" s="27">
        <v>3</v>
      </c>
      <c r="C35" s="193">
        <v>3</v>
      </c>
      <c r="D35" s="27">
        <v>1</v>
      </c>
      <c r="E35" s="27">
        <v>1</v>
      </c>
      <c r="F35" s="27">
        <v>3</v>
      </c>
      <c r="G35" s="27">
        <v>1</v>
      </c>
      <c r="H35" s="27">
        <v>1</v>
      </c>
      <c r="I35" s="27">
        <v>2</v>
      </c>
      <c r="J35" s="27">
        <v>1</v>
      </c>
      <c r="K35" s="27">
        <v>3</v>
      </c>
      <c r="L35" s="27">
        <v>1</v>
      </c>
      <c r="M35" s="27">
        <v>1</v>
      </c>
      <c r="N35" s="27">
        <v>1</v>
      </c>
      <c r="O35" s="27">
        <v>2</v>
      </c>
      <c r="P35" s="27">
        <v>3</v>
      </c>
      <c r="Q35" s="27">
        <v>3</v>
      </c>
      <c r="R35" s="27">
        <v>1</v>
      </c>
      <c r="S35" s="27">
        <v>1</v>
      </c>
      <c r="T35" s="27">
        <v>1</v>
      </c>
      <c r="U35" s="27">
        <v>3</v>
      </c>
      <c r="V35" s="27">
        <v>3</v>
      </c>
      <c r="W35" s="27">
        <v>2</v>
      </c>
      <c r="X35" s="27">
        <v>3</v>
      </c>
      <c r="Y35" s="27">
        <v>3</v>
      </c>
      <c r="Z35" s="27">
        <v>2</v>
      </c>
      <c r="AA35" s="27">
        <v>3</v>
      </c>
      <c r="AB35" s="27">
        <v>3</v>
      </c>
      <c r="AC35" s="27">
        <v>2</v>
      </c>
      <c r="AD35" s="27">
        <v>2</v>
      </c>
      <c r="AE35" s="27">
        <v>3</v>
      </c>
      <c r="AF35" s="27">
        <v>3</v>
      </c>
      <c r="AG35" s="27">
        <v>2</v>
      </c>
      <c r="AH35" s="27">
        <v>3</v>
      </c>
      <c r="AI35" s="27">
        <v>3</v>
      </c>
      <c r="AJ35" s="27">
        <v>2</v>
      </c>
      <c r="AK35" s="27">
        <v>3</v>
      </c>
      <c r="AL35" s="27">
        <v>1</v>
      </c>
      <c r="AM35" s="27">
        <v>1</v>
      </c>
      <c r="AN35" s="27">
        <v>3</v>
      </c>
      <c r="AO35" s="27">
        <v>3</v>
      </c>
      <c r="AP35" s="118">
        <f t="shared" si="4"/>
        <v>36</v>
      </c>
      <c r="AQ35" s="27">
        <f t="shared" si="1"/>
        <v>50</v>
      </c>
    </row>
    <row r="36" spans="1:43" s="317" customFormat="1" x14ac:dyDescent="0.2">
      <c r="A36" s="113" t="s">
        <v>334</v>
      </c>
      <c r="B36" s="27">
        <v>3</v>
      </c>
      <c r="C36" s="193">
        <v>3</v>
      </c>
      <c r="D36" s="27">
        <v>2</v>
      </c>
      <c r="E36" s="27">
        <v>2</v>
      </c>
      <c r="F36" s="27">
        <v>4</v>
      </c>
      <c r="G36" s="27">
        <v>1</v>
      </c>
      <c r="H36" s="27">
        <v>1</v>
      </c>
      <c r="I36" s="27">
        <v>3</v>
      </c>
      <c r="J36" s="27">
        <v>1</v>
      </c>
      <c r="K36" s="27">
        <v>4</v>
      </c>
      <c r="L36" s="27">
        <v>3</v>
      </c>
      <c r="M36" s="27">
        <v>1</v>
      </c>
      <c r="N36" s="27">
        <v>2</v>
      </c>
      <c r="O36" s="27">
        <v>2</v>
      </c>
      <c r="P36" s="27">
        <v>4</v>
      </c>
      <c r="Q36" s="27">
        <v>3</v>
      </c>
      <c r="R36" s="27">
        <v>1</v>
      </c>
      <c r="S36" s="27">
        <v>1</v>
      </c>
      <c r="T36" s="27">
        <v>3</v>
      </c>
      <c r="U36" s="27">
        <v>3</v>
      </c>
      <c r="V36" s="27">
        <v>3</v>
      </c>
      <c r="W36" s="27">
        <v>2</v>
      </c>
      <c r="X36" s="27">
        <v>3</v>
      </c>
      <c r="Y36" s="27">
        <v>3</v>
      </c>
      <c r="Z36" s="27">
        <v>2</v>
      </c>
      <c r="AA36" s="27">
        <v>3</v>
      </c>
      <c r="AB36" s="27">
        <v>3</v>
      </c>
      <c r="AC36" s="27">
        <v>1</v>
      </c>
      <c r="AD36" s="27">
        <v>3</v>
      </c>
      <c r="AE36" s="27">
        <v>3</v>
      </c>
      <c r="AF36" s="27">
        <v>2</v>
      </c>
      <c r="AG36" s="27">
        <v>3</v>
      </c>
      <c r="AH36" s="27">
        <v>2</v>
      </c>
      <c r="AI36" s="27">
        <v>3</v>
      </c>
      <c r="AJ36" s="27">
        <v>1</v>
      </c>
      <c r="AK36" s="27">
        <v>3</v>
      </c>
      <c r="AL36" s="27">
        <v>2</v>
      </c>
      <c r="AM36" s="27">
        <v>2</v>
      </c>
      <c r="AN36" s="27">
        <v>3</v>
      </c>
      <c r="AO36" s="27">
        <v>3</v>
      </c>
      <c r="AP36" s="118">
        <f t="shared" si="4"/>
        <v>47</v>
      </c>
      <c r="AQ36" s="27">
        <f t="shared" si="1"/>
        <v>50</v>
      </c>
    </row>
    <row r="37" spans="1:43" s="317" customFormat="1" x14ac:dyDescent="0.2">
      <c r="A37" s="318" t="s">
        <v>335</v>
      </c>
      <c r="B37" s="27">
        <v>3</v>
      </c>
      <c r="C37" s="27">
        <v>3</v>
      </c>
      <c r="D37" s="27">
        <v>2</v>
      </c>
      <c r="E37" s="27">
        <v>2</v>
      </c>
      <c r="F37" s="27">
        <v>3</v>
      </c>
      <c r="G37" s="27">
        <v>2</v>
      </c>
      <c r="H37" s="27">
        <v>2</v>
      </c>
      <c r="I37" s="27">
        <v>3</v>
      </c>
      <c r="J37" s="27">
        <v>2</v>
      </c>
      <c r="K37" s="27">
        <v>3</v>
      </c>
      <c r="L37" s="27">
        <v>3</v>
      </c>
      <c r="M37" s="27">
        <v>2</v>
      </c>
      <c r="N37" s="27">
        <v>2</v>
      </c>
      <c r="O37" s="27">
        <v>1</v>
      </c>
      <c r="P37" s="27">
        <v>3</v>
      </c>
      <c r="Q37" s="27">
        <v>3</v>
      </c>
      <c r="R37" s="27">
        <v>2</v>
      </c>
      <c r="S37" s="27">
        <v>1</v>
      </c>
      <c r="T37" s="27">
        <v>3</v>
      </c>
      <c r="U37" s="27">
        <v>3</v>
      </c>
      <c r="V37" s="27">
        <v>3</v>
      </c>
      <c r="W37" s="27">
        <v>2</v>
      </c>
      <c r="X37" s="27">
        <v>1</v>
      </c>
      <c r="Y37" s="27">
        <v>1</v>
      </c>
      <c r="Z37" s="27">
        <v>1</v>
      </c>
      <c r="AA37" s="27">
        <v>4</v>
      </c>
      <c r="AB37" s="27">
        <v>4</v>
      </c>
      <c r="AC37" s="27">
        <v>2</v>
      </c>
      <c r="AD37" s="27">
        <v>2</v>
      </c>
      <c r="AE37" s="27">
        <v>4</v>
      </c>
      <c r="AF37" s="27">
        <v>2</v>
      </c>
      <c r="AG37" s="27">
        <v>1</v>
      </c>
      <c r="AH37" s="27">
        <v>4</v>
      </c>
      <c r="AI37" s="27">
        <v>4</v>
      </c>
      <c r="AJ37" s="27">
        <v>1</v>
      </c>
      <c r="AK37" s="27">
        <v>4</v>
      </c>
      <c r="AL37" s="27">
        <v>1</v>
      </c>
      <c r="AM37" s="27">
        <v>1</v>
      </c>
      <c r="AN37" s="27">
        <v>4</v>
      </c>
      <c r="AO37" s="27">
        <v>2</v>
      </c>
      <c r="AP37" s="118">
        <f t="shared" si="4"/>
        <v>48</v>
      </c>
      <c r="AQ37" s="27">
        <f t="shared" si="1"/>
        <v>48</v>
      </c>
    </row>
    <row r="38" spans="1:43" s="317" customFormat="1" x14ac:dyDescent="0.2">
      <c r="A38" s="318" t="s">
        <v>336</v>
      </c>
      <c r="B38" s="27">
        <v>3</v>
      </c>
      <c r="C38" s="27">
        <v>4</v>
      </c>
      <c r="D38" s="27">
        <v>1</v>
      </c>
      <c r="E38" s="27">
        <v>1</v>
      </c>
      <c r="F38" s="27">
        <v>3</v>
      </c>
      <c r="G38" s="27">
        <v>1</v>
      </c>
      <c r="H38" s="27">
        <v>1</v>
      </c>
      <c r="I38" s="27">
        <v>3</v>
      </c>
      <c r="J38" s="27">
        <v>1</v>
      </c>
      <c r="K38" s="27">
        <v>3</v>
      </c>
      <c r="L38" s="27">
        <v>3</v>
      </c>
      <c r="M38" s="27">
        <v>1</v>
      </c>
      <c r="N38" s="27">
        <v>1</v>
      </c>
      <c r="O38" s="27">
        <v>1</v>
      </c>
      <c r="P38" s="27">
        <v>3</v>
      </c>
      <c r="Q38" s="27">
        <v>3</v>
      </c>
      <c r="R38" s="27">
        <v>1</v>
      </c>
      <c r="S38" s="27">
        <v>1</v>
      </c>
      <c r="T38" s="27">
        <v>3</v>
      </c>
      <c r="U38" s="27">
        <v>3</v>
      </c>
      <c r="V38" s="27">
        <v>3</v>
      </c>
      <c r="W38" s="27">
        <v>2</v>
      </c>
      <c r="X38" s="27">
        <v>1</v>
      </c>
      <c r="Y38" s="27">
        <v>2</v>
      </c>
      <c r="Z38" s="27">
        <v>1</v>
      </c>
      <c r="AA38" s="27">
        <v>2</v>
      </c>
      <c r="AB38" s="27">
        <v>4</v>
      </c>
      <c r="AC38" s="27">
        <v>1</v>
      </c>
      <c r="AD38" s="27">
        <v>1</v>
      </c>
      <c r="AE38" s="27">
        <v>3</v>
      </c>
      <c r="AF38" s="27">
        <v>2</v>
      </c>
      <c r="AG38" s="27">
        <v>1</v>
      </c>
      <c r="AH38" s="27">
        <v>4</v>
      </c>
      <c r="AI38" s="27">
        <v>2</v>
      </c>
      <c r="AJ38" s="27">
        <v>1</v>
      </c>
      <c r="AK38" s="27">
        <v>3</v>
      </c>
      <c r="AL38" s="27">
        <v>1</v>
      </c>
      <c r="AM38" s="27">
        <v>1</v>
      </c>
      <c r="AN38" s="27">
        <v>3</v>
      </c>
      <c r="AO38" s="27">
        <v>2</v>
      </c>
      <c r="AP38" s="27">
        <f>SUM(B38:AO38)</f>
        <v>81</v>
      </c>
      <c r="AQ38" s="27">
        <f t="shared" si="1"/>
        <v>40</v>
      </c>
    </row>
    <row r="39" spans="1:43" s="317" customFormat="1" x14ac:dyDescent="0.2">
      <c r="A39" s="318" t="s">
        <v>337</v>
      </c>
      <c r="B39" s="27">
        <v>3</v>
      </c>
      <c r="C39" s="27">
        <v>4</v>
      </c>
      <c r="D39" s="27">
        <v>2</v>
      </c>
      <c r="E39" s="27">
        <v>1</v>
      </c>
      <c r="F39" s="27">
        <v>3</v>
      </c>
      <c r="G39" s="27">
        <v>2</v>
      </c>
      <c r="H39" s="27">
        <v>3</v>
      </c>
      <c r="I39" s="27">
        <v>3</v>
      </c>
      <c r="J39" s="27">
        <v>1</v>
      </c>
      <c r="K39" s="27">
        <v>3</v>
      </c>
      <c r="L39" s="27">
        <v>3</v>
      </c>
      <c r="M39" s="27">
        <v>1</v>
      </c>
      <c r="N39" s="27">
        <v>2</v>
      </c>
      <c r="O39" s="27">
        <v>2</v>
      </c>
      <c r="P39" s="27">
        <v>3</v>
      </c>
      <c r="Q39" s="27">
        <v>2</v>
      </c>
      <c r="R39" s="27">
        <v>2</v>
      </c>
      <c r="S39" s="27">
        <v>1</v>
      </c>
      <c r="T39" s="27">
        <v>3</v>
      </c>
      <c r="U39" s="27">
        <v>3</v>
      </c>
      <c r="V39" s="27">
        <v>3</v>
      </c>
      <c r="W39" s="27">
        <v>3</v>
      </c>
      <c r="X39" s="27">
        <v>1</v>
      </c>
      <c r="Y39" s="27">
        <v>1</v>
      </c>
      <c r="Z39" s="27">
        <v>2</v>
      </c>
      <c r="AA39" s="27">
        <v>2</v>
      </c>
      <c r="AB39" s="27">
        <v>3</v>
      </c>
      <c r="AC39" s="27">
        <v>1</v>
      </c>
      <c r="AD39" s="27">
        <v>2</v>
      </c>
      <c r="AE39" s="27">
        <v>2</v>
      </c>
      <c r="AF39" s="27">
        <v>1</v>
      </c>
      <c r="AG39" s="27">
        <v>2</v>
      </c>
      <c r="AH39" s="27">
        <v>2</v>
      </c>
      <c r="AI39" s="27">
        <v>2</v>
      </c>
      <c r="AJ39" s="27">
        <v>1</v>
      </c>
      <c r="AK39" s="27">
        <v>2</v>
      </c>
      <c r="AL39" s="27">
        <v>2</v>
      </c>
      <c r="AM39" s="27">
        <v>3</v>
      </c>
      <c r="AN39" s="27">
        <v>4</v>
      </c>
      <c r="AO39" s="27">
        <v>2</v>
      </c>
      <c r="AP39" s="27">
        <f>SUM(B39:AO39)</f>
        <v>88</v>
      </c>
      <c r="AQ39" s="27">
        <f t="shared" si="1"/>
        <v>41</v>
      </c>
    </row>
    <row r="40" spans="1:43" s="317" customFormat="1" x14ac:dyDescent="0.2">
      <c r="A40" s="113" t="s">
        <v>339</v>
      </c>
      <c r="B40" s="27">
        <v>4</v>
      </c>
      <c r="C40" s="193">
        <v>4</v>
      </c>
      <c r="D40" s="27">
        <v>1</v>
      </c>
      <c r="E40" s="27">
        <v>1</v>
      </c>
      <c r="F40" s="27">
        <v>4</v>
      </c>
      <c r="G40" s="27">
        <v>1</v>
      </c>
      <c r="H40" s="27">
        <v>1</v>
      </c>
      <c r="I40" s="27">
        <v>4</v>
      </c>
      <c r="J40" s="27">
        <v>1</v>
      </c>
      <c r="K40" s="27">
        <v>4</v>
      </c>
      <c r="L40" s="27">
        <v>4</v>
      </c>
      <c r="M40" s="27">
        <v>1</v>
      </c>
      <c r="N40" s="27">
        <v>1</v>
      </c>
      <c r="O40" s="27">
        <v>1</v>
      </c>
      <c r="P40" s="27">
        <v>4</v>
      </c>
      <c r="Q40" s="27">
        <v>4</v>
      </c>
      <c r="R40" s="27">
        <v>1</v>
      </c>
      <c r="S40" s="27">
        <v>1</v>
      </c>
      <c r="T40" s="27">
        <v>4</v>
      </c>
      <c r="U40" s="27">
        <v>4</v>
      </c>
      <c r="V40" s="27">
        <v>3</v>
      </c>
      <c r="W40" s="27">
        <v>2</v>
      </c>
      <c r="X40" s="27">
        <v>2</v>
      </c>
      <c r="Y40" s="27">
        <v>1</v>
      </c>
      <c r="Z40" s="27">
        <v>3</v>
      </c>
      <c r="AA40" s="27">
        <v>3</v>
      </c>
      <c r="AB40" s="27">
        <v>3</v>
      </c>
      <c r="AC40" s="27">
        <v>2</v>
      </c>
      <c r="AD40" s="27">
        <v>2</v>
      </c>
      <c r="AE40" s="27">
        <v>3</v>
      </c>
      <c r="AF40" s="27">
        <v>1</v>
      </c>
      <c r="AG40" s="27">
        <v>2</v>
      </c>
      <c r="AH40" s="27">
        <v>3</v>
      </c>
      <c r="AI40" s="27">
        <v>3</v>
      </c>
      <c r="AJ40" s="27">
        <v>1</v>
      </c>
      <c r="AK40" s="27">
        <v>3</v>
      </c>
      <c r="AL40" s="27">
        <v>1</v>
      </c>
      <c r="AM40" s="27">
        <v>1</v>
      </c>
      <c r="AN40" s="27">
        <v>4</v>
      </c>
      <c r="AO40" s="27">
        <v>2</v>
      </c>
      <c r="AP40" s="27">
        <f>SUM(B40:U40)</f>
        <v>50</v>
      </c>
      <c r="AQ40" s="27">
        <f t="shared" si="1"/>
        <v>45</v>
      </c>
    </row>
    <row r="41" spans="1:43" x14ac:dyDescent="0.2">
      <c r="A41" s="319" t="s">
        <v>342</v>
      </c>
      <c r="B41" s="26">
        <v>3</v>
      </c>
      <c r="C41" s="26">
        <v>3</v>
      </c>
      <c r="D41" s="26">
        <v>1</v>
      </c>
      <c r="E41" s="26">
        <v>2</v>
      </c>
      <c r="F41" s="26">
        <v>3</v>
      </c>
      <c r="G41" s="26">
        <v>1</v>
      </c>
      <c r="H41" s="26">
        <v>2</v>
      </c>
      <c r="I41" s="26">
        <v>3</v>
      </c>
      <c r="J41" s="26">
        <v>2</v>
      </c>
      <c r="K41" s="26">
        <v>3</v>
      </c>
      <c r="L41" s="26">
        <v>3</v>
      </c>
      <c r="M41" s="26">
        <v>2</v>
      </c>
      <c r="N41" s="26">
        <v>1</v>
      </c>
      <c r="O41" s="26">
        <v>1</v>
      </c>
      <c r="P41" s="26">
        <v>3</v>
      </c>
      <c r="Q41" s="26">
        <v>3</v>
      </c>
      <c r="R41" s="26">
        <v>2</v>
      </c>
      <c r="S41" s="26">
        <v>1</v>
      </c>
      <c r="T41" s="26">
        <v>3</v>
      </c>
      <c r="U41" s="26">
        <v>3</v>
      </c>
      <c r="V41" s="26">
        <v>3</v>
      </c>
      <c r="W41" s="26">
        <v>2</v>
      </c>
      <c r="X41" s="26">
        <v>2</v>
      </c>
      <c r="Y41" s="26">
        <v>1</v>
      </c>
      <c r="Z41" s="26">
        <v>2</v>
      </c>
      <c r="AA41" s="26">
        <v>2</v>
      </c>
      <c r="AB41" s="26">
        <v>2</v>
      </c>
      <c r="AC41" s="26">
        <v>2</v>
      </c>
      <c r="AD41" s="26">
        <v>2</v>
      </c>
      <c r="AE41" s="26">
        <v>2</v>
      </c>
      <c r="AF41" s="26">
        <v>2</v>
      </c>
      <c r="AG41" s="26">
        <v>2</v>
      </c>
      <c r="AH41" s="26">
        <v>2</v>
      </c>
      <c r="AI41" s="26">
        <v>3</v>
      </c>
      <c r="AJ41" s="26">
        <v>2</v>
      </c>
      <c r="AK41" s="26">
        <v>2</v>
      </c>
      <c r="AL41" s="26">
        <v>2</v>
      </c>
      <c r="AM41" s="26">
        <v>3</v>
      </c>
      <c r="AN41" s="26">
        <v>2</v>
      </c>
      <c r="AO41" s="26">
        <v>2</v>
      </c>
      <c r="AP41" s="26">
        <f>SUM(B41:AO41)</f>
        <v>87</v>
      </c>
      <c r="AQ41" s="27">
        <f t="shared" ref="AQ41:AQ42" si="5">SUM(V41:AO41)</f>
        <v>42</v>
      </c>
    </row>
    <row r="42" spans="1:43" x14ac:dyDescent="0.2">
      <c r="A42" s="116" t="s">
        <v>343</v>
      </c>
      <c r="B42" s="26">
        <v>3</v>
      </c>
      <c r="C42" s="123">
        <v>3</v>
      </c>
      <c r="D42" s="26">
        <v>2</v>
      </c>
      <c r="E42" s="26">
        <v>1</v>
      </c>
      <c r="F42" s="26">
        <v>3</v>
      </c>
      <c r="G42" s="26">
        <v>1</v>
      </c>
      <c r="H42" s="26">
        <v>1</v>
      </c>
      <c r="I42" s="26">
        <v>3</v>
      </c>
      <c r="J42" s="26">
        <v>2</v>
      </c>
      <c r="K42" s="26">
        <v>3</v>
      </c>
      <c r="L42" s="26">
        <v>3</v>
      </c>
      <c r="M42" s="26">
        <v>1</v>
      </c>
      <c r="N42" s="26">
        <v>1</v>
      </c>
      <c r="O42" s="26">
        <v>1</v>
      </c>
      <c r="P42" s="26">
        <v>3</v>
      </c>
      <c r="Q42" s="26">
        <v>3</v>
      </c>
      <c r="R42" s="26">
        <v>1</v>
      </c>
      <c r="S42" s="26">
        <v>1</v>
      </c>
      <c r="T42" s="26">
        <v>3</v>
      </c>
      <c r="U42" s="26">
        <v>3</v>
      </c>
      <c r="V42" s="26">
        <v>3</v>
      </c>
      <c r="W42" s="26">
        <v>3</v>
      </c>
      <c r="X42" s="26">
        <v>2</v>
      </c>
      <c r="Y42" s="26">
        <v>2</v>
      </c>
      <c r="Z42" s="26">
        <v>1</v>
      </c>
      <c r="AA42" s="26">
        <v>2</v>
      </c>
      <c r="AB42" s="26">
        <v>3</v>
      </c>
      <c r="AC42" s="26">
        <v>2</v>
      </c>
      <c r="AD42" s="26">
        <v>2</v>
      </c>
      <c r="AE42" s="26">
        <v>3</v>
      </c>
      <c r="AF42" s="26">
        <v>2</v>
      </c>
      <c r="AG42" s="26">
        <v>2</v>
      </c>
      <c r="AH42" s="26">
        <v>3</v>
      </c>
      <c r="AI42" s="26">
        <v>2</v>
      </c>
      <c r="AJ42" s="26">
        <v>2</v>
      </c>
      <c r="AK42" s="26">
        <v>3</v>
      </c>
      <c r="AL42" s="26">
        <v>2</v>
      </c>
      <c r="AM42" s="26">
        <v>1</v>
      </c>
      <c r="AN42" s="26">
        <v>3</v>
      </c>
      <c r="AO42" s="26">
        <v>2</v>
      </c>
      <c r="AP42" s="26">
        <f>SUM(B42:AO42)</f>
        <v>87</v>
      </c>
      <c r="AQ42" s="27">
        <f t="shared" si="5"/>
        <v>45</v>
      </c>
    </row>
    <row r="43" spans="1:43" x14ac:dyDescent="0.2">
      <c r="A43" s="112" t="s">
        <v>345</v>
      </c>
      <c r="B43" s="183">
        <v>3</v>
      </c>
      <c r="C43" s="26">
        <v>3</v>
      </c>
      <c r="D43" s="26">
        <v>2</v>
      </c>
      <c r="E43" s="26">
        <v>2</v>
      </c>
      <c r="F43" s="26">
        <v>3</v>
      </c>
      <c r="G43" s="26">
        <v>2</v>
      </c>
      <c r="H43" s="26">
        <v>1</v>
      </c>
      <c r="I43" s="26">
        <v>2</v>
      </c>
      <c r="J43" s="26">
        <v>1</v>
      </c>
      <c r="K43" s="26">
        <v>2</v>
      </c>
      <c r="L43" s="26">
        <v>3</v>
      </c>
      <c r="M43" s="26">
        <v>2</v>
      </c>
      <c r="N43" s="26">
        <v>1</v>
      </c>
      <c r="O43" s="26">
        <v>1</v>
      </c>
      <c r="P43" s="26">
        <v>3</v>
      </c>
      <c r="Q43" s="26">
        <v>2</v>
      </c>
      <c r="R43" s="26">
        <v>1</v>
      </c>
      <c r="S43" s="26">
        <v>1</v>
      </c>
      <c r="T43" s="26">
        <v>3</v>
      </c>
      <c r="U43" s="26">
        <v>3</v>
      </c>
      <c r="V43" s="26">
        <v>3</v>
      </c>
      <c r="W43" s="26">
        <v>2</v>
      </c>
      <c r="X43" s="26">
        <v>2</v>
      </c>
      <c r="Y43" s="26">
        <v>3</v>
      </c>
      <c r="Z43" s="26">
        <v>2</v>
      </c>
      <c r="AA43" s="26">
        <v>2</v>
      </c>
      <c r="AB43" s="26">
        <v>2</v>
      </c>
      <c r="AC43" s="26">
        <v>3</v>
      </c>
      <c r="AD43" s="26">
        <v>2</v>
      </c>
      <c r="AE43" s="26">
        <v>2</v>
      </c>
      <c r="AF43" s="26">
        <v>2</v>
      </c>
      <c r="AG43" s="26">
        <v>2</v>
      </c>
      <c r="AH43" s="26">
        <v>1</v>
      </c>
      <c r="AI43" s="26">
        <v>3</v>
      </c>
      <c r="AJ43" s="26">
        <v>2</v>
      </c>
      <c r="AK43" s="26">
        <v>3</v>
      </c>
      <c r="AL43" s="26">
        <v>2</v>
      </c>
      <c r="AM43" s="26">
        <v>1</v>
      </c>
      <c r="AN43" s="26">
        <v>2</v>
      </c>
      <c r="AO43" s="26">
        <v>3</v>
      </c>
      <c r="AP43" s="26">
        <f>SUM(B43:U43)</f>
        <v>41</v>
      </c>
      <c r="AQ43" s="27">
        <f t="shared" ref="AQ43" si="6">SUM(V43:AO43)</f>
        <v>44</v>
      </c>
    </row>
    <row r="44" spans="1:43" s="33" customFormat="1" x14ac:dyDescent="0.2">
      <c r="A44" s="320" t="s">
        <v>347</v>
      </c>
      <c r="B44" s="196">
        <v>4</v>
      </c>
      <c r="C44" s="321">
        <v>3</v>
      </c>
      <c r="D44" s="196">
        <v>2</v>
      </c>
      <c r="E44" s="196">
        <v>1</v>
      </c>
      <c r="F44" s="196">
        <v>3</v>
      </c>
      <c r="G44" s="196">
        <v>1</v>
      </c>
      <c r="H44" s="196">
        <v>1</v>
      </c>
      <c r="I44" s="196">
        <v>3</v>
      </c>
      <c r="J44" s="196">
        <v>1</v>
      </c>
      <c r="K44" s="196">
        <v>3</v>
      </c>
      <c r="L44" s="196">
        <v>3</v>
      </c>
      <c r="M44" s="196">
        <v>1</v>
      </c>
      <c r="N44" s="196">
        <v>1</v>
      </c>
      <c r="O44" s="196">
        <v>1</v>
      </c>
      <c r="P44" s="196">
        <v>4</v>
      </c>
      <c r="Q44" s="196">
        <v>3</v>
      </c>
      <c r="R44" s="196">
        <v>2</v>
      </c>
      <c r="S44" s="196">
        <v>1</v>
      </c>
      <c r="T44" s="196">
        <v>3</v>
      </c>
      <c r="U44" s="196">
        <v>3</v>
      </c>
      <c r="V44" s="196">
        <v>4</v>
      </c>
      <c r="W44" s="196">
        <v>1</v>
      </c>
      <c r="X44" s="196">
        <v>3</v>
      </c>
      <c r="Y44" s="196">
        <v>2</v>
      </c>
      <c r="Z44" s="196">
        <v>1</v>
      </c>
      <c r="AA44" s="196">
        <v>2</v>
      </c>
      <c r="AB44" s="196">
        <v>4</v>
      </c>
      <c r="AC44" s="196">
        <v>1</v>
      </c>
      <c r="AD44" s="196">
        <v>2</v>
      </c>
      <c r="AE44" s="196">
        <v>4</v>
      </c>
      <c r="AF44" s="196">
        <v>2</v>
      </c>
      <c r="AG44" s="196">
        <v>1</v>
      </c>
      <c r="AH44" s="196">
        <v>4</v>
      </c>
      <c r="AI44" s="196">
        <v>4</v>
      </c>
      <c r="AJ44" s="196">
        <v>1</v>
      </c>
      <c r="AK44" s="196">
        <v>4</v>
      </c>
      <c r="AL44" s="196">
        <v>2</v>
      </c>
      <c r="AM44" s="196">
        <v>1</v>
      </c>
      <c r="AN44" s="196">
        <v>4</v>
      </c>
      <c r="AO44" s="196">
        <v>2</v>
      </c>
      <c r="AP44" s="26">
        <f t="shared" ref="AP44:AP53" si="7">SUM(B44:U44)</f>
        <v>44</v>
      </c>
      <c r="AQ44" s="27">
        <f t="shared" ref="AQ44:AQ53" si="8">SUM(V44:AO44)</f>
        <v>49</v>
      </c>
    </row>
    <row r="45" spans="1:43" s="33" customFormat="1" x14ac:dyDescent="0.2">
      <c r="A45" s="112" t="s">
        <v>348</v>
      </c>
      <c r="B45" s="26">
        <v>4</v>
      </c>
      <c r="C45" s="123">
        <v>3</v>
      </c>
      <c r="D45" s="26">
        <v>1</v>
      </c>
      <c r="E45" s="26">
        <v>1</v>
      </c>
      <c r="F45" s="26">
        <v>3</v>
      </c>
      <c r="G45" s="26">
        <v>1</v>
      </c>
      <c r="H45" s="26">
        <v>3</v>
      </c>
      <c r="I45" s="26">
        <v>3</v>
      </c>
      <c r="J45" s="26">
        <v>1</v>
      </c>
      <c r="K45" s="26">
        <v>3</v>
      </c>
      <c r="L45" s="26">
        <v>3</v>
      </c>
      <c r="M45" s="26">
        <v>1</v>
      </c>
      <c r="N45" s="26">
        <v>1</v>
      </c>
      <c r="O45" s="26">
        <v>3</v>
      </c>
      <c r="P45" s="26">
        <v>3</v>
      </c>
      <c r="Q45" s="26">
        <v>2</v>
      </c>
      <c r="R45" s="26">
        <v>3</v>
      </c>
      <c r="S45" s="26">
        <v>1</v>
      </c>
      <c r="T45" s="26">
        <v>3</v>
      </c>
      <c r="U45" s="26">
        <v>3</v>
      </c>
      <c r="V45" s="26">
        <v>3</v>
      </c>
      <c r="W45" s="26">
        <v>2</v>
      </c>
      <c r="X45" s="26">
        <v>3</v>
      </c>
      <c r="Y45" s="26">
        <v>2</v>
      </c>
      <c r="Z45" s="26">
        <v>2</v>
      </c>
      <c r="AA45" s="26">
        <v>3</v>
      </c>
      <c r="AB45" s="26">
        <v>3</v>
      </c>
      <c r="AC45" s="26">
        <v>2</v>
      </c>
      <c r="AD45" s="26">
        <v>2</v>
      </c>
      <c r="AE45" s="26">
        <v>1</v>
      </c>
      <c r="AF45" s="26">
        <v>2</v>
      </c>
      <c r="AG45" s="26">
        <v>2</v>
      </c>
      <c r="AH45" s="26">
        <v>2</v>
      </c>
      <c r="AI45" s="26">
        <v>2</v>
      </c>
      <c r="AJ45" s="26">
        <v>2</v>
      </c>
      <c r="AK45" s="26">
        <v>3</v>
      </c>
      <c r="AL45" s="26">
        <v>2</v>
      </c>
      <c r="AM45" s="26">
        <v>2</v>
      </c>
      <c r="AN45" s="26">
        <v>3</v>
      </c>
      <c r="AO45" s="26">
        <v>2</v>
      </c>
      <c r="AP45" s="26">
        <f t="shared" si="7"/>
        <v>46</v>
      </c>
      <c r="AQ45" s="27">
        <f t="shared" si="8"/>
        <v>45</v>
      </c>
    </row>
    <row r="46" spans="1:43" s="33" customFormat="1" x14ac:dyDescent="0.2">
      <c r="A46" s="112" t="s">
        <v>349</v>
      </c>
      <c r="B46" s="26">
        <v>2</v>
      </c>
      <c r="C46" s="123">
        <v>2</v>
      </c>
      <c r="D46" s="26">
        <v>3</v>
      </c>
      <c r="E46" s="26">
        <v>2</v>
      </c>
      <c r="F46" s="26">
        <v>3</v>
      </c>
      <c r="G46" s="26">
        <v>2</v>
      </c>
      <c r="H46" s="26">
        <v>2</v>
      </c>
      <c r="I46" s="26">
        <v>3</v>
      </c>
      <c r="J46" s="26">
        <v>2</v>
      </c>
      <c r="K46" s="26">
        <v>3</v>
      </c>
      <c r="L46" s="26">
        <v>2</v>
      </c>
      <c r="M46" s="26">
        <v>2</v>
      </c>
      <c r="N46" s="26">
        <v>2</v>
      </c>
      <c r="O46" s="26">
        <v>2</v>
      </c>
      <c r="P46" s="26">
        <v>2</v>
      </c>
      <c r="Q46" s="26">
        <v>2</v>
      </c>
      <c r="R46" s="26">
        <v>3</v>
      </c>
      <c r="S46" s="26">
        <v>2</v>
      </c>
      <c r="T46" s="26">
        <v>2</v>
      </c>
      <c r="U46" s="26">
        <v>3</v>
      </c>
      <c r="V46" s="26">
        <v>3</v>
      </c>
      <c r="W46" s="26">
        <v>3</v>
      </c>
      <c r="X46" s="26">
        <v>2</v>
      </c>
      <c r="Y46" s="26">
        <v>3</v>
      </c>
      <c r="Z46" s="26">
        <v>2</v>
      </c>
      <c r="AA46" s="26">
        <v>2</v>
      </c>
      <c r="AB46" s="26">
        <v>2</v>
      </c>
      <c r="AC46" s="26">
        <v>2</v>
      </c>
      <c r="AD46" s="26">
        <v>2</v>
      </c>
      <c r="AE46" s="26">
        <v>1</v>
      </c>
      <c r="AF46" s="26">
        <v>3</v>
      </c>
      <c r="AG46" s="26">
        <v>2</v>
      </c>
      <c r="AH46" s="26">
        <v>2</v>
      </c>
      <c r="AI46" s="26">
        <v>2</v>
      </c>
      <c r="AJ46" s="26">
        <v>2</v>
      </c>
      <c r="AK46" s="26">
        <v>1</v>
      </c>
      <c r="AL46" s="26">
        <v>2</v>
      </c>
      <c r="AM46" s="26">
        <v>3</v>
      </c>
      <c r="AN46" s="26">
        <v>4</v>
      </c>
      <c r="AO46" s="26">
        <v>2</v>
      </c>
      <c r="AP46" s="26">
        <f t="shared" si="7"/>
        <v>46</v>
      </c>
      <c r="AQ46" s="27">
        <f t="shared" si="8"/>
        <v>45</v>
      </c>
    </row>
    <row r="47" spans="1:43" s="33" customFormat="1" x14ac:dyDescent="0.2">
      <c r="A47" s="112" t="s">
        <v>350</v>
      </c>
      <c r="B47" s="26">
        <v>4</v>
      </c>
      <c r="C47" s="123">
        <v>4</v>
      </c>
      <c r="D47" s="26">
        <v>1</v>
      </c>
      <c r="E47" s="26">
        <v>2</v>
      </c>
      <c r="F47" s="26">
        <v>2</v>
      </c>
      <c r="G47" s="26">
        <v>2</v>
      </c>
      <c r="H47" s="26">
        <v>4</v>
      </c>
      <c r="I47" s="26">
        <v>3</v>
      </c>
      <c r="J47" s="26">
        <v>1</v>
      </c>
      <c r="K47" s="26">
        <v>3</v>
      </c>
      <c r="L47" s="26">
        <v>2</v>
      </c>
      <c r="M47" s="26">
        <v>2</v>
      </c>
      <c r="N47" s="26">
        <v>1</v>
      </c>
      <c r="O47" s="26">
        <v>2</v>
      </c>
      <c r="P47" s="26">
        <v>3</v>
      </c>
      <c r="Q47" s="26">
        <v>2</v>
      </c>
      <c r="R47" s="26">
        <v>2</v>
      </c>
      <c r="S47" s="26">
        <v>1</v>
      </c>
      <c r="T47" s="26">
        <v>1</v>
      </c>
      <c r="U47" s="26">
        <v>3</v>
      </c>
      <c r="V47" s="26">
        <v>3</v>
      </c>
      <c r="W47" s="26">
        <v>2</v>
      </c>
      <c r="X47" s="26">
        <v>2</v>
      </c>
      <c r="Y47" s="26">
        <v>2</v>
      </c>
      <c r="Z47" s="26">
        <v>1</v>
      </c>
      <c r="AA47" s="26">
        <v>2</v>
      </c>
      <c r="AB47" s="26">
        <v>4</v>
      </c>
      <c r="AC47" s="26">
        <v>2</v>
      </c>
      <c r="AD47" s="26">
        <v>3</v>
      </c>
      <c r="AE47" s="26">
        <v>3</v>
      </c>
      <c r="AF47" s="26">
        <v>2</v>
      </c>
      <c r="AG47" s="26">
        <v>3</v>
      </c>
      <c r="AH47" s="26">
        <v>2</v>
      </c>
      <c r="AI47" s="26">
        <v>2</v>
      </c>
      <c r="AJ47" s="26">
        <v>2</v>
      </c>
      <c r="AK47" s="26">
        <v>2</v>
      </c>
      <c r="AL47" s="26">
        <v>3</v>
      </c>
      <c r="AM47" s="26">
        <v>2</v>
      </c>
      <c r="AN47" s="26">
        <v>2</v>
      </c>
      <c r="AO47" s="26">
        <v>3</v>
      </c>
      <c r="AP47" s="26">
        <f t="shared" si="7"/>
        <v>45</v>
      </c>
      <c r="AQ47" s="27">
        <f t="shared" si="8"/>
        <v>47</v>
      </c>
    </row>
    <row r="48" spans="1:43" s="33" customFormat="1" x14ac:dyDescent="0.2">
      <c r="A48" s="112" t="s">
        <v>351</v>
      </c>
      <c r="B48" s="26">
        <v>3</v>
      </c>
      <c r="C48" s="123">
        <v>3</v>
      </c>
      <c r="D48" s="26">
        <v>2</v>
      </c>
      <c r="E48" s="26">
        <v>1</v>
      </c>
      <c r="F48" s="26">
        <v>1</v>
      </c>
      <c r="G48" s="26">
        <v>1</v>
      </c>
      <c r="H48" s="26">
        <v>1</v>
      </c>
      <c r="I48" s="26">
        <v>3</v>
      </c>
      <c r="J48" s="26">
        <v>1</v>
      </c>
      <c r="K48" s="26">
        <v>3</v>
      </c>
      <c r="L48" s="26">
        <v>3</v>
      </c>
      <c r="M48" s="26">
        <v>1</v>
      </c>
      <c r="N48" s="26">
        <v>1</v>
      </c>
      <c r="O48" s="26">
        <v>2</v>
      </c>
      <c r="P48" s="26">
        <v>4</v>
      </c>
      <c r="Q48" s="26">
        <v>4</v>
      </c>
      <c r="R48" s="26">
        <v>1</v>
      </c>
      <c r="S48" s="26">
        <v>1</v>
      </c>
      <c r="T48" s="26">
        <v>2</v>
      </c>
      <c r="U48" s="26">
        <v>3</v>
      </c>
      <c r="V48" s="26">
        <v>2</v>
      </c>
      <c r="W48" s="26">
        <v>2</v>
      </c>
      <c r="X48" s="26">
        <v>2</v>
      </c>
      <c r="Y48" s="26">
        <v>1</v>
      </c>
      <c r="Z48" s="26">
        <v>1</v>
      </c>
      <c r="AA48" s="26">
        <v>2</v>
      </c>
      <c r="AB48" s="26">
        <v>3</v>
      </c>
      <c r="AC48" s="26">
        <v>1</v>
      </c>
      <c r="AD48" s="26">
        <v>2</v>
      </c>
      <c r="AE48" s="26">
        <v>3</v>
      </c>
      <c r="AF48" s="26">
        <v>1</v>
      </c>
      <c r="AG48" s="26">
        <v>3</v>
      </c>
      <c r="AH48" s="26">
        <v>3</v>
      </c>
      <c r="AI48" s="26">
        <v>3</v>
      </c>
      <c r="AJ48" s="26">
        <v>1</v>
      </c>
      <c r="AK48" s="26">
        <v>3</v>
      </c>
      <c r="AL48" s="26">
        <v>2</v>
      </c>
      <c r="AM48" s="26">
        <v>1</v>
      </c>
      <c r="AN48" s="26">
        <v>4</v>
      </c>
      <c r="AO48" s="26">
        <v>2</v>
      </c>
      <c r="AP48" s="26">
        <f t="shared" si="7"/>
        <v>41</v>
      </c>
      <c r="AQ48" s="27">
        <f t="shared" si="8"/>
        <v>42</v>
      </c>
    </row>
    <row r="49" spans="1:43" s="33" customFormat="1" x14ac:dyDescent="0.2">
      <c r="A49" s="112" t="s">
        <v>352</v>
      </c>
      <c r="B49" s="26">
        <v>3</v>
      </c>
      <c r="C49" s="123">
        <v>3</v>
      </c>
      <c r="D49" s="26">
        <v>1</v>
      </c>
      <c r="E49" s="26">
        <v>1</v>
      </c>
      <c r="F49" s="26">
        <v>4</v>
      </c>
      <c r="G49" s="26">
        <v>1</v>
      </c>
      <c r="H49" s="26">
        <v>1</v>
      </c>
      <c r="I49" s="26">
        <v>3</v>
      </c>
      <c r="J49" s="26">
        <v>1</v>
      </c>
      <c r="K49" s="26">
        <v>3</v>
      </c>
      <c r="L49" s="26">
        <v>3</v>
      </c>
      <c r="M49" s="26">
        <v>1</v>
      </c>
      <c r="N49" s="26">
        <v>1</v>
      </c>
      <c r="O49" s="26">
        <v>2</v>
      </c>
      <c r="P49" s="26">
        <v>4</v>
      </c>
      <c r="Q49" s="26">
        <v>3</v>
      </c>
      <c r="R49" s="26">
        <v>1</v>
      </c>
      <c r="S49" s="26">
        <v>1</v>
      </c>
      <c r="T49" s="26">
        <v>3</v>
      </c>
      <c r="U49" s="26">
        <v>3</v>
      </c>
      <c r="V49" s="26">
        <v>3</v>
      </c>
      <c r="W49" s="26">
        <v>2</v>
      </c>
      <c r="X49" s="26">
        <v>3</v>
      </c>
      <c r="Y49" s="26">
        <v>2</v>
      </c>
      <c r="Z49" s="26">
        <v>1</v>
      </c>
      <c r="AA49" s="26">
        <v>2</v>
      </c>
      <c r="AB49" s="26">
        <v>2</v>
      </c>
      <c r="AC49" s="26">
        <v>2</v>
      </c>
      <c r="AD49" s="26">
        <v>1</v>
      </c>
      <c r="AE49" s="26">
        <v>3</v>
      </c>
      <c r="AF49" s="26">
        <v>1</v>
      </c>
      <c r="AG49" s="26">
        <v>2</v>
      </c>
      <c r="AH49" s="26">
        <v>2</v>
      </c>
      <c r="AI49" s="26">
        <v>2</v>
      </c>
      <c r="AJ49" s="26">
        <v>1</v>
      </c>
      <c r="AK49" s="26">
        <v>3</v>
      </c>
      <c r="AL49" s="26">
        <v>1</v>
      </c>
      <c r="AM49" s="26">
        <v>1</v>
      </c>
      <c r="AN49" s="26">
        <v>3</v>
      </c>
      <c r="AO49" s="26">
        <v>1</v>
      </c>
      <c r="AP49" s="26">
        <f t="shared" si="7"/>
        <v>43</v>
      </c>
      <c r="AQ49" s="27">
        <f t="shared" si="8"/>
        <v>38</v>
      </c>
    </row>
    <row r="50" spans="1:43" s="33" customFormat="1" x14ac:dyDescent="0.2">
      <c r="A50" s="112" t="s">
        <v>353</v>
      </c>
      <c r="B50" s="26">
        <v>4</v>
      </c>
      <c r="C50" s="123">
        <v>2</v>
      </c>
      <c r="D50" s="26">
        <v>2</v>
      </c>
      <c r="E50" s="26">
        <v>1</v>
      </c>
      <c r="F50" s="26">
        <v>3</v>
      </c>
      <c r="G50" s="26">
        <v>2</v>
      </c>
      <c r="H50" s="26">
        <v>1</v>
      </c>
      <c r="I50" s="26">
        <v>3</v>
      </c>
      <c r="J50" s="26">
        <v>1</v>
      </c>
      <c r="K50" s="26">
        <v>3</v>
      </c>
      <c r="L50" s="26">
        <v>2</v>
      </c>
      <c r="M50" s="26">
        <v>2</v>
      </c>
      <c r="N50" s="26">
        <v>1</v>
      </c>
      <c r="O50" s="26">
        <v>1</v>
      </c>
      <c r="P50" s="26">
        <v>2</v>
      </c>
      <c r="Q50" s="26">
        <v>4</v>
      </c>
      <c r="R50" s="26">
        <v>1</v>
      </c>
      <c r="S50" s="26">
        <v>1</v>
      </c>
      <c r="T50" s="26">
        <v>3</v>
      </c>
      <c r="U50" s="26">
        <v>3</v>
      </c>
      <c r="V50" s="26">
        <v>3</v>
      </c>
      <c r="W50" s="26">
        <v>2</v>
      </c>
      <c r="X50" s="26">
        <v>3</v>
      </c>
      <c r="Y50" s="26">
        <v>1</v>
      </c>
      <c r="Z50" s="26">
        <v>1</v>
      </c>
      <c r="AA50" s="26">
        <v>3</v>
      </c>
      <c r="AB50" s="26">
        <v>4</v>
      </c>
      <c r="AC50" s="26">
        <v>2</v>
      </c>
      <c r="AD50" s="26">
        <v>2</v>
      </c>
      <c r="AE50" s="26">
        <v>3</v>
      </c>
      <c r="AF50" s="26">
        <v>2</v>
      </c>
      <c r="AG50" s="26">
        <v>2</v>
      </c>
      <c r="AH50" s="26">
        <v>2</v>
      </c>
      <c r="AI50" s="26">
        <v>4</v>
      </c>
      <c r="AJ50" s="26">
        <v>1</v>
      </c>
      <c r="AK50" s="26">
        <v>3</v>
      </c>
      <c r="AL50" s="26">
        <v>1</v>
      </c>
      <c r="AM50" s="26">
        <v>1</v>
      </c>
      <c r="AN50" s="26">
        <v>3</v>
      </c>
      <c r="AO50" s="26">
        <v>1</v>
      </c>
      <c r="AP50" s="26">
        <f t="shared" si="7"/>
        <v>42</v>
      </c>
      <c r="AQ50" s="27">
        <f t="shared" si="8"/>
        <v>44</v>
      </c>
    </row>
    <row r="51" spans="1:43" s="33" customFormat="1" x14ac:dyDescent="0.2">
      <c r="A51" s="112" t="s">
        <v>354</v>
      </c>
      <c r="B51" s="26">
        <v>4</v>
      </c>
      <c r="C51" s="123">
        <v>4</v>
      </c>
      <c r="D51" s="26">
        <v>1</v>
      </c>
      <c r="E51" s="26">
        <v>1</v>
      </c>
      <c r="F51" s="26">
        <v>4</v>
      </c>
      <c r="G51" s="26">
        <v>1</v>
      </c>
      <c r="H51" s="26">
        <v>1</v>
      </c>
      <c r="I51" s="26">
        <v>4</v>
      </c>
      <c r="J51" s="26">
        <v>1</v>
      </c>
      <c r="K51" s="26">
        <v>4</v>
      </c>
      <c r="L51" s="26">
        <v>4</v>
      </c>
      <c r="M51" s="26">
        <v>2</v>
      </c>
      <c r="N51" s="26">
        <v>1</v>
      </c>
      <c r="O51" s="26">
        <v>1</v>
      </c>
      <c r="P51" s="26">
        <v>3</v>
      </c>
      <c r="Q51" s="26">
        <v>3</v>
      </c>
      <c r="R51" s="26">
        <v>1</v>
      </c>
      <c r="S51" s="26">
        <v>1</v>
      </c>
      <c r="T51" s="26">
        <v>3</v>
      </c>
      <c r="U51" s="26">
        <v>3</v>
      </c>
      <c r="V51" s="26">
        <v>3</v>
      </c>
      <c r="W51" s="26">
        <v>2</v>
      </c>
      <c r="X51" s="26">
        <v>4</v>
      </c>
      <c r="Y51" s="26">
        <v>1</v>
      </c>
      <c r="Z51" s="26">
        <v>1</v>
      </c>
      <c r="AA51" s="26">
        <v>3</v>
      </c>
      <c r="AB51" s="26">
        <v>4</v>
      </c>
      <c r="AC51" s="26">
        <v>2</v>
      </c>
      <c r="AD51" s="26">
        <v>1</v>
      </c>
      <c r="AE51" s="26">
        <v>3</v>
      </c>
      <c r="AF51" s="26">
        <v>2</v>
      </c>
      <c r="AG51" s="26">
        <v>1</v>
      </c>
      <c r="AH51" s="26">
        <v>3</v>
      </c>
      <c r="AI51" s="26">
        <v>4</v>
      </c>
      <c r="AJ51" s="26">
        <v>1</v>
      </c>
      <c r="AK51" s="26">
        <v>3</v>
      </c>
      <c r="AL51" s="26">
        <v>2</v>
      </c>
      <c r="AM51" s="26">
        <v>1</v>
      </c>
      <c r="AN51" s="26">
        <v>3</v>
      </c>
      <c r="AO51" s="26">
        <v>2</v>
      </c>
      <c r="AP51" s="26">
        <f t="shared" si="7"/>
        <v>47</v>
      </c>
      <c r="AQ51" s="27">
        <f t="shared" si="8"/>
        <v>46</v>
      </c>
    </row>
    <row r="52" spans="1:43" s="33" customFormat="1" x14ac:dyDescent="0.2">
      <c r="A52" s="112" t="s">
        <v>355</v>
      </c>
      <c r="B52" s="26">
        <v>4</v>
      </c>
      <c r="C52" s="123">
        <v>3</v>
      </c>
      <c r="D52" s="26">
        <v>3</v>
      </c>
      <c r="E52" s="26">
        <v>3</v>
      </c>
      <c r="F52" s="26">
        <v>3</v>
      </c>
      <c r="G52" s="26">
        <v>1</v>
      </c>
      <c r="H52" s="26">
        <v>1</v>
      </c>
      <c r="I52" s="26">
        <v>4</v>
      </c>
      <c r="J52" s="26">
        <v>1</v>
      </c>
      <c r="K52" s="26">
        <v>3</v>
      </c>
      <c r="L52" s="26">
        <v>3</v>
      </c>
      <c r="M52" s="26">
        <v>2</v>
      </c>
      <c r="N52" s="26">
        <v>1</v>
      </c>
      <c r="O52" s="26">
        <v>1</v>
      </c>
      <c r="P52" s="26">
        <v>2</v>
      </c>
      <c r="Q52" s="26">
        <v>3</v>
      </c>
      <c r="R52" s="26">
        <v>2</v>
      </c>
      <c r="S52" s="26">
        <v>1</v>
      </c>
      <c r="T52" s="26">
        <v>3</v>
      </c>
      <c r="U52" s="26">
        <v>3</v>
      </c>
      <c r="V52" s="26">
        <v>3</v>
      </c>
      <c r="W52" s="26">
        <v>2</v>
      </c>
      <c r="X52" s="26">
        <v>3</v>
      </c>
      <c r="Y52" s="26">
        <v>1</v>
      </c>
      <c r="Z52" s="26">
        <v>1</v>
      </c>
      <c r="AA52" s="26">
        <v>3</v>
      </c>
      <c r="AB52" s="26">
        <v>4</v>
      </c>
      <c r="AC52" s="26">
        <v>1</v>
      </c>
      <c r="AD52" s="26">
        <v>1</v>
      </c>
      <c r="AE52" s="26">
        <v>3</v>
      </c>
      <c r="AF52" s="26">
        <v>1</v>
      </c>
      <c r="AG52" s="26">
        <v>1</v>
      </c>
      <c r="AH52" s="26">
        <v>3</v>
      </c>
      <c r="AI52" s="26">
        <v>4</v>
      </c>
      <c r="AJ52" s="26">
        <v>1</v>
      </c>
      <c r="AK52" s="26">
        <v>3</v>
      </c>
      <c r="AL52" s="26">
        <v>1</v>
      </c>
      <c r="AM52" s="26">
        <v>1</v>
      </c>
      <c r="AN52" s="26">
        <v>3</v>
      </c>
      <c r="AO52" s="26">
        <v>1</v>
      </c>
      <c r="AP52" s="26">
        <f t="shared" si="7"/>
        <v>47</v>
      </c>
      <c r="AQ52" s="27">
        <f t="shared" si="8"/>
        <v>41</v>
      </c>
    </row>
    <row r="53" spans="1:43" s="33" customFormat="1" x14ac:dyDescent="0.2">
      <c r="A53" s="112" t="s">
        <v>356</v>
      </c>
      <c r="B53" s="26">
        <v>4</v>
      </c>
      <c r="C53" s="123">
        <v>4</v>
      </c>
      <c r="D53" s="26">
        <v>1</v>
      </c>
      <c r="E53" s="26">
        <v>1</v>
      </c>
      <c r="F53" s="26">
        <v>4</v>
      </c>
      <c r="G53" s="26">
        <v>1</v>
      </c>
      <c r="H53" s="26">
        <v>1</v>
      </c>
      <c r="I53" s="26">
        <v>4</v>
      </c>
      <c r="J53" s="26">
        <v>1</v>
      </c>
      <c r="K53" s="26">
        <v>4</v>
      </c>
      <c r="L53" s="26">
        <v>4</v>
      </c>
      <c r="M53" s="26">
        <v>1</v>
      </c>
      <c r="N53" s="26">
        <v>1</v>
      </c>
      <c r="O53" s="26">
        <v>1</v>
      </c>
      <c r="P53" s="26">
        <v>4</v>
      </c>
      <c r="Q53" s="26">
        <v>3</v>
      </c>
      <c r="R53" s="26">
        <v>1</v>
      </c>
      <c r="S53" s="26">
        <v>1</v>
      </c>
      <c r="T53" s="26">
        <v>4</v>
      </c>
      <c r="U53" s="26">
        <v>4</v>
      </c>
      <c r="V53" s="26">
        <v>3</v>
      </c>
      <c r="W53" s="26">
        <v>1</v>
      </c>
      <c r="X53" s="26">
        <v>4</v>
      </c>
      <c r="Y53" s="26">
        <v>2</v>
      </c>
      <c r="Z53" s="26">
        <v>1</v>
      </c>
      <c r="AA53" s="26">
        <v>4</v>
      </c>
      <c r="AB53" s="26">
        <v>3</v>
      </c>
      <c r="AC53" s="26">
        <v>2</v>
      </c>
      <c r="AD53" s="26">
        <v>1</v>
      </c>
      <c r="AE53" s="26">
        <v>3</v>
      </c>
      <c r="AF53" s="26">
        <v>2</v>
      </c>
      <c r="AG53" s="26">
        <v>2</v>
      </c>
      <c r="AH53" s="26">
        <v>3</v>
      </c>
      <c r="AI53" s="26">
        <v>4</v>
      </c>
      <c r="AJ53" s="26">
        <v>2</v>
      </c>
      <c r="AK53" s="26">
        <v>3</v>
      </c>
      <c r="AL53" s="26">
        <v>1</v>
      </c>
      <c r="AM53" s="26">
        <v>2</v>
      </c>
      <c r="AN53" s="26">
        <v>4</v>
      </c>
      <c r="AO53" s="26">
        <v>1</v>
      </c>
      <c r="AP53" s="26">
        <f t="shared" si="7"/>
        <v>49</v>
      </c>
      <c r="AQ53" s="27">
        <f t="shared" si="8"/>
        <v>48</v>
      </c>
    </row>
    <row r="54" spans="1:43" s="33" customFormat="1" x14ac:dyDescent="0.2">
      <c r="A54" s="112" t="s">
        <v>358</v>
      </c>
      <c r="B54" s="26">
        <v>3</v>
      </c>
      <c r="C54" s="123">
        <v>3</v>
      </c>
      <c r="D54" s="26">
        <v>1</v>
      </c>
      <c r="E54" s="26">
        <v>1</v>
      </c>
      <c r="F54" s="26">
        <v>1</v>
      </c>
      <c r="G54" s="26">
        <v>1</v>
      </c>
      <c r="H54" s="26">
        <v>2</v>
      </c>
      <c r="I54" s="26">
        <v>3</v>
      </c>
      <c r="J54" s="26">
        <v>1</v>
      </c>
      <c r="K54" s="26">
        <v>1</v>
      </c>
      <c r="L54" s="26">
        <v>3</v>
      </c>
      <c r="M54" s="26">
        <v>1</v>
      </c>
      <c r="N54" s="26">
        <v>1</v>
      </c>
      <c r="O54" s="26">
        <v>1</v>
      </c>
      <c r="P54" s="26">
        <v>1</v>
      </c>
      <c r="Q54" s="26">
        <v>1</v>
      </c>
      <c r="R54" s="26">
        <v>2</v>
      </c>
      <c r="S54" s="26">
        <v>1</v>
      </c>
      <c r="T54" s="26">
        <v>1</v>
      </c>
      <c r="U54" s="26">
        <v>3</v>
      </c>
      <c r="V54" s="26">
        <v>3</v>
      </c>
      <c r="W54" s="26">
        <v>2</v>
      </c>
      <c r="X54" s="26">
        <v>3</v>
      </c>
      <c r="Y54" s="26">
        <v>1</v>
      </c>
      <c r="Z54" s="26">
        <v>1</v>
      </c>
      <c r="AA54" s="26">
        <v>2</v>
      </c>
      <c r="AB54" s="26">
        <v>4</v>
      </c>
      <c r="AC54" s="26">
        <v>2</v>
      </c>
      <c r="AD54" s="26">
        <v>3</v>
      </c>
      <c r="AE54" s="26">
        <v>3</v>
      </c>
      <c r="AF54" s="26">
        <v>2</v>
      </c>
      <c r="AG54" s="26">
        <v>1</v>
      </c>
      <c r="AH54" s="26">
        <v>4</v>
      </c>
      <c r="AI54" s="26">
        <v>4</v>
      </c>
      <c r="AJ54" s="26">
        <v>2</v>
      </c>
      <c r="AK54" s="26">
        <v>4</v>
      </c>
      <c r="AL54" s="26">
        <v>2</v>
      </c>
      <c r="AM54" s="26">
        <v>2</v>
      </c>
      <c r="AN54" s="26">
        <v>4</v>
      </c>
      <c r="AO54" s="26">
        <v>4</v>
      </c>
      <c r="AP54" s="26">
        <f t="shared" ref="AP54:AP68" si="9">SUM(B54:U54)</f>
        <v>32</v>
      </c>
      <c r="AQ54" s="27">
        <f t="shared" ref="AQ54:AQ89" si="10">SUM(V54:AO54)</f>
        <v>53</v>
      </c>
    </row>
    <row r="55" spans="1:43" s="33" customFormat="1" x14ac:dyDescent="0.2">
      <c r="A55" s="112" t="s">
        <v>359</v>
      </c>
      <c r="B55" s="26">
        <v>3</v>
      </c>
      <c r="C55" s="26">
        <v>3</v>
      </c>
      <c r="D55" s="26">
        <v>1</v>
      </c>
      <c r="E55" s="26">
        <v>1</v>
      </c>
      <c r="F55" s="26">
        <v>2</v>
      </c>
      <c r="G55" s="26">
        <v>3</v>
      </c>
      <c r="H55" s="26">
        <v>3</v>
      </c>
      <c r="I55" s="26">
        <v>2</v>
      </c>
      <c r="J55" s="26">
        <v>2</v>
      </c>
      <c r="K55" s="26">
        <v>3</v>
      </c>
      <c r="L55" s="26">
        <v>3</v>
      </c>
      <c r="M55" s="26">
        <v>1</v>
      </c>
      <c r="N55" s="26">
        <v>2</v>
      </c>
      <c r="O55" s="26">
        <v>2</v>
      </c>
      <c r="P55" s="26">
        <v>3</v>
      </c>
      <c r="Q55" s="26">
        <v>3</v>
      </c>
      <c r="R55" s="26">
        <v>2</v>
      </c>
      <c r="S55" s="26">
        <v>2</v>
      </c>
      <c r="T55" s="26">
        <v>3</v>
      </c>
      <c r="U55" s="26">
        <v>2</v>
      </c>
      <c r="V55" s="26">
        <v>2</v>
      </c>
      <c r="W55" s="26">
        <v>1</v>
      </c>
      <c r="X55" s="26">
        <v>2</v>
      </c>
      <c r="Y55" s="26">
        <v>3</v>
      </c>
      <c r="Z55" s="26">
        <v>1</v>
      </c>
      <c r="AA55" s="26">
        <v>2</v>
      </c>
      <c r="AB55" s="26">
        <v>3</v>
      </c>
      <c r="AC55" s="26">
        <v>2</v>
      </c>
      <c r="AD55" s="26">
        <v>2</v>
      </c>
      <c r="AE55" s="26">
        <v>2</v>
      </c>
      <c r="AF55" s="26">
        <v>2</v>
      </c>
      <c r="AG55" s="26">
        <v>3</v>
      </c>
      <c r="AH55" s="26">
        <v>2</v>
      </c>
      <c r="AI55" s="26">
        <v>2</v>
      </c>
      <c r="AJ55" s="26">
        <v>1</v>
      </c>
      <c r="AK55" s="26">
        <v>2</v>
      </c>
      <c r="AL55" s="26">
        <v>2</v>
      </c>
      <c r="AM55" s="26">
        <v>2</v>
      </c>
      <c r="AN55" s="26">
        <v>2</v>
      </c>
      <c r="AO55" s="26">
        <v>2</v>
      </c>
      <c r="AP55" s="26">
        <f t="shared" si="9"/>
        <v>46</v>
      </c>
      <c r="AQ55" s="27">
        <f t="shared" si="10"/>
        <v>40</v>
      </c>
    </row>
    <row r="56" spans="1:43" s="33" customFormat="1" x14ac:dyDescent="0.2">
      <c r="A56" s="112" t="s">
        <v>360</v>
      </c>
      <c r="B56" s="26">
        <v>3</v>
      </c>
      <c r="C56" s="123">
        <v>3</v>
      </c>
      <c r="D56" s="26">
        <v>1</v>
      </c>
      <c r="E56" s="26">
        <v>1</v>
      </c>
      <c r="F56" s="26">
        <v>3</v>
      </c>
      <c r="G56" s="26">
        <v>1</v>
      </c>
      <c r="H56" s="26">
        <v>1</v>
      </c>
      <c r="I56" s="26">
        <v>3</v>
      </c>
      <c r="J56" s="26">
        <v>1</v>
      </c>
      <c r="K56" s="26">
        <v>3</v>
      </c>
      <c r="L56" s="26">
        <v>3</v>
      </c>
      <c r="M56" s="26">
        <v>1</v>
      </c>
      <c r="N56" s="26">
        <v>1</v>
      </c>
      <c r="O56" s="26">
        <v>2</v>
      </c>
      <c r="P56" s="26">
        <v>3</v>
      </c>
      <c r="Q56" s="26">
        <v>3</v>
      </c>
      <c r="R56" s="26">
        <v>1</v>
      </c>
      <c r="S56" s="26">
        <v>1</v>
      </c>
      <c r="T56" s="26">
        <v>3</v>
      </c>
      <c r="U56" s="26">
        <v>3</v>
      </c>
      <c r="V56" s="26">
        <v>3</v>
      </c>
      <c r="W56" s="26">
        <v>1</v>
      </c>
      <c r="X56" s="26">
        <v>3</v>
      </c>
      <c r="Y56" s="26">
        <v>3</v>
      </c>
      <c r="Z56" s="26">
        <v>1</v>
      </c>
      <c r="AA56" s="26">
        <v>3</v>
      </c>
      <c r="AB56" s="26">
        <v>3</v>
      </c>
      <c r="AC56" s="26">
        <v>1</v>
      </c>
      <c r="AD56" s="26">
        <v>1</v>
      </c>
      <c r="AE56" s="26">
        <v>3</v>
      </c>
      <c r="AF56" s="26">
        <v>1</v>
      </c>
      <c r="AG56" s="26">
        <v>2</v>
      </c>
      <c r="AH56" s="26">
        <v>3</v>
      </c>
      <c r="AI56" s="26">
        <v>2</v>
      </c>
      <c r="AJ56" s="26">
        <v>1</v>
      </c>
      <c r="AK56" s="26">
        <v>3</v>
      </c>
      <c r="AL56" s="26">
        <v>2</v>
      </c>
      <c r="AM56" s="26">
        <v>3</v>
      </c>
      <c r="AN56" s="26">
        <v>3</v>
      </c>
      <c r="AO56" s="26">
        <v>1</v>
      </c>
      <c r="AP56" s="26">
        <f t="shared" si="9"/>
        <v>41</v>
      </c>
      <c r="AQ56" s="27">
        <f t="shared" si="10"/>
        <v>43</v>
      </c>
    </row>
    <row r="57" spans="1:43" s="33" customFormat="1" x14ac:dyDescent="0.2">
      <c r="A57" s="112" t="s">
        <v>361</v>
      </c>
      <c r="B57" s="26">
        <v>3</v>
      </c>
      <c r="C57" s="123">
        <v>3</v>
      </c>
      <c r="D57" s="26">
        <v>1</v>
      </c>
      <c r="E57" s="26">
        <v>1</v>
      </c>
      <c r="F57" s="26">
        <v>3</v>
      </c>
      <c r="G57" s="26">
        <v>1</v>
      </c>
      <c r="H57" s="26">
        <v>2</v>
      </c>
      <c r="I57" s="26">
        <v>3</v>
      </c>
      <c r="J57" s="26">
        <v>1</v>
      </c>
      <c r="K57" s="26">
        <v>3</v>
      </c>
      <c r="L57" s="26">
        <v>3</v>
      </c>
      <c r="M57" s="26">
        <v>2</v>
      </c>
      <c r="N57" s="26">
        <v>1</v>
      </c>
      <c r="O57" s="26">
        <v>1</v>
      </c>
      <c r="P57" s="26">
        <v>3</v>
      </c>
      <c r="Q57" s="26">
        <v>3</v>
      </c>
      <c r="R57" s="26">
        <v>1</v>
      </c>
      <c r="S57" s="26">
        <v>1</v>
      </c>
      <c r="T57" s="26">
        <v>3</v>
      </c>
      <c r="U57" s="26">
        <v>3</v>
      </c>
      <c r="V57" s="26">
        <v>4</v>
      </c>
      <c r="W57" s="26">
        <v>2</v>
      </c>
      <c r="X57" s="26">
        <v>3</v>
      </c>
      <c r="Y57" s="26">
        <v>3</v>
      </c>
      <c r="Z57" s="26">
        <v>1</v>
      </c>
      <c r="AA57" s="26">
        <v>3</v>
      </c>
      <c r="AB57" s="26">
        <v>3</v>
      </c>
      <c r="AC57" s="26">
        <v>2</v>
      </c>
      <c r="AD57" s="26">
        <v>3</v>
      </c>
      <c r="AE57" s="26">
        <v>4</v>
      </c>
      <c r="AF57" s="26">
        <v>2</v>
      </c>
      <c r="AG57" s="26">
        <v>1</v>
      </c>
      <c r="AH57" s="26">
        <v>3</v>
      </c>
      <c r="AI57" s="26">
        <v>3</v>
      </c>
      <c r="AJ57" s="26">
        <v>1</v>
      </c>
      <c r="AK57" s="26">
        <v>3</v>
      </c>
      <c r="AL57" s="26">
        <v>1</v>
      </c>
      <c r="AM57" s="26">
        <v>1</v>
      </c>
      <c r="AN57" s="26">
        <v>3</v>
      </c>
      <c r="AO57" s="26">
        <v>1</v>
      </c>
      <c r="AP57" s="26">
        <f t="shared" si="9"/>
        <v>42</v>
      </c>
      <c r="AQ57" s="27">
        <f t="shared" si="10"/>
        <v>47</v>
      </c>
    </row>
    <row r="58" spans="1:43" s="33" customFormat="1" x14ac:dyDescent="0.2">
      <c r="A58" s="112" t="s">
        <v>362</v>
      </c>
      <c r="B58" s="26">
        <v>3</v>
      </c>
      <c r="C58" s="123">
        <v>3</v>
      </c>
      <c r="D58" s="26">
        <v>1</v>
      </c>
      <c r="E58" s="26">
        <v>1</v>
      </c>
      <c r="F58" s="26">
        <v>3</v>
      </c>
      <c r="G58" s="26">
        <v>3</v>
      </c>
      <c r="H58" s="26">
        <v>1</v>
      </c>
      <c r="I58" s="26">
        <v>4</v>
      </c>
      <c r="J58" s="26">
        <v>1</v>
      </c>
      <c r="K58" s="26">
        <v>4</v>
      </c>
      <c r="L58" s="26">
        <v>3</v>
      </c>
      <c r="M58" s="26">
        <v>1</v>
      </c>
      <c r="N58" s="26">
        <v>1</v>
      </c>
      <c r="O58" s="26">
        <v>1</v>
      </c>
      <c r="P58" s="26">
        <v>3</v>
      </c>
      <c r="Q58" s="26">
        <v>4</v>
      </c>
      <c r="R58" s="26">
        <v>1</v>
      </c>
      <c r="S58" s="26">
        <v>1</v>
      </c>
      <c r="T58" s="26">
        <v>3</v>
      </c>
      <c r="U58" s="26">
        <v>4</v>
      </c>
      <c r="V58" s="26">
        <v>4</v>
      </c>
      <c r="W58" s="26">
        <v>1</v>
      </c>
      <c r="X58" s="26">
        <v>3</v>
      </c>
      <c r="Y58" s="26">
        <v>1</v>
      </c>
      <c r="Z58" s="26">
        <v>1</v>
      </c>
      <c r="AA58" s="26">
        <v>3</v>
      </c>
      <c r="AB58" s="26">
        <v>3</v>
      </c>
      <c r="AC58" s="26">
        <v>1</v>
      </c>
      <c r="AD58" s="26">
        <v>1</v>
      </c>
      <c r="AE58" s="26">
        <v>3</v>
      </c>
      <c r="AF58" s="26">
        <v>1</v>
      </c>
      <c r="AG58" s="26">
        <v>1</v>
      </c>
      <c r="AH58" s="26">
        <v>4</v>
      </c>
      <c r="AI58" s="26">
        <v>3</v>
      </c>
      <c r="AJ58" s="26">
        <v>1</v>
      </c>
      <c r="AK58" s="26">
        <v>4</v>
      </c>
      <c r="AL58" s="26">
        <v>1</v>
      </c>
      <c r="AM58" s="26">
        <v>1</v>
      </c>
      <c r="AN58" s="26">
        <v>4</v>
      </c>
      <c r="AO58" s="26">
        <v>1</v>
      </c>
      <c r="AP58" s="26">
        <f t="shared" si="9"/>
        <v>46</v>
      </c>
      <c r="AQ58" s="27">
        <f t="shared" si="10"/>
        <v>42</v>
      </c>
    </row>
    <row r="59" spans="1:43" s="33" customFormat="1" x14ac:dyDescent="0.2">
      <c r="A59" s="112" t="s">
        <v>363</v>
      </c>
      <c r="B59" s="26">
        <v>1</v>
      </c>
      <c r="C59" s="26">
        <v>1</v>
      </c>
      <c r="D59" s="26">
        <v>4</v>
      </c>
      <c r="E59" s="26">
        <v>4</v>
      </c>
      <c r="F59" s="26">
        <v>1</v>
      </c>
      <c r="G59" s="26">
        <v>4</v>
      </c>
      <c r="H59" s="26">
        <v>1</v>
      </c>
      <c r="I59" s="26">
        <v>2</v>
      </c>
      <c r="J59" s="26">
        <v>2</v>
      </c>
      <c r="K59" s="26">
        <v>1</v>
      </c>
      <c r="L59" s="26">
        <v>1</v>
      </c>
      <c r="M59" s="26">
        <v>4</v>
      </c>
      <c r="N59" s="26">
        <v>4</v>
      </c>
      <c r="O59" s="26">
        <v>2</v>
      </c>
      <c r="P59" s="26">
        <v>1</v>
      </c>
      <c r="Q59" s="26">
        <v>1</v>
      </c>
      <c r="R59" s="26">
        <v>4</v>
      </c>
      <c r="S59" s="26">
        <v>4</v>
      </c>
      <c r="T59" s="26">
        <v>1</v>
      </c>
      <c r="U59" s="26">
        <v>1</v>
      </c>
      <c r="V59" s="26">
        <v>4</v>
      </c>
      <c r="W59" s="26">
        <v>2</v>
      </c>
      <c r="X59" s="26">
        <v>4</v>
      </c>
      <c r="Y59" s="26">
        <v>1</v>
      </c>
      <c r="Z59" s="26">
        <v>1</v>
      </c>
      <c r="AA59" s="26">
        <v>4</v>
      </c>
      <c r="AB59" s="26">
        <v>4</v>
      </c>
      <c r="AC59" s="26">
        <v>1</v>
      </c>
      <c r="AD59" s="26">
        <v>1</v>
      </c>
      <c r="AE59" s="26">
        <v>4</v>
      </c>
      <c r="AF59" s="26">
        <v>1</v>
      </c>
      <c r="AG59" s="26">
        <v>1</v>
      </c>
      <c r="AH59" s="26">
        <v>4</v>
      </c>
      <c r="AI59" s="26">
        <v>4</v>
      </c>
      <c r="AJ59" s="26">
        <v>1</v>
      </c>
      <c r="AK59" s="26">
        <v>4</v>
      </c>
      <c r="AL59" s="26">
        <v>1</v>
      </c>
      <c r="AM59" s="26">
        <v>1</v>
      </c>
      <c r="AN59" s="26">
        <v>2</v>
      </c>
      <c r="AO59" s="26">
        <v>2</v>
      </c>
      <c r="AP59" s="26">
        <f t="shared" si="9"/>
        <v>44</v>
      </c>
      <c r="AQ59" s="27">
        <f t="shared" si="10"/>
        <v>47</v>
      </c>
    </row>
    <row r="60" spans="1:43" s="33" customFormat="1" x14ac:dyDescent="0.2">
      <c r="A60" s="112" t="s">
        <v>364</v>
      </c>
      <c r="B60" s="26">
        <v>4</v>
      </c>
      <c r="C60" s="26">
        <v>3</v>
      </c>
      <c r="D60" s="26">
        <v>1</v>
      </c>
      <c r="E60" s="26">
        <v>2</v>
      </c>
      <c r="F60" s="26">
        <v>3</v>
      </c>
      <c r="G60" s="26">
        <v>1</v>
      </c>
      <c r="H60" s="26">
        <v>1</v>
      </c>
      <c r="I60" s="26">
        <v>3</v>
      </c>
      <c r="J60" s="26">
        <v>1</v>
      </c>
      <c r="K60" s="26">
        <v>3</v>
      </c>
      <c r="L60" s="26">
        <v>3</v>
      </c>
      <c r="M60" s="26">
        <v>1</v>
      </c>
      <c r="N60" s="26">
        <v>1</v>
      </c>
      <c r="O60" s="26">
        <v>2</v>
      </c>
      <c r="P60" s="26">
        <v>3</v>
      </c>
      <c r="Q60" s="26">
        <v>3</v>
      </c>
      <c r="R60" s="26">
        <v>2</v>
      </c>
      <c r="S60" s="26">
        <v>1</v>
      </c>
      <c r="T60" s="26">
        <v>3</v>
      </c>
      <c r="U60" s="26">
        <v>2</v>
      </c>
      <c r="V60" s="26">
        <v>3</v>
      </c>
      <c r="W60" s="26">
        <v>1</v>
      </c>
      <c r="X60" s="26">
        <v>4</v>
      </c>
      <c r="Y60" s="26">
        <v>1</v>
      </c>
      <c r="Z60" s="26">
        <v>1</v>
      </c>
      <c r="AA60" s="26">
        <v>3</v>
      </c>
      <c r="AB60" s="26">
        <v>4</v>
      </c>
      <c r="AC60" s="26">
        <v>2</v>
      </c>
      <c r="AD60" s="26">
        <v>1</v>
      </c>
      <c r="AE60" s="26">
        <v>3</v>
      </c>
      <c r="AF60" s="26">
        <v>1</v>
      </c>
      <c r="AG60" s="26">
        <v>1</v>
      </c>
      <c r="AH60" s="26">
        <v>4</v>
      </c>
      <c r="AI60" s="26">
        <v>4</v>
      </c>
      <c r="AJ60" s="26">
        <v>1</v>
      </c>
      <c r="AK60" s="26">
        <v>3</v>
      </c>
      <c r="AL60" s="26">
        <v>1</v>
      </c>
      <c r="AM60" s="26">
        <v>1</v>
      </c>
      <c r="AN60" s="26">
        <v>3</v>
      </c>
      <c r="AO60" s="26">
        <v>1</v>
      </c>
      <c r="AP60" s="26">
        <f t="shared" si="9"/>
        <v>43</v>
      </c>
      <c r="AQ60" s="27">
        <f t="shared" si="10"/>
        <v>43</v>
      </c>
    </row>
    <row r="61" spans="1:43" s="33" customFormat="1" x14ac:dyDescent="0.2">
      <c r="A61" s="112" t="s">
        <v>365</v>
      </c>
      <c r="B61" s="26">
        <v>3</v>
      </c>
      <c r="C61" s="123">
        <v>3</v>
      </c>
      <c r="D61" s="26">
        <v>1</v>
      </c>
      <c r="E61" s="26">
        <v>1</v>
      </c>
      <c r="F61" s="26">
        <v>3</v>
      </c>
      <c r="G61" s="26">
        <v>1</v>
      </c>
      <c r="H61" s="26">
        <v>1</v>
      </c>
      <c r="I61" s="26">
        <v>3</v>
      </c>
      <c r="J61" s="26">
        <v>1</v>
      </c>
      <c r="K61" s="26">
        <v>3</v>
      </c>
      <c r="L61" s="26">
        <v>3</v>
      </c>
      <c r="M61" s="26">
        <v>1</v>
      </c>
      <c r="N61" s="26">
        <v>1</v>
      </c>
      <c r="O61" s="26">
        <v>1</v>
      </c>
      <c r="P61" s="26">
        <v>3</v>
      </c>
      <c r="Q61" s="26">
        <v>3</v>
      </c>
      <c r="R61" s="26">
        <v>1</v>
      </c>
      <c r="S61" s="26">
        <v>1</v>
      </c>
      <c r="T61" s="26">
        <v>3</v>
      </c>
      <c r="U61" s="26">
        <v>3</v>
      </c>
      <c r="V61" s="26">
        <v>3</v>
      </c>
      <c r="W61" s="26">
        <v>1</v>
      </c>
      <c r="X61" s="26">
        <v>3</v>
      </c>
      <c r="Y61" s="26">
        <v>1</v>
      </c>
      <c r="Z61" s="26">
        <v>1</v>
      </c>
      <c r="AA61" s="26">
        <v>4</v>
      </c>
      <c r="AB61" s="26">
        <v>3</v>
      </c>
      <c r="AC61" s="26">
        <v>1</v>
      </c>
      <c r="AD61" s="26">
        <v>1</v>
      </c>
      <c r="AE61" s="26">
        <v>3</v>
      </c>
      <c r="AF61" s="26">
        <v>2</v>
      </c>
      <c r="AG61" s="26">
        <v>1</v>
      </c>
      <c r="AH61" s="26">
        <v>3</v>
      </c>
      <c r="AI61" s="26">
        <v>3</v>
      </c>
      <c r="AJ61" s="26">
        <v>1</v>
      </c>
      <c r="AK61" s="26">
        <v>3</v>
      </c>
      <c r="AL61" s="26">
        <v>1</v>
      </c>
      <c r="AM61" s="26">
        <v>1</v>
      </c>
      <c r="AN61" s="26">
        <v>4</v>
      </c>
      <c r="AO61" s="26">
        <v>2</v>
      </c>
      <c r="AP61" s="26">
        <f t="shared" si="9"/>
        <v>40</v>
      </c>
      <c r="AQ61" s="27">
        <f t="shared" si="10"/>
        <v>42</v>
      </c>
    </row>
    <row r="62" spans="1:43" s="33" customFormat="1" x14ac:dyDescent="0.2">
      <c r="A62" s="112" t="s">
        <v>366</v>
      </c>
      <c r="B62" s="26">
        <v>4</v>
      </c>
      <c r="C62" s="26">
        <v>4</v>
      </c>
      <c r="D62" s="26">
        <v>1</v>
      </c>
      <c r="E62" s="26">
        <v>1</v>
      </c>
      <c r="F62" s="26">
        <v>4</v>
      </c>
      <c r="G62" s="26">
        <v>1</v>
      </c>
      <c r="H62" s="26">
        <v>1</v>
      </c>
      <c r="I62" s="26">
        <v>3</v>
      </c>
      <c r="J62" s="26">
        <v>1</v>
      </c>
      <c r="K62" s="26">
        <v>4</v>
      </c>
      <c r="L62" s="26">
        <v>4</v>
      </c>
      <c r="M62" s="26">
        <v>1</v>
      </c>
      <c r="N62" s="26">
        <v>1</v>
      </c>
      <c r="O62" s="26">
        <v>1</v>
      </c>
      <c r="P62" s="26">
        <v>3</v>
      </c>
      <c r="Q62" s="26">
        <v>3</v>
      </c>
      <c r="R62" s="26">
        <v>2</v>
      </c>
      <c r="S62" s="26">
        <v>1</v>
      </c>
      <c r="T62" s="26">
        <v>4</v>
      </c>
      <c r="U62" s="26">
        <v>3</v>
      </c>
      <c r="V62" s="26">
        <v>3</v>
      </c>
      <c r="W62" s="26">
        <v>2</v>
      </c>
      <c r="X62" s="26">
        <v>4</v>
      </c>
      <c r="Y62" s="26">
        <v>1</v>
      </c>
      <c r="Z62" s="26">
        <v>1</v>
      </c>
      <c r="AA62" s="26">
        <v>3</v>
      </c>
      <c r="AB62" s="26">
        <v>4</v>
      </c>
      <c r="AC62" s="26">
        <v>1</v>
      </c>
      <c r="AD62" s="26">
        <v>1</v>
      </c>
      <c r="AE62" s="26">
        <v>3</v>
      </c>
      <c r="AF62" s="26">
        <v>2</v>
      </c>
      <c r="AG62" s="26">
        <v>1</v>
      </c>
      <c r="AH62" s="26">
        <v>3</v>
      </c>
      <c r="AI62" s="26">
        <v>3</v>
      </c>
      <c r="AJ62" s="26">
        <v>1</v>
      </c>
      <c r="AK62" s="26">
        <v>3</v>
      </c>
      <c r="AL62" s="26">
        <v>1</v>
      </c>
      <c r="AM62" s="26">
        <v>1</v>
      </c>
      <c r="AN62" s="26">
        <v>3</v>
      </c>
      <c r="AO62" s="26">
        <v>3</v>
      </c>
      <c r="AP62" s="26">
        <f t="shared" si="9"/>
        <v>47</v>
      </c>
      <c r="AQ62" s="27">
        <f t="shared" si="10"/>
        <v>44</v>
      </c>
    </row>
    <row r="63" spans="1:43" s="33" customFormat="1" x14ac:dyDescent="0.2">
      <c r="A63" s="112" t="s">
        <v>367</v>
      </c>
      <c r="B63" s="26">
        <v>3</v>
      </c>
      <c r="C63" s="123">
        <v>2</v>
      </c>
      <c r="D63" s="26">
        <v>3</v>
      </c>
      <c r="E63" s="26">
        <v>2</v>
      </c>
      <c r="F63" s="26">
        <v>2</v>
      </c>
      <c r="G63" s="26">
        <v>1</v>
      </c>
      <c r="H63" s="26">
        <v>3</v>
      </c>
      <c r="I63" s="26">
        <v>3</v>
      </c>
      <c r="J63" s="26">
        <v>2</v>
      </c>
      <c r="K63" s="26">
        <v>2</v>
      </c>
      <c r="L63" s="26">
        <v>1</v>
      </c>
      <c r="M63" s="26">
        <v>3</v>
      </c>
      <c r="N63" s="26">
        <v>3</v>
      </c>
      <c r="O63" s="26">
        <v>2</v>
      </c>
      <c r="P63" s="26">
        <v>2</v>
      </c>
      <c r="Q63" s="26">
        <v>3</v>
      </c>
      <c r="R63" s="26">
        <v>2</v>
      </c>
      <c r="S63" s="26">
        <v>2</v>
      </c>
      <c r="T63" s="26">
        <v>1</v>
      </c>
      <c r="U63" s="26">
        <v>3</v>
      </c>
      <c r="V63" s="26">
        <v>2</v>
      </c>
      <c r="W63" s="26">
        <v>3</v>
      </c>
      <c r="X63" s="26">
        <v>1</v>
      </c>
      <c r="Y63" s="26">
        <v>3</v>
      </c>
      <c r="Z63" s="26">
        <v>4</v>
      </c>
      <c r="AA63" s="26">
        <v>2</v>
      </c>
      <c r="AB63" s="26">
        <v>1</v>
      </c>
      <c r="AC63" s="26">
        <v>3</v>
      </c>
      <c r="AD63" s="26">
        <v>3</v>
      </c>
      <c r="AE63" s="26">
        <v>2</v>
      </c>
      <c r="AF63" s="26">
        <v>3</v>
      </c>
      <c r="AG63" s="26">
        <v>3</v>
      </c>
      <c r="AH63" s="26">
        <v>2</v>
      </c>
      <c r="AI63" s="26">
        <v>2</v>
      </c>
      <c r="AJ63" s="26">
        <v>3</v>
      </c>
      <c r="AK63" s="26">
        <v>2</v>
      </c>
      <c r="AL63" s="26">
        <v>3</v>
      </c>
      <c r="AM63" s="26">
        <v>4</v>
      </c>
      <c r="AN63" s="26">
        <v>1</v>
      </c>
      <c r="AO63" s="26">
        <v>3</v>
      </c>
      <c r="AP63" s="26">
        <f t="shared" si="9"/>
        <v>45</v>
      </c>
      <c r="AQ63" s="27">
        <f t="shared" si="10"/>
        <v>50</v>
      </c>
    </row>
    <row r="64" spans="1:43" s="33" customFormat="1" x14ac:dyDescent="0.2">
      <c r="A64" s="112" t="s">
        <v>368</v>
      </c>
      <c r="B64" s="26">
        <v>3</v>
      </c>
      <c r="C64" s="123">
        <v>3</v>
      </c>
      <c r="D64" s="26">
        <v>1</v>
      </c>
      <c r="E64" s="26">
        <v>1</v>
      </c>
      <c r="F64" s="26">
        <v>3</v>
      </c>
      <c r="G64" s="26">
        <v>1</v>
      </c>
      <c r="H64" s="26">
        <v>1</v>
      </c>
      <c r="I64" s="26">
        <v>2</v>
      </c>
      <c r="J64" s="26">
        <v>1</v>
      </c>
      <c r="K64" s="26">
        <v>3</v>
      </c>
      <c r="L64" s="26">
        <v>3</v>
      </c>
      <c r="M64" s="26">
        <v>1</v>
      </c>
      <c r="N64" s="26">
        <v>1</v>
      </c>
      <c r="O64" s="26">
        <v>2</v>
      </c>
      <c r="P64" s="26">
        <v>3</v>
      </c>
      <c r="Q64" s="26">
        <v>2</v>
      </c>
      <c r="R64" s="26">
        <v>1</v>
      </c>
      <c r="S64" s="26">
        <v>1</v>
      </c>
      <c r="T64" s="26">
        <v>3</v>
      </c>
      <c r="U64" s="26">
        <v>3</v>
      </c>
      <c r="V64" s="26">
        <v>3</v>
      </c>
      <c r="W64" s="26">
        <v>2</v>
      </c>
      <c r="X64" s="26">
        <v>3</v>
      </c>
      <c r="Y64" s="26">
        <v>1</v>
      </c>
      <c r="Z64" s="26">
        <v>1</v>
      </c>
      <c r="AA64" s="26">
        <v>3</v>
      </c>
      <c r="AB64" s="26">
        <v>3</v>
      </c>
      <c r="AC64" s="26">
        <v>1</v>
      </c>
      <c r="AD64" s="26">
        <v>2</v>
      </c>
      <c r="AE64" s="26">
        <v>3</v>
      </c>
      <c r="AF64" s="26">
        <v>1</v>
      </c>
      <c r="AG64" s="26">
        <v>1</v>
      </c>
      <c r="AH64" s="26">
        <v>3</v>
      </c>
      <c r="AI64" s="26">
        <v>4</v>
      </c>
      <c r="AJ64" s="26">
        <v>1</v>
      </c>
      <c r="AK64" s="26">
        <v>3</v>
      </c>
      <c r="AL64" s="26">
        <v>2</v>
      </c>
      <c r="AM64" s="26">
        <v>1</v>
      </c>
      <c r="AN64" s="26">
        <v>3</v>
      </c>
      <c r="AO64" s="26">
        <v>2</v>
      </c>
      <c r="AP64" s="26">
        <f t="shared" si="9"/>
        <v>39</v>
      </c>
      <c r="AQ64" s="27">
        <f t="shared" si="10"/>
        <v>43</v>
      </c>
    </row>
    <row r="65" spans="1:43" s="33" customFormat="1" x14ac:dyDescent="0.2">
      <c r="A65" s="112" t="s">
        <v>369</v>
      </c>
      <c r="B65" s="26">
        <v>3</v>
      </c>
      <c r="C65" s="123">
        <v>3</v>
      </c>
      <c r="D65" s="26">
        <v>2</v>
      </c>
      <c r="E65" s="26">
        <v>2</v>
      </c>
      <c r="F65" s="26">
        <v>3</v>
      </c>
      <c r="G65" s="26">
        <v>2</v>
      </c>
      <c r="H65" s="26">
        <v>1</v>
      </c>
      <c r="I65" s="26">
        <v>3</v>
      </c>
      <c r="J65" s="26">
        <v>2</v>
      </c>
      <c r="K65" s="26">
        <v>3</v>
      </c>
      <c r="L65" s="26">
        <v>3</v>
      </c>
      <c r="M65" s="26">
        <v>1</v>
      </c>
      <c r="N65" s="26">
        <v>2</v>
      </c>
      <c r="O65" s="26">
        <v>2</v>
      </c>
      <c r="P65" s="26">
        <v>3</v>
      </c>
      <c r="Q65" s="26">
        <v>3</v>
      </c>
      <c r="R65" s="26">
        <v>1</v>
      </c>
      <c r="S65" s="26">
        <v>1</v>
      </c>
      <c r="T65" s="26">
        <v>2</v>
      </c>
      <c r="U65" s="26">
        <v>3</v>
      </c>
      <c r="V65" s="26">
        <v>4</v>
      </c>
      <c r="W65" s="26">
        <v>2</v>
      </c>
      <c r="X65" s="26">
        <v>4</v>
      </c>
      <c r="Y65" s="26">
        <v>2</v>
      </c>
      <c r="Z65" s="26">
        <v>1</v>
      </c>
      <c r="AA65" s="26">
        <v>2</v>
      </c>
      <c r="AB65" s="26">
        <v>3</v>
      </c>
      <c r="AC65" s="26">
        <v>3</v>
      </c>
      <c r="AD65" s="26">
        <v>3</v>
      </c>
      <c r="AE65" s="26">
        <v>4</v>
      </c>
      <c r="AF65" s="26">
        <v>1</v>
      </c>
      <c r="AG65" s="26">
        <v>2</v>
      </c>
      <c r="AH65" s="26">
        <v>2</v>
      </c>
      <c r="AI65" s="26">
        <v>3</v>
      </c>
      <c r="AJ65" s="26">
        <v>2</v>
      </c>
      <c r="AK65" s="26">
        <v>4</v>
      </c>
      <c r="AL65" s="26">
        <v>1</v>
      </c>
      <c r="AM65" s="26">
        <v>1</v>
      </c>
      <c r="AN65" s="26">
        <v>4</v>
      </c>
      <c r="AO65" s="26">
        <v>3</v>
      </c>
      <c r="AP65" s="26">
        <f t="shared" si="9"/>
        <v>45</v>
      </c>
      <c r="AQ65" s="27">
        <f t="shared" si="10"/>
        <v>51</v>
      </c>
    </row>
    <row r="66" spans="1:43" s="33" customFormat="1" x14ac:dyDescent="0.2">
      <c r="A66" s="112" t="s">
        <v>370</v>
      </c>
      <c r="B66" s="26">
        <v>3</v>
      </c>
      <c r="C66" s="26">
        <v>2</v>
      </c>
      <c r="D66" s="26">
        <v>2</v>
      </c>
      <c r="E66" s="26">
        <v>3</v>
      </c>
      <c r="F66" s="26">
        <v>2</v>
      </c>
      <c r="G66" s="26">
        <v>1</v>
      </c>
      <c r="H66" s="26">
        <v>1</v>
      </c>
      <c r="I66" s="26">
        <v>2</v>
      </c>
      <c r="J66" s="26">
        <v>1</v>
      </c>
      <c r="K66" s="26">
        <v>2</v>
      </c>
      <c r="L66" s="26">
        <v>2</v>
      </c>
      <c r="M66" s="26">
        <v>2</v>
      </c>
      <c r="N66" s="26">
        <v>2</v>
      </c>
      <c r="O66" s="26">
        <v>2</v>
      </c>
      <c r="P66" s="26">
        <v>1</v>
      </c>
      <c r="Q66" s="26">
        <v>2</v>
      </c>
      <c r="R66" s="26">
        <v>2</v>
      </c>
      <c r="S66" s="26">
        <v>2</v>
      </c>
      <c r="T66" s="26">
        <v>1</v>
      </c>
      <c r="U66" s="26">
        <v>2</v>
      </c>
      <c r="V66" s="26">
        <v>2</v>
      </c>
      <c r="W66" s="26">
        <v>2</v>
      </c>
      <c r="X66" s="26">
        <v>2</v>
      </c>
      <c r="Y66" s="26">
        <v>2</v>
      </c>
      <c r="Z66" s="26">
        <v>1</v>
      </c>
      <c r="AA66" s="26">
        <v>1</v>
      </c>
      <c r="AB66" s="26">
        <v>1</v>
      </c>
      <c r="AC66" s="26">
        <v>3</v>
      </c>
      <c r="AD66" s="26">
        <v>4</v>
      </c>
      <c r="AE66" s="26">
        <v>2</v>
      </c>
      <c r="AF66" s="26">
        <v>4</v>
      </c>
      <c r="AG66" s="26">
        <v>2</v>
      </c>
      <c r="AH66" s="26">
        <v>2</v>
      </c>
      <c r="AI66" s="26">
        <v>1</v>
      </c>
      <c r="AJ66" s="26">
        <v>2</v>
      </c>
      <c r="AK66" s="26">
        <v>2</v>
      </c>
      <c r="AL66" s="26">
        <v>4</v>
      </c>
      <c r="AM66" s="26">
        <v>2</v>
      </c>
      <c r="AN66" s="26">
        <v>2</v>
      </c>
      <c r="AO66" s="26">
        <v>2</v>
      </c>
      <c r="AP66" s="26">
        <f t="shared" si="9"/>
        <v>37</v>
      </c>
      <c r="AQ66" s="27">
        <f t="shared" si="10"/>
        <v>43</v>
      </c>
    </row>
    <row r="67" spans="1:43" s="33" customFormat="1" x14ac:dyDescent="0.2">
      <c r="A67" s="112" t="s">
        <v>371</v>
      </c>
      <c r="B67" s="26">
        <v>4</v>
      </c>
      <c r="C67" s="26">
        <v>1</v>
      </c>
      <c r="D67" s="26">
        <v>1</v>
      </c>
      <c r="E67" s="26">
        <v>1</v>
      </c>
      <c r="F67" s="26">
        <v>2</v>
      </c>
      <c r="G67" s="26">
        <v>4</v>
      </c>
      <c r="H67" s="26">
        <v>4</v>
      </c>
      <c r="I67" s="26">
        <v>3</v>
      </c>
      <c r="J67" s="26">
        <v>4</v>
      </c>
      <c r="K67" s="26">
        <v>1</v>
      </c>
      <c r="L67" s="26">
        <v>4</v>
      </c>
      <c r="M67" s="26">
        <v>4</v>
      </c>
      <c r="N67" s="26">
        <v>1</v>
      </c>
      <c r="O67" s="26">
        <v>1</v>
      </c>
      <c r="P67" s="26">
        <v>3</v>
      </c>
      <c r="Q67" s="26">
        <v>1</v>
      </c>
      <c r="R67" s="26">
        <v>4</v>
      </c>
      <c r="S67" s="26">
        <v>1</v>
      </c>
      <c r="T67" s="26">
        <v>3</v>
      </c>
      <c r="U67" s="26">
        <v>2</v>
      </c>
      <c r="V67" s="26">
        <v>3</v>
      </c>
      <c r="W67" s="26">
        <v>3</v>
      </c>
      <c r="X67" s="26">
        <v>4</v>
      </c>
      <c r="Y67" s="26">
        <v>1</v>
      </c>
      <c r="Z67" s="26">
        <v>1</v>
      </c>
      <c r="AA67" s="26">
        <v>2</v>
      </c>
      <c r="AB67" s="26">
        <v>3</v>
      </c>
      <c r="AC67" s="26">
        <v>1</v>
      </c>
      <c r="AD67" s="26">
        <v>1</v>
      </c>
      <c r="AE67" s="26">
        <v>2</v>
      </c>
      <c r="AF67" s="26">
        <v>2</v>
      </c>
      <c r="AG67" s="26">
        <v>2</v>
      </c>
      <c r="AH67" s="26">
        <v>1</v>
      </c>
      <c r="AI67" s="26">
        <v>4</v>
      </c>
      <c r="AJ67" s="26">
        <v>1</v>
      </c>
      <c r="AK67" s="26">
        <v>2</v>
      </c>
      <c r="AL67" s="26">
        <v>1</v>
      </c>
      <c r="AM67" s="26">
        <v>1</v>
      </c>
      <c r="AN67" s="26">
        <v>4</v>
      </c>
      <c r="AO67" s="26">
        <v>4</v>
      </c>
      <c r="AP67" s="26">
        <f t="shared" si="9"/>
        <v>49</v>
      </c>
      <c r="AQ67" s="27">
        <f t="shared" si="10"/>
        <v>43</v>
      </c>
    </row>
    <row r="68" spans="1:43" s="33" customFormat="1" x14ac:dyDescent="0.2">
      <c r="A68" s="112" t="s">
        <v>372</v>
      </c>
      <c r="B68" s="26">
        <v>4</v>
      </c>
      <c r="C68" s="26">
        <v>4</v>
      </c>
      <c r="D68" s="26">
        <v>1</v>
      </c>
      <c r="E68" s="26">
        <v>1</v>
      </c>
      <c r="F68" s="26">
        <v>4</v>
      </c>
      <c r="G68" s="26">
        <v>1</v>
      </c>
      <c r="H68" s="26">
        <v>1</v>
      </c>
      <c r="I68" s="26">
        <v>1</v>
      </c>
      <c r="J68" s="26">
        <v>1</v>
      </c>
      <c r="K68" s="26">
        <v>1</v>
      </c>
      <c r="L68" s="26">
        <v>1</v>
      </c>
      <c r="M68" s="26">
        <v>2</v>
      </c>
      <c r="N68" s="26">
        <v>1</v>
      </c>
      <c r="O68" s="26">
        <v>2</v>
      </c>
      <c r="P68" s="26">
        <v>4</v>
      </c>
      <c r="Q68" s="26">
        <v>1</v>
      </c>
      <c r="R68" s="26">
        <v>1</v>
      </c>
      <c r="S68" s="26">
        <v>1</v>
      </c>
      <c r="T68" s="26">
        <v>4</v>
      </c>
      <c r="U68" s="26">
        <v>4</v>
      </c>
      <c r="V68" s="26">
        <v>3</v>
      </c>
      <c r="W68" s="26">
        <v>2</v>
      </c>
      <c r="X68" s="26">
        <v>4</v>
      </c>
      <c r="Y68" s="26">
        <v>1</v>
      </c>
      <c r="Z68" s="26">
        <v>1</v>
      </c>
      <c r="AA68" s="26">
        <v>4</v>
      </c>
      <c r="AB68" s="26">
        <v>4</v>
      </c>
      <c r="AC68" s="26">
        <v>2</v>
      </c>
      <c r="AD68" s="26">
        <v>2</v>
      </c>
      <c r="AE68" s="26">
        <v>4</v>
      </c>
      <c r="AF68" s="26">
        <v>2</v>
      </c>
      <c r="AG68" s="26">
        <v>1</v>
      </c>
      <c r="AH68" s="26">
        <v>1</v>
      </c>
      <c r="AI68" s="26">
        <v>1</v>
      </c>
      <c r="AJ68" s="26">
        <v>1</v>
      </c>
      <c r="AK68" s="26">
        <v>4</v>
      </c>
      <c r="AL68" s="26">
        <v>2</v>
      </c>
      <c r="AM68" s="26">
        <v>2</v>
      </c>
      <c r="AN68" s="26">
        <v>4</v>
      </c>
      <c r="AO68" s="26">
        <v>2</v>
      </c>
      <c r="AP68" s="26">
        <f t="shared" si="9"/>
        <v>40</v>
      </c>
      <c r="AQ68" s="27">
        <f t="shared" si="10"/>
        <v>47</v>
      </c>
    </row>
    <row r="69" spans="1:43" s="33" customFormat="1" x14ac:dyDescent="0.2">
      <c r="A69" s="112" t="s">
        <v>373</v>
      </c>
      <c r="B69" s="26">
        <v>1</v>
      </c>
      <c r="C69" s="123">
        <v>2</v>
      </c>
      <c r="D69" s="26">
        <v>4</v>
      </c>
      <c r="E69" s="26">
        <v>4</v>
      </c>
      <c r="F69" s="26">
        <v>1</v>
      </c>
      <c r="G69" s="26">
        <v>2</v>
      </c>
      <c r="H69" s="26">
        <v>1</v>
      </c>
      <c r="I69" s="26">
        <v>2</v>
      </c>
      <c r="J69" s="26">
        <v>1</v>
      </c>
      <c r="K69" s="26">
        <v>3</v>
      </c>
      <c r="L69" s="26">
        <v>2</v>
      </c>
      <c r="M69" s="26">
        <v>4</v>
      </c>
      <c r="N69" s="26">
        <v>4</v>
      </c>
      <c r="O69" s="26">
        <v>3</v>
      </c>
      <c r="P69" s="26">
        <v>1</v>
      </c>
      <c r="Q69" s="26">
        <v>2</v>
      </c>
      <c r="R69" s="26">
        <v>2</v>
      </c>
      <c r="S69" s="26">
        <v>1</v>
      </c>
      <c r="T69" s="26">
        <v>1</v>
      </c>
      <c r="U69" s="26">
        <v>1</v>
      </c>
      <c r="V69" s="26">
        <v>3</v>
      </c>
      <c r="W69" s="26">
        <v>2</v>
      </c>
      <c r="X69" s="26">
        <v>2</v>
      </c>
      <c r="Y69" s="26">
        <v>1</v>
      </c>
      <c r="Z69" s="26">
        <v>1</v>
      </c>
      <c r="AA69" s="26">
        <v>3</v>
      </c>
      <c r="AB69" s="26">
        <v>2</v>
      </c>
      <c r="AC69" s="26">
        <v>3</v>
      </c>
      <c r="AD69" s="26">
        <v>1</v>
      </c>
      <c r="AE69" s="26">
        <v>2</v>
      </c>
      <c r="AF69" s="26">
        <v>1</v>
      </c>
      <c r="AG69" s="26">
        <v>2</v>
      </c>
      <c r="AH69" s="26">
        <v>2</v>
      </c>
      <c r="AI69" s="26">
        <v>2</v>
      </c>
      <c r="AJ69" s="26">
        <v>1</v>
      </c>
      <c r="AK69" s="26">
        <v>2</v>
      </c>
      <c r="AL69" s="26">
        <v>1</v>
      </c>
      <c r="AM69" s="26">
        <v>1</v>
      </c>
      <c r="AN69" s="26">
        <v>2</v>
      </c>
      <c r="AO69" s="26">
        <v>3</v>
      </c>
      <c r="AP69" s="26">
        <v>60</v>
      </c>
      <c r="AQ69" s="27">
        <f t="shared" si="10"/>
        <v>37</v>
      </c>
    </row>
    <row r="70" spans="1:43" s="33" customFormat="1" x14ac:dyDescent="0.2">
      <c r="A70" s="112" t="s">
        <v>374</v>
      </c>
      <c r="B70" s="26">
        <v>2</v>
      </c>
      <c r="C70" s="123">
        <v>2</v>
      </c>
      <c r="D70" s="26">
        <v>1</v>
      </c>
      <c r="E70" s="26">
        <v>1</v>
      </c>
      <c r="F70" s="26">
        <v>2</v>
      </c>
      <c r="G70" s="26">
        <v>1</v>
      </c>
      <c r="H70" s="26">
        <v>1</v>
      </c>
      <c r="I70" s="26">
        <v>1</v>
      </c>
      <c r="J70" s="26">
        <v>1</v>
      </c>
      <c r="K70" s="26">
        <v>3</v>
      </c>
      <c r="L70" s="26">
        <v>2</v>
      </c>
      <c r="M70" s="26">
        <v>1</v>
      </c>
      <c r="N70" s="26">
        <v>1</v>
      </c>
      <c r="O70" s="26">
        <v>1</v>
      </c>
      <c r="P70" s="26">
        <v>2</v>
      </c>
      <c r="Q70" s="26">
        <v>2</v>
      </c>
      <c r="R70" s="26">
        <v>2</v>
      </c>
      <c r="S70" s="26">
        <v>1</v>
      </c>
      <c r="T70" s="26">
        <v>2</v>
      </c>
      <c r="U70" s="26">
        <v>1</v>
      </c>
      <c r="V70" s="26">
        <v>2</v>
      </c>
      <c r="W70" s="26">
        <v>3</v>
      </c>
      <c r="X70" s="26">
        <v>1</v>
      </c>
      <c r="Y70" s="26">
        <v>3</v>
      </c>
      <c r="Z70" s="26">
        <v>3</v>
      </c>
      <c r="AA70" s="26">
        <v>1</v>
      </c>
      <c r="AB70" s="26">
        <v>1</v>
      </c>
      <c r="AC70" s="26">
        <v>2</v>
      </c>
      <c r="AD70" s="26">
        <v>2</v>
      </c>
      <c r="AE70" s="26">
        <v>2</v>
      </c>
      <c r="AF70" s="26">
        <v>1</v>
      </c>
      <c r="AG70" s="26">
        <v>2</v>
      </c>
      <c r="AH70" s="26">
        <v>1</v>
      </c>
      <c r="AI70" s="26">
        <v>1</v>
      </c>
      <c r="AJ70" s="26">
        <v>1</v>
      </c>
      <c r="AK70" s="26">
        <v>2</v>
      </c>
      <c r="AL70" s="26">
        <v>1</v>
      </c>
      <c r="AM70" s="26">
        <v>1</v>
      </c>
      <c r="AN70" s="26">
        <v>2</v>
      </c>
      <c r="AO70" s="26">
        <v>2</v>
      </c>
      <c r="AP70" s="26">
        <f t="shared" ref="AP70:AP89" si="11">SUM(B70:U70)</f>
        <v>30</v>
      </c>
      <c r="AQ70" s="27">
        <f t="shared" si="10"/>
        <v>34</v>
      </c>
    </row>
    <row r="71" spans="1:43" s="33" customFormat="1" x14ac:dyDescent="0.2">
      <c r="A71" s="112" t="s">
        <v>375</v>
      </c>
      <c r="B71" s="26">
        <v>3</v>
      </c>
      <c r="C71" s="123">
        <v>2</v>
      </c>
      <c r="D71" s="26">
        <v>2</v>
      </c>
      <c r="E71" s="26">
        <v>2</v>
      </c>
      <c r="F71" s="26">
        <v>3</v>
      </c>
      <c r="G71" s="26">
        <v>2</v>
      </c>
      <c r="H71" s="26">
        <v>3</v>
      </c>
      <c r="I71" s="26">
        <v>3</v>
      </c>
      <c r="J71" s="26">
        <v>2</v>
      </c>
      <c r="K71" s="26">
        <v>2</v>
      </c>
      <c r="L71" s="26">
        <v>2</v>
      </c>
      <c r="M71" s="26">
        <v>2</v>
      </c>
      <c r="N71" s="26">
        <v>2</v>
      </c>
      <c r="O71" s="26">
        <v>2</v>
      </c>
      <c r="P71" s="26">
        <v>3</v>
      </c>
      <c r="Q71" s="26">
        <v>3</v>
      </c>
      <c r="R71" s="26">
        <v>2</v>
      </c>
      <c r="S71" s="26">
        <v>2</v>
      </c>
      <c r="T71" s="26">
        <v>3</v>
      </c>
      <c r="U71" s="26">
        <v>3</v>
      </c>
      <c r="V71" s="26">
        <v>3</v>
      </c>
      <c r="W71" s="26">
        <v>1</v>
      </c>
      <c r="X71" s="26">
        <v>3</v>
      </c>
      <c r="Y71" s="26">
        <v>2</v>
      </c>
      <c r="Z71" s="26">
        <v>1</v>
      </c>
      <c r="AA71" s="26">
        <v>2</v>
      </c>
      <c r="AB71" s="26">
        <v>2</v>
      </c>
      <c r="AC71" s="26">
        <v>2</v>
      </c>
      <c r="AD71" s="26">
        <v>2</v>
      </c>
      <c r="AE71" s="26">
        <v>3</v>
      </c>
      <c r="AF71" s="26">
        <v>2</v>
      </c>
      <c r="AG71" s="26">
        <v>2</v>
      </c>
      <c r="AH71" s="26">
        <v>3</v>
      </c>
      <c r="AI71" s="26">
        <v>3</v>
      </c>
      <c r="AJ71" s="26">
        <v>2</v>
      </c>
      <c r="AK71" s="26">
        <v>3</v>
      </c>
      <c r="AL71" s="26">
        <v>2</v>
      </c>
      <c r="AM71" s="26">
        <v>3</v>
      </c>
      <c r="AN71" s="26">
        <v>3</v>
      </c>
      <c r="AO71" s="26">
        <v>2</v>
      </c>
      <c r="AP71" s="26">
        <f t="shared" si="11"/>
        <v>48</v>
      </c>
      <c r="AQ71" s="27">
        <f t="shared" si="10"/>
        <v>46</v>
      </c>
    </row>
    <row r="72" spans="1:43" s="32" customFormat="1" x14ac:dyDescent="0.15">
      <c r="A72" s="112" t="s">
        <v>376</v>
      </c>
      <c r="B72" s="112">
        <v>3</v>
      </c>
      <c r="C72" s="112">
        <v>3</v>
      </c>
      <c r="D72" s="112">
        <v>1</v>
      </c>
      <c r="E72" s="112">
        <v>1</v>
      </c>
      <c r="F72" s="112">
        <v>3</v>
      </c>
      <c r="G72" s="112">
        <v>1</v>
      </c>
      <c r="H72" s="112">
        <v>3</v>
      </c>
      <c r="I72" s="112">
        <v>3</v>
      </c>
      <c r="J72" s="112">
        <v>1</v>
      </c>
      <c r="K72" s="112">
        <v>3</v>
      </c>
      <c r="L72" s="112">
        <v>4</v>
      </c>
      <c r="M72" s="112">
        <v>1</v>
      </c>
      <c r="N72" s="112">
        <v>1</v>
      </c>
      <c r="O72" s="112">
        <v>1</v>
      </c>
      <c r="P72" s="112">
        <v>3</v>
      </c>
      <c r="Q72" s="112">
        <v>3</v>
      </c>
      <c r="R72" s="112">
        <v>1</v>
      </c>
      <c r="S72" s="112">
        <v>1</v>
      </c>
      <c r="T72" s="112">
        <v>3</v>
      </c>
      <c r="U72" s="112">
        <v>4</v>
      </c>
      <c r="V72" s="112">
        <v>3</v>
      </c>
      <c r="W72" s="112">
        <v>2</v>
      </c>
      <c r="X72" s="112">
        <v>3</v>
      </c>
      <c r="Y72" s="112">
        <v>3</v>
      </c>
      <c r="Z72" s="112">
        <v>1</v>
      </c>
      <c r="AA72" s="112">
        <v>3</v>
      </c>
      <c r="AB72" s="112">
        <v>3</v>
      </c>
      <c r="AC72" s="112">
        <v>2</v>
      </c>
      <c r="AD72" s="112">
        <v>2</v>
      </c>
      <c r="AE72" s="112">
        <v>3</v>
      </c>
      <c r="AF72" s="112">
        <v>1</v>
      </c>
      <c r="AG72" s="112">
        <v>1</v>
      </c>
      <c r="AH72" s="112">
        <v>3</v>
      </c>
      <c r="AI72" s="112">
        <v>3</v>
      </c>
      <c r="AJ72" s="112">
        <v>2</v>
      </c>
      <c r="AK72" s="112">
        <v>1</v>
      </c>
      <c r="AL72" s="112">
        <v>1</v>
      </c>
      <c r="AM72" s="112">
        <v>1</v>
      </c>
      <c r="AN72" s="112">
        <v>1</v>
      </c>
      <c r="AO72" s="112">
        <v>2</v>
      </c>
      <c r="AP72" s="26">
        <f t="shared" si="11"/>
        <v>44</v>
      </c>
      <c r="AQ72" s="27">
        <f t="shared" si="10"/>
        <v>41</v>
      </c>
    </row>
    <row r="73" spans="1:43" s="32" customFormat="1" x14ac:dyDescent="0.15">
      <c r="A73" s="112" t="s">
        <v>377</v>
      </c>
      <c r="B73" s="26">
        <v>1</v>
      </c>
      <c r="C73" s="26">
        <v>2</v>
      </c>
      <c r="D73" s="26">
        <v>2</v>
      </c>
      <c r="E73" s="26">
        <v>1</v>
      </c>
      <c r="F73" s="26">
        <v>1</v>
      </c>
      <c r="G73" s="26">
        <v>2</v>
      </c>
      <c r="H73" s="26">
        <v>4</v>
      </c>
      <c r="I73" s="26">
        <v>1</v>
      </c>
      <c r="J73" s="26">
        <v>1</v>
      </c>
      <c r="K73" s="26">
        <v>1</v>
      </c>
      <c r="L73" s="26">
        <v>1</v>
      </c>
      <c r="M73" s="26">
        <v>2</v>
      </c>
      <c r="N73" s="26">
        <v>2</v>
      </c>
      <c r="O73" s="26">
        <v>2</v>
      </c>
      <c r="P73" s="26">
        <v>1</v>
      </c>
      <c r="Q73" s="26">
        <v>3</v>
      </c>
      <c r="R73" s="26">
        <v>3</v>
      </c>
      <c r="S73" s="26">
        <v>2</v>
      </c>
      <c r="T73" s="26">
        <v>4</v>
      </c>
      <c r="U73" s="26">
        <v>4</v>
      </c>
      <c r="V73" s="112">
        <v>1</v>
      </c>
      <c r="W73" s="112">
        <v>2</v>
      </c>
      <c r="X73" s="112">
        <v>1</v>
      </c>
      <c r="Y73" s="112">
        <v>2</v>
      </c>
      <c r="Z73" s="112">
        <v>1</v>
      </c>
      <c r="AA73" s="112">
        <v>1</v>
      </c>
      <c r="AB73" s="112">
        <v>1</v>
      </c>
      <c r="AC73" s="112">
        <v>2</v>
      </c>
      <c r="AD73" s="112">
        <v>4</v>
      </c>
      <c r="AE73" s="112">
        <v>4</v>
      </c>
      <c r="AF73" s="112">
        <v>3</v>
      </c>
      <c r="AG73" s="112">
        <v>2</v>
      </c>
      <c r="AH73" s="112">
        <v>3</v>
      </c>
      <c r="AI73" s="112">
        <v>3</v>
      </c>
      <c r="AJ73" s="112">
        <v>3</v>
      </c>
      <c r="AK73" s="112">
        <v>4</v>
      </c>
      <c r="AL73" s="112">
        <v>4</v>
      </c>
      <c r="AM73" s="112">
        <v>3</v>
      </c>
      <c r="AN73" s="112">
        <v>4</v>
      </c>
      <c r="AO73" s="112">
        <v>2</v>
      </c>
      <c r="AP73" s="26">
        <f t="shared" si="11"/>
        <v>40</v>
      </c>
      <c r="AQ73" s="27">
        <f t="shared" si="10"/>
        <v>50</v>
      </c>
    </row>
    <row r="74" spans="1:43" s="32" customFormat="1" x14ac:dyDescent="0.15">
      <c r="A74" s="112" t="s">
        <v>379</v>
      </c>
      <c r="B74" s="112">
        <v>3</v>
      </c>
      <c r="C74" s="112">
        <v>3</v>
      </c>
      <c r="D74" s="112">
        <v>2</v>
      </c>
      <c r="E74" s="112">
        <v>1</v>
      </c>
      <c r="F74" s="112">
        <v>3</v>
      </c>
      <c r="G74" s="112">
        <v>1</v>
      </c>
      <c r="H74" s="112">
        <v>2</v>
      </c>
      <c r="I74" s="112">
        <v>3</v>
      </c>
      <c r="J74" s="112">
        <v>2</v>
      </c>
      <c r="K74" s="112">
        <v>3</v>
      </c>
      <c r="L74" s="112">
        <v>3</v>
      </c>
      <c r="M74" s="112">
        <v>2</v>
      </c>
      <c r="N74" s="112">
        <v>1</v>
      </c>
      <c r="O74" s="112">
        <v>1</v>
      </c>
      <c r="P74" s="112">
        <v>3</v>
      </c>
      <c r="Q74" s="112">
        <v>2</v>
      </c>
      <c r="R74" s="112">
        <v>2</v>
      </c>
      <c r="S74" s="112">
        <v>1</v>
      </c>
      <c r="T74" s="112">
        <v>3</v>
      </c>
      <c r="U74" s="112">
        <v>3</v>
      </c>
      <c r="V74" s="112">
        <v>3</v>
      </c>
      <c r="W74" s="112">
        <v>2</v>
      </c>
      <c r="X74" s="112">
        <v>2</v>
      </c>
      <c r="Y74" s="112">
        <v>1</v>
      </c>
      <c r="Z74" s="112">
        <v>1</v>
      </c>
      <c r="AA74" s="112">
        <v>3</v>
      </c>
      <c r="AB74" s="112">
        <v>4</v>
      </c>
      <c r="AC74" s="112">
        <v>2</v>
      </c>
      <c r="AD74" s="112">
        <v>2</v>
      </c>
      <c r="AE74" s="112">
        <v>3</v>
      </c>
      <c r="AF74" s="112">
        <v>1</v>
      </c>
      <c r="AG74" s="112">
        <v>2</v>
      </c>
      <c r="AH74" s="112">
        <v>4</v>
      </c>
      <c r="AI74" s="112">
        <v>3</v>
      </c>
      <c r="AJ74" s="112">
        <v>1</v>
      </c>
      <c r="AK74" s="112">
        <v>3</v>
      </c>
      <c r="AL74" s="112">
        <v>1</v>
      </c>
      <c r="AM74" s="112">
        <v>1</v>
      </c>
      <c r="AN74" s="112">
        <v>3</v>
      </c>
      <c r="AO74" s="112">
        <v>2</v>
      </c>
      <c r="AP74" s="26">
        <f t="shared" si="11"/>
        <v>44</v>
      </c>
      <c r="AQ74" s="27">
        <f t="shared" si="10"/>
        <v>44</v>
      </c>
    </row>
    <row r="75" spans="1:43" s="32" customFormat="1" x14ac:dyDescent="0.15">
      <c r="A75" s="112" t="s">
        <v>380</v>
      </c>
      <c r="B75" s="112">
        <v>4</v>
      </c>
      <c r="C75" s="112">
        <v>4</v>
      </c>
      <c r="D75" s="112">
        <v>1</v>
      </c>
      <c r="E75" s="112">
        <v>1</v>
      </c>
      <c r="F75" s="112">
        <v>4</v>
      </c>
      <c r="G75" s="112">
        <v>1</v>
      </c>
      <c r="H75" s="112">
        <v>1</v>
      </c>
      <c r="I75" s="112">
        <v>4</v>
      </c>
      <c r="J75" s="112">
        <v>1</v>
      </c>
      <c r="K75" s="112">
        <v>4</v>
      </c>
      <c r="L75" s="112">
        <v>4</v>
      </c>
      <c r="M75" s="112">
        <v>1</v>
      </c>
      <c r="N75" s="112">
        <v>1</v>
      </c>
      <c r="O75" s="112">
        <v>1</v>
      </c>
      <c r="P75" s="112">
        <v>4</v>
      </c>
      <c r="Q75" s="112">
        <v>4</v>
      </c>
      <c r="R75" s="112">
        <v>1</v>
      </c>
      <c r="S75" s="112">
        <v>1</v>
      </c>
      <c r="T75" s="112">
        <v>4</v>
      </c>
      <c r="U75" s="112">
        <v>4</v>
      </c>
      <c r="V75" s="112">
        <v>4</v>
      </c>
      <c r="W75" s="112">
        <v>1</v>
      </c>
      <c r="X75" s="112">
        <v>4</v>
      </c>
      <c r="Y75" s="112">
        <v>1</v>
      </c>
      <c r="Z75" s="112">
        <v>1</v>
      </c>
      <c r="AA75" s="112">
        <v>4</v>
      </c>
      <c r="AB75" s="112">
        <v>4</v>
      </c>
      <c r="AC75" s="112">
        <v>1</v>
      </c>
      <c r="AD75" s="112">
        <v>1</v>
      </c>
      <c r="AE75" s="112">
        <v>4</v>
      </c>
      <c r="AF75" s="112">
        <v>1</v>
      </c>
      <c r="AG75" s="112">
        <v>1</v>
      </c>
      <c r="AH75" s="112">
        <v>4</v>
      </c>
      <c r="AI75" s="112">
        <v>4</v>
      </c>
      <c r="AJ75" s="112">
        <v>1</v>
      </c>
      <c r="AK75" s="112">
        <v>4</v>
      </c>
      <c r="AL75" s="112">
        <v>1</v>
      </c>
      <c r="AM75" s="112">
        <v>1</v>
      </c>
      <c r="AN75" s="112">
        <v>4</v>
      </c>
      <c r="AO75" s="112">
        <v>1</v>
      </c>
      <c r="AP75" s="26">
        <f t="shared" si="11"/>
        <v>50</v>
      </c>
      <c r="AQ75" s="27">
        <f t="shared" si="10"/>
        <v>47</v>
      </c>
    </row>
    <row r="76" spans="1:43" s="33" customFormat="1" x14ac:dyDescent="0.2">
      <c r="A76" s="112" t="s">
        <v>382</v>
      </c>
      <c r="B76" s="26">
        <v>3</v>
      </c>
      <c r="C76" s="26">
        <v>3</v>
      </c>
      <c r="D76" s="26">
        <v>1</v>
      </c>
      <c r="E76" s="26">
        <v>1</v>
      </c>
      <c r="F76" s="26">
        <v>3</v>
      </c>
      <c r="G76" s="26">
        <v>1</v>
      </c>
      <c r="H76" s="26">
        <v>1</v>
      </c>
      <c r="I76" s="26">
        <v>2</v>
      </c>
      <c r="J76" s="26">
        <v>1</v>
      </c>
      <c r="K76" s="26">
        <v>1</v>
      </c>
      <c r="L76" s="26">
        <v>3</v>
      </c>
      <c r="M76" s="26">
        <v>1</v>
      </c>
      <c r="N76" s="26">
        <v>2</v>
      </c>
      <c r="O76" s="26">
        <v>1</v>
      </c>
      <c r="P76" s="26">
        <v>1</v>
      </c>
      <c r="Q76" s="26">
        <v>2</v>
      </c>
      <c r="R76" s="26">
        <v>1</v>
      </c>
      <c r="S76" s="26">
        <v>1</v>
      </c>
      <c r="T76" s="26">
        <v>2</v>
      </c>
      <c r="U76" s="26">
        <v>2</v>
      </c>
      <c r="V76" s="26">
        <v>2</v>
      </c>
      <c r="W76" s="26">
        <v>1</v>
      </c>
      <c r="X76" s="26">
        <v>2</v>
      </c>
      <c r="Y76" s="26">
        <v>1</v>
      </c>
      <c r="Z76" s="26">
        <v>1</v>
      </c>
      <c r="AA76" s="26">
        <v>4</v>
      </c>
      <c r="AB76" s="26">
        <v>3</v>
      </c>
      <c r="AC76" s="26">
        <v>2</v>
      </c>
      <c r="AD76" s="26">
        <v>1</v>
      </c>
      <c r="AE76" s="26">
        <v>3</v>
      </c>
      <c r="AF76" s="26">
        <v>1</v>
      </c>
      <c r="AG76" s="26">
        <v>1</v>
      </c>
      <c r="AH76" s="26">
        <v>1</v>
      </c>
      <c r="AI76" s="26">
        <v>2</v>
      </c>
      <c r="AJ76" s="26">
        <v>1</v>
      </c>
      <c r="AK76" s="26">
        <v>3</v>
      </c>
      <c r="AL76" s="26">
        <v>1</v>
      </c>
      <c r="AM76" s="26">
        <v>1</v>
      </c>
      <c r="AN76" s="26">
        <v>4</v>
      </c>
      <c r="AO76" s="26">
        <v>2</v>
      </c>
      <c r="AP76" s="26">
        <f t="shared" si="11"/>
        <v>33</v>
      </c>
      <c r="AQ76" s="27">
        <f t="shared" si="10"/>
        <v>37</v>
      </c>
    </row>
    <row r="77" spans="1:43" s="33" customFormat="1" x14ac:dyDescent="0.2">
      <c r="A77" s="112" t="s">
        <v>383</v>
      </c>
      <c r="B77" s="26">
        <v>4</v>
      </c>
      <c r="C77" s="26">
        <v>4</v>
      </c>
      <c r="D77" s="26">
        <v>1</v>
      </c>
      <c r="E77" s="26">
        <v>1</v>
      </c>
      <c r="F77" s="26">
        <v>4</v>
      </c>
      <c r="G77" s="26">
        <v>1</v>
      </c>
      <c r="H77" s="26">
        <v>1</v>
      </c>
      <c r="I77" s="26">
        <v>4</v>
      </c>
      <c r="J77" s="26">
        <v>1</v>
      </c>
      <c r="K77" s="26">
        <v>4</v>
      </c>
      <c r="L77" s="26">
        <v>4</v>
      </c>
      <c r="M77" s="26">
        <v>1</v>
      </c>
      <c r="N77" s="26">
        <v>1</v>
      </c>
      <c r="O77" s="26">
        <v>1</v>
      </c>
      <c r="P77" s="26">
        <v>4</v>
      </c>
      <c r="Q77" s="26">
        <v>4</v>
      </c>
      <c r="R77" s="26">
        <v>1</v>
      </c>
      <c r="S77" s="26">
        <v>1</v>
      </c>
      <c r="T77" s="26">
        <v>4</v>
      </c>
      <c r="U77" s="26">
        <v>4</v>
      </c>
      <c r="V77" s="26">
        <v>3</v>
      </c>
      <c r="W77" s="26">
        <v>2</v>
      </c>
      <c r="X77" s="26">
        <v>4</v>
      </c>
      <c r="Y77" s="26">
        <v>1</v>
      </c>
      <c r="Z77" s="26">
        <v>1</v>
      </c>
      <c r="AA77" s="26">
        <v>2</v>
      </c>
      <c r="AB77" s="26">
        <v>3</v>
      </c>
      <c r="AC77" s="26">
        <v>1</v>
      </c>
      <c r="AD77" s="26">
        <v>2</v>
      </c>
      <c r="AE77" s="26">
        <v>4</v>
      </c>
      <c r="AF77" s="26">
        <v>2</v>
      </c>
      <c r="AG77" s="26">
        <v>1</v>
      </c>
      <c r="AH77" s="26">
        <v>4</v>
      </c>
      <c r="AI77" s="26">
        <v>3</v>
      </c>
      <c r="AJ77" s="26">
        <v>1</v>
      </c>
      <c r="AK77" s="26">
        <v>4</v>
      </c>
      <c r="AL77" s="26">
        <v>2</v>
      </c>
      <c r="AM77" s="26">
        <v>1</v>
      </c>
      <c r="AN77" s="26">
        <v>4</v>
      </c>
      <c r="AO77" s="26">
        <v>2</v>
      </c>
      <c r="AP77" s="26">
        <f t="shared" si="11"/>
        <v>50</v>
      </c>
      <c r="AQ77" s="27">
        <f t="shared" si="10"/>
        <v>47</v>
      </c>
    </row>
    <row r="78" spans="1:43" s="33" customFormat="1" x14ac:dyDescent="0.2">
      <c r="A78" s="112" t="s">
        <v>384</v>
      </c>
      <c r="B78" s="112">
        <v>2</v>
      </c>
      <c r="C78" s="26">
        <v>3</v>
      </c>
      <c r="D78" s="26">
        <v>4</v>
      </c>
      <c r="E78" s="26">
        <v>2</v>
      </c>
      <c r="F78" s="26">
        <v>1</v>
      </c>
      <c r="G78" s="26">
        <v>2</v>
      </c>
      <c r="H78" s="26">
        <v>2</v>
      </c>
      <c r="I78" s="26">
        <v>2</v>
      </c>
      <c r="J78" s="26">
        <v>2</v>
      </c>
      <c r="K78" s="26">
        <v>2</v>
      </c>
      <c r="L78" s="26">
        <v>2</v>
      </c>
      <c r="M78" s="26">
        <v>1</v>
      </c>
      <c r="N78" s="26">
        <v>2</v>
      </c>
      <c r="O78" s="26">
        <v>2</v>
      </c>
      <c r="P78" s="26">
        <v>1</v>
      </c>
      <c r="Q78" s="26">
        <v>2</v>
      </c>
      <c r="R78" s="123">
        <v>1</v>
      </c>
      <c r="S78" s="26">
        <v>2</v>
      </c>
      <c r="T78" s="26">
        <v>2</v>
      </c>
      <c r="U78" s="26">
        <v>2</v>
      </c>
      <c r="V78" s="26">
        <v>2</v>
      </c>
      <c r="W78" s="26">
        <v>1</v>
      </c>
      <c r="X78" s="26">
        <v>2</v>
      </c>
      <c r="Y78" s="26">
        <v>1</v>
      </c>
      <c r="Z78" s="26">
        <v>1</v>
      </c>
      <c r="AA78" s="26">
        <v>2</v>
      </c>
      <c r="AB78" s="26">
        <v>2</v>
      </c>
      <c r="AC78" s="26">
        <v>2</v>
      </c>
      <c r="AD78" s="26">
        <v>1</v>
      </c>
      <c r="AE78" s="26">
        <v>2</v>
      </c>
      <c r="AF78" s="26">
        <v>2</v>
      </c>
      <c r="AG78" s="26">
        <v>2</v>
      </c>
      <c r="AH78" s="26">
        <v>2</v>
      </c>
      <c r="AI78" s="26">
        <v>2</v>
      </c>
      <c r="AJ78" s="26">
        <v>2</v>
      </c>
      <c r="AK78" s="26">
        <v>2</v>
      </c>
      <c r="AL78" s="26">
        <v>2</v>
      </c>
      <c r="AM78" s="26">
        <v>2</v>
      </c>
      <c r="AN78" s="26">
        <v>2</v>
      </c>
      <c r="AO78" s="26">
        <v>2</v>
      </c>
      <c r="AP78" s="26">
        <f t="shared" si="11"/>
        <v>39</v>
      </c>
      <c r="AQ78" s="27">
        <f t="shared" si="10"/>
        <v>36</v>
      </c>
    </row>
    <row r="79" spans="1:43" s="33" customFormat="1" x14ac:dyDescent="0.2">
      <c r="A79" s="112" t="s">
        <v>385</v>
      </c>
      <c r="B79" s="26">
        <v>4</v>
      </c>
      <c r="C79" s="26">
        <v>3</v>
      </c>
      <c r="D79" s="26">
        <v>2</v>
      </c>
      <c r="E79" s="26">
        <v>2</v>
      </c>
      <c r="F79" s="26">
        <v>3</v>
      </c>
      <c r="G79" s="26">
        <v>2</v>
      </c>
      <c r="H79" s="26">
        <v>2</v>
      </c>
      <c r="I79" s="26">
        <v>3</v>
      </c>
      <c r="J79" s="26">
        <v>1</v>
      </c>
      <c r="K79" s="26">
        <v>3</v>
      </c>
      <c r="L79" s="26">
        <v>3</v>
      </c>
      <c r="M79" s="26">
        <v>1</v>
      </c>
      <c r="N79" s="26">
        <v>1</v>
      </c>
      <c r="O79" s="26">
        <v>1</v>
      </c>
      <c r="P79" s="26">
        <v>3</v>
      </c>
      <c r="Q79" s="26">
        <v>3</v>
      </c>
      <c r="R79" s="26">
        <v>1</v>
      </c>
      <c r="S79" s="26">
        <v>1</v>
      </c>
      <c r="T79" s="26">
        <v>2</v>
      </c>
      <c r="U79" s="26">
        <v>3</v>
      </c>
      <c r="V79" s="26">
        <v>3</v>
      </c>
      <c r="W79" s="26">
        <v>2</v>
      </c>
      <c r="X79" s="26">
        <v>3</v>
      </c>
      <c r="Y79" s="26">
        <v>1</v>
      </c>
      <c r="Z79" s="26">
        <v>1</v>
      </c>
      <c r="AA79" s="26">
        <v>3</v>
      </c>
      <c r="AB79" s="26">
        <v>3</v>
      </c>
      <c r="AC79" s="26">
        <v>1</v>
      </c>
      <c r="AD79" s="26">
        <v>2</v>
      </c>
      <c r="AE79" s="26">
        <v>3</v>
      </c>
      <c r="AF79" s="26">
        <v>2</v>
      </c>
      <c r="AG79" s="26">
        <v>1</v>
      </c>
      <c r="AH79" s="26">
        <v>3</v>
      </c>
      <c r="AI79" s="26">
        <v>3</v>
      </c>
      <c r="AJ79" s="26">
        <v>1</v>
      </c>
      <c r="AK79" s="26">
        <v>3</v>
      </c>
      <c r="AL79" s="26">
        <v>2</v>
      </c>
      <c r="AM79" s="26">
        <v>1</v>
      </c>
      <c r="AN79" s="26">
        <v>3</v>
      </c>
      <c r="AO79" s="26">
        <v>2</v>
      </c>
      <c r="AP79" s="26">
        <f t="shared" si="11"/>
        <v>44</v>
      </c>
      <c r="AQ79" s="27">
        <f t="shared" si="10"/>
        <v>43</v>
      </c>
    </row>
    <row r="80" spans="1:43" s="33" customFormat="1" x14ac:dyDescent="0.2">
      <c r="A80" s="112" t="s">
        <v>386</v>
      </c>
      <c r="B80" s="26">
        <v>2</v>
      </c>
      <c r="C80" s="26">
        <v>2</v>
      </c>
      <c r="D80" s="26">
        <v>3</v>
      </c>
      <c r="E80" s="26">
        <v>2</v>
      </c>
      <c r="F80" s="26">
        <v>3</v>
      </c>
      <c r="G80" s="26">
        <v>1</v>
      </c>
      <c r="H80" s="26">
        <v>1</v>
      </c>
      <c r="I80" s="26">
        <v>3</v>
      </c>
      <c r="J80" s="26">
        <v>1</v>
      </c>
      <c r="K80" s="26">
        <v>2</v>
      </c>
      <c r="L80" s="26">
        <v>2</v>
      </c>
      <c r="M80" s="26">
        <v>3</v>
      </c>
      <c r="N80" s="26">
        <v>2</v>
      </c>
      <c r="O80" s="26">
        <v>2</v>
      </c>
      <c r="P80" s="26">
        <v>2</v>
      </c>
      <c r="Q80" s="26">
        <v>3</v>
      </c>
      <c r="R80" s="26">
        <v>2</v>
      </c>
      <c r="S80" s="26">
        <v>2</v>
      </c>
      <c r="T80" s="26">
        <v>2</v>
      </c>
      <c r="U80" s="26">
        <v>3</v>
      </c>
      <c r="V80" s="26">
        <v>3</v>
      </c>
      <c r="W80" s="26">
        <v>2</v>
      </c>
      <c r="X80" s="26">
        <v>2</v>
      </c>
      <c r="Y80" s="26">
        <v>2</v>
      </c>
      <c r="Z80" s="26">
        <v>1</v>
      </c>
      <c r="AA80" s="26">
        <v>3</v>
      </c>
      <c r="AB80" s="26">
        <v>3</v>
      </c>
      <c r="AC80" s="26">
        <v>2</v>
      </c>
      <c r="AD80" s="26">
        <v>3</v>
      </c>
      <c r="AE80" s="26">
        <v>3</v>
      </c>
      <c r="AF80" s="26">
        <v>3</v>
      </c>
      <c r="AG80" s="26">
        <v>2</v>
      </c>
      <c r="AH80" s="26">
        <v>2</v>
      </c>
      <c r="AI80" s="26">
        <v>2</v>
      </c>
      <c r="AJ80" s="26">
        <v>1</v>
      </c>
      <c r="AK80" s="26">
        <v>3</v>
      </c>
      <c r="AL80" s="26">
        <v>2</v>
      </c>
      <c r="AM80" s="26">
        <v>2</v>
      </c>
      <c r="AN80" s="26">
        <v>3</v>
      </c>
      <c r="AO80" s="26">
        <v>2</v>
      </c>
      <c r="AP80" s="26">
        <f t="shared" si="11"/>
        <v>43</v>
      </c>
      <c r="AQ80" s="27">
        <f t="shared" si="10"/>
        <v>46</v>
      </c>
    </row>
    <row r="81" spans="1:43" s="33" customFormat="1" x14ac:dyDescent="0.2">
      <c r="A81" s="112" t="s">
        <v>387</v>
      </c>
      <c r="B81" s="112">
        <v>4</v>
      </c>
      <c r="C81" s="26">
        <v>4</v>
      </c>
      <c r="D81" s="26">
        <v>1</v>
      </c>
      <c r="E81" s="26">
        <v>1</v>
      </c>
      <c r="F81" s="26">
        <v>4</v>
      </c>
      <c r="G81" s="26">
        <v>1</v>
      </c>
      <c r="H81" s="26">
        <v>1</v>
      </c>
      <c r="I81" s="26">
        <v>2</v>
      </c>
      <c r="J81" s="26">
        <v>1</v>
      </c>
      <c r="K81" s="26">
        <v>4</v>
      </c>
      <c r="L81" s="26">
        <v>1</v>
      </c>
      <c r="M81" s="26">
        <v>1</v>
      </c>
      <c r="N81" s="26">
        <v>1</v>
      </c>
      <c r="O81" s="26">
        <v>4</v>
      </c>
      <c r="P81" s="26">
        <v>4</v>
      </c>
      <c r="Q81" s="26">
        <v>3</v>
      </c>
      <c r="R81" s="26">
        <v>1</v>
      </c>
      <c r="S81" s="26">
        <v>1</v>
      </c>
      <c r="T81" s="123">
        <v>2</v>
      </c>
      <c r="U81" s="26">
        <v>4</v>
      </c>
      <c r="V81" s="26">
        <v>2</v>
      </c>
      <c r="W81" s="26">
        <v>4</v>
      </c>
      <c r="X81" s="26">
        <v>2</v>
      </c>
      <c r="Y81" s="26">
        <v>2</v>
      </c>
      <c r="Z81" s="26">
        <v>1</v>
      </c>
      <c r="AA81" s="26">
        <v>1</v>
      </c>
      <c r="AB81" s="26">
        <v>1</v>
      </c>
      <c r="AC81" s="26">
        <v>3</v>
      </c>
      <c r="AD81" s="26">
        <v>4</v>
      </c>
      <c r="AE81" s="26">
        <v>2</v>
      </c>
      <c r="AF81" s="26">
        <v>2</v>
      </c>
      <c r="AG81" s="26">
        <v>4</v>
      </c>
      <c r="AH81" s="26">
        <v>3</v>
      </c>
      <c r="AI81" s="26">
        <v>4</v>
      </c>
      <c r="AJ81" s="26">
        <v>2</v>
      </c>
      <c r="AK81" s="26">
        <v>2</v>
      </c>
      <c r="AL81" s="26">
        <v>2</v>
      </c>
      <c r="AM81" s="26">
        <v>1</v>
      </c>
      <c r="AN81" s="26">
        <v>3</v>
      </c>
      <c r="AO81" s="26">
        <v>3</v>
      </c>
      <c r="AP81" s="26">
        <f t="shared" si="11"/>
        <v>45</v>
      </c>
      <c r="AQ81" s="27">
        <f t="shared" si="10"/>
        <v>48</v>
      </c>
    </row>
    <row r="82" spans="1:43" s="33" customFormat="1" x14ac:dyDescent="0.2">
      <c r="A82" s="112" t="s">
        <v>389</v>
      </c>
      <c r="B82" s="26">
        <v>1</v>
      </c>
      <c r="C82" s="26">
        <v>2</v>
      </c>
      <c r="D82" s="26">
        <v>2</v>
      </c>
      <c r="E82" s="26">
        <v>1</v>
      </c>
      <c r="F82" s="26">
        <v>1</v>
      </c>
      <c r="G82" s="26">
        <v>4</v>
      </c>
      <c r="H82" s="26">
        <v>1</v>
      </c>
      <c r="I82" s="26">
        <v>1</v>
      </c>
      <c r="J82" s="26">
        <v>3</v>
      </c>
      <c r="K82" s="26">
        <v>3</v>
      </c>
      <c r="L82" s="26">
        <v>3</v>
      </c>
      <c r="M82" s="26">
        <v>3</v>
      </c>
      <c r="N82" s="26">
        <v>3</v>
      </c>
      <c r="O82" s="26">
        <v>3</v>
      </c>
      <c r="P82" s="26">
        <v>1</v>
      </c>
      <c r="Q82" s="26">
        <v>1</v>
      </c>
      <c r="R82" s="26">
        <v>3</v>
      </c>
      <c r="S82" s="26">
        <v>2</v>
      </c>
      <c r="T82" s="26">
        <v>2</v>
      </c>
      <c r="U82" s="26">
        <v>1</v>
      </c>
      <c r="V82" s="26">
        <v>2</v>
      </c>
      <c r="W82" s="26">
        <v>3</v>
      </c>
      <c r="X82" s="26">
        <v>3</v>
      </c>
      <c r="Y82" s="26">
        <v>1</v>
      </c>
      <c r="Z82" s="26">
        <v>1</v>
      </c>
      <c r="AA82" s="26">
        <v>2</v>
      </c>
      <c r="AB82" s="26">
        <v>2</v>
      </c>
      <c r="AC82" s="26">
        <v>1</v>
      </c>
      <c r="AD82" s="26">
        <v>2</v>
      </c>
      <c r="AE82" s="26">
        <v>3</v>
      </c>
      <c r="AF82" s="26">
        <v>1</v>
      </c>
      <c r="AG82" s="26">
        <v>3</v>
      </c>
      <c r="AH82" s="26">
        <v>1</v>
      </c>
      <c r="AI82" s="26">
        <v>1</v>
      </c>
      <c r="AJ82" s="26">
        <v>1</v>
      </c>
      <c r="AK82" s="26">
        <v>4</v>
      </c>
      <c r="AL82" s="26">
        <v>3</v>
      </c>
      <c r="AM82" s="26">
        <v>1</v>
      </c>
      <c r="AN82" s="26">
        <v>4</v>
      </c>
      <c r="AO82" s="26">
        <v>3</v>
      </c>
      <c r="AP82" s="26">
        <f t="shared" si="11"/>
        <v>41</v>
      </c>
      <c r="AQ82" s="27">
        <f t="shared" si="10"/>
        <v>42</v>
      </c>
    </row>
    <row r="83" spans="1:43" s="33" customFormat="1" x14ac:dyDescent="0.2">
      <c r="A83" s="112" t="s">
        <v>390</v>
      </c>
      <c r="B83" s="26">
        <v>2</v>
      </c>
      <c r="C83" s="26">
        <v>2</v>
      </c>
      <c r="D83" s="26">
        <v>3</v>
      </c>
      <c r="E83" s="26">
        <v>3</v>
      </c>
      <c r="F83" s="26">
        <v>2</v>
      </c>
      <c r="G83" s="26">
        <v>2</v>
      </c>
      <c r="H83" s="26">
        <v>2</v>
      </c>
      <c r="I83" s="26">
        <v>2</v>
      </c>
      <c r="J83" s="26">
        <v>3</v>
      </c>
      <c r="K83" s="26">
        <v>2</v>
      </c>
      <c r="L83" s="26">
        <v>2</v>
      </c>
      <c r="M83" s="26">
        <v>3</v>
      </c>
      <c r="N83" s="26">
        <v>2</v>
      </c>
      <c r="O83" s="26">
        <v>1</v>
      </c>
      <c r="P83" s="26">
        <v>1</v>
      </c>
      <c r="Q83" s="26">
        <v>2</v>
      </c>
      <c r="R83" s="26">
        <v>4</v>
      </c>
      <c r="S83" s="26">
        <v>1</v>
      </c>
      <c r="T83" s="26">
        <v>2</v>
      </c>
      <c r="U83" s="26">
        <v>2</v>
      </c>
      <c r="V83" s="26">
        <v>2</v>
      </c>
      <c r="W83" s="26">
        <v>2</v>
      </c>
      <c r="X83" s="26">
        <v>3</v>
      </c>
      <c r="Y83" s="26">
        <v>3</v>
      </c>
      <c r="Z83" s="26">
        <v>1</v>
      </c>
      <c r="AA83" s="26">
        <v>2</v>
      </c>
      <c r="AB83" s="26">
        <v>2</v>
      </c>
      <c r="AC83" s="26">
        <v>2</v>
      </c>
      <c r="AD83" s="26">
        <v>2</v>
      </c>
      <c r="AE83" s="26">
        <v>2</v>
      </c>
      <c r="AF83" s="26">
        <v>4</v>
      </c>
      <c r="AG83" s="26">
        <v>1</v>
      </c>
      <c r="AH83" s="26">
        <v>3</v>
      </c>
      <c r="AI83" s="26">
        <v>3</v>
      </c>
      <c r="AJ83" s="26">
        <v>2</v>
      </c>
      <c r="AK83" s="26">
        <v>2</v>
      </c>
      <c r="AL83" s="26">
        <v>2</v>
      </c>
      <c r="AM83" s="26">
        <v>2</v>
      </c>
      <c r="AN83" s="26">
        <v>3</v>
      </c>
      <c r="AO83" s="26">
        <v>4</v>
      </c>
      <c r="AP83" s="26">
        <f t="shared" si="11"/>
        <v>43</v>
      </c>
      <c r="AQ83" s="27">
        <f t="shared" si="10"/>
        <v>47</v>
      </c>
    </row>
    <row r="84" spans="1:43" s="33" customFormat="1" x14ac:dyDescent="0.2">
      <c r="A84" s="112" t="s">
        <v>392</v>
      </c>
      <c r="B84" s="26">
        <v>2</v>
      </c>
      <c r="C84" s="26">
        <v>3</v>
      </c>
      <c r="D84" s="26">
        <v>1</v>
      </c>
      <c r="E84" s="26">
        <v>1</v>
      </c>
      <c r="F84" s="26">
        <v>2</v>
      </c>
      <c r="G84" s="26">
        <v>1</v>
      </c>
      <c r="H84" s="26">
        <v>2</v>
      </c>
      <c r="I84" s="26">
        <v>2</v>
      </c>
      <c r="J84" s="26">
        <v>1</v>
      </c>
      <c r="K84" s="26">
        <v>3</v>
      </c>
      <c r="L84" s="26">
        <v>2</v>
      </c>
      <c r="M84" s="26">
        <v>2</v>
      </c>
      <c r="N84" s="26">
        <v>2</v>
      </c>
      <c r="O84" s="26">
        <v>2</v>
      </c>
      <c r="P84" s="26">
        <v>2</v>
      </c>
      <c r="Q84" s="26">
        <v>2</v>
      </c>
      <c r="R84" s="26">
        <v>2</v>
      </c>
      <c r="S84" s="26">
        <v>2</v>
      </c>
      <c r="T84" s="26">
        <v>2</v>
      </c>
      <c r="U84" s="26">
        <v>3</v>
      </c>
      <c r="V84" s="26">
        <v>3</v>
      </c>
      <c r="W84" s="26">
        <v>2</v>
      </c>
      <c r="X84" s="26">
        <v>3</v>
      </c>
      <c r="Y84" s="26">
        <v>2</v>
      </c>
      <c r="Z84" s="26">
        <v>1</v>
      </c>
      <c r="AA84" s="26">
        <v>2</v>
      </c>
      <c r="AB84" s="26">
        <v>2</v>
      </c>
      <c r="AC84" s="26">
        <v>1</v>
      </c>
      <c r="AD84" s="26">
        <v>3</v>
      </c>
      <c r="AE84" s="26">
        <v>2</v>
      </c>
      <c r="AF84" s="26">
        <v>2</v>
      </c>
      <c r="AG84" s="26">
        <v>2</v>
      </c>
      <c r="AH84" s="26">
        <v>2</v>
      </c>
      <c r="AI84" s="26">
        <v>1</v>
      </c>
      <c r="AJ84" s="26">
        <v>2</v>
      </c>
      <c r="AK84" s="26">
        <v>3</v>
      </c>
      <c r="AL84" s="26">
        <v>2</v>
      </c>
      <c r="AM84" s="26">
        <v>1</v>
      </c>
      <c r="AN84" s="26">
        <v>2</v>
      </c>
      <c r="AO84" s="26">
        <v>2</v>
      </c>
      <c r="AP84" s="26">
        <f t="shared" si="11"/>
        <v>39</v>
      </c>
      <c r="AQ84" s="27">
        <f t="shared" si="10"/>
        <v>40</v>
      </c>
    </row>
    <row r="85" spans="1:43" s="33" customFormat="1" x14ac:dyDescent="0.2">
      <c r="A85" s="112" t="s">
        <v>393</v>
      </c>
      <c r="B85" s="26">
        <v>3</v>
      </c>
      <c r="C85" s="26">
        <v>2</v>
      </c>
      <c r="D85" s="26">
        <v>1</v>
      </c>
      <c r="E85" s="26">
        <v>1</v>
      </c>
      <c r="F85" s="26">
        <v>3</v>
      </c>
      <c r="G85" s="26">
        <v>2</v>
      </c>
      <c r="H85" s="26">
        <v>1</v>
      </c>
      <c r="I85" s="26">
        <v>3</v>
      </c>
      <c r="J85" s="26">
        <v>2</v>
      </c>
      <c r="K85" s="26">
        <v>4</v>
      </c>
      <c r="L85" s="26">
        <v>2</v>
      </c>
      <c r="M85" s="26">
        <v>1</v>
      </c>
      <c r="N85" s="26">
        <v>1</v>
      </c>
      <c r="O85" s="26">
        <v>1</v>
      </c>
      <c r="P85" s="26">
        <v>3</v>
      </c>
      <c r="Q85" s="26">
        <v>4</v>
      </c>
      <c r="R85" s="26">
        <v>1</v>
      </c>
      <c r="S85" s="26">
        <v>1</v>
      </c>
      <c r="T85" s="26">
        <v>3</v>
      </c>
      <c r="U85" s="26">
        <v>3</v>
      </c>
      <c r="V85" s="26">
        <v>2</v>
      </c>
      <c r="W85" s="26">
        <v>3</v>
      </c>
      <c r="X85" s="26">
        <v>1</v>
      </c>
      <c r="Y85" s="26">
        <v>3</v>
      </c>
      <c r="Z85" s="26">
        <v>4</v>
      </c>
      <c r="AA85" s="26">
        <v>2</v>
      </c>
      <c r="AB85" s="26">
        <v>3</v>
      </c>
      <c r="AC85" s="26">
        <v>3</v>
      </c>
      <c r="AD85" s="26">
        <v>1</v>
      </c>
      <c r="AE85" s="26">
        <v>3</v>
      </c>
      <c r="AF85" s="26">
        <v>2</v>
      </c>
      <c r="AG85" s="26">
        <v>3</v>
      </c>
      <c r="AH85" s="26">
        <v>1</v>
      </c>
      <c r="AI85" s="26">
        <v>1</v>
      </c>
      <c r="AJ85" s="26">
        <v>4</v>
      </c>
      <c r="AK85" s="26">
        <v>2</v>
      </c>
      <c r="AL85" s="26">
        <v>1</v>
      </c>
      <c r="AM85" s="26">
        <v>1</v>
      </c>
      <c r="AN85" s="26">
        <v>4</v>
      </c>
      <c r="AO85" s="26">
        <v>3</v>
      </c>
      <c r="AP85" s="26">
        <f t="shared" si="11"/>
        <v>42</v>
      </c>
      <c r="AQ85" s="27">
        <f t="shared" si="10"/>
        <v>47</v>
      </c>
    </row>
    <row r="86" spans="1:43" s="33" customFormat="1" x14ac:dyDescent="0.2">
      <c r="A86" s="112" t="s">
        <v>394</v>
      </c>
      <c r="B86" s="26">
        <v>4</v>
      </c>
      <c r="C86" s="26">
        <v>4</v>
      </c>
      <c r="D86" s="26">
        <v>1</v>
      </c>
      <c r="E86" s="26">
        <v>1</v>
      </c>
      <c r="F86" s="26">
        <v>4</v>
      </c>
      <c r="G86" s="26">
        <v>1</v>
      </c>
      <c r="H86" s="26">
        <v>1</v>
      </c>
      <c r="I86" s="26">
        <v>4</v>
      </c>
      <c r="J86" s="26">
        <v>1</v>
      </c>
      <c r="K86" s="26">
        <v>4</v>
      </c>
      <c r="L86" s="26">
        <v>4</v>
      </c>
      <c r="M86" s="26">
        <v>1</v>
      </c>
      <c r="N86" s="26">
        <v>1</v>
      </c>
      <c r="O86" s="26">
        <v>1</v>
      </c>
      <c r="P86" s="26">
        <v>4</v>
      </c>
      <c r="Q86" s="26">
        <v>4</v>
      </c>
      <c r="R86" s="26">
        <v>1</v>
      </c>
      <c r="S86" s="26">
        <v>1</v>
      </c>
      <c r="T86" s="26">
        <v>4</v>
      </c>
      <c r="U86" s="26">
        <v>4</v>
      </c>
      <c r="V86" s="26">
        <v>3</v>
      </c>
      <c r="W86" s="26">
        <v>1</v>
      </c>
      <c r="X86" s="26">
        <v>4</v>
      </c>
      <c r="Y86" s="26">
        <v>4</v>
      </c>
      <c r="Z86" s="26">
        <v>1</v>
      </c>
      <c r="AA86" s="26">
        <v>3</v>
      </c>
      <c r="AB86" s="26">
        <v>4</v>
      </c>
      <c r="AC86" s="26">
        <v>1</v>
      </c>
      <c r="AD86" s="26">
        <v>1</v>
      </c>
      <c r="AE86" s="26">
        <v>4</v>
      </c>
      <c r="AF86" s="26">
        <v>1</v>
      </c>
      <c r="AG86" s="26">
        <v>1</v>
      </c>
      <c r="AH86" s="26">
        <v>4</v>
      </c>
      <c r="AI86" s="26">
        <v>3</v>
      </c>
      <c r="AJ86" s="26">
        <v>1</v>
      </c>
      <c r="AK86" s="26">
        <v>4</v>
      </c>
      <c r="AL86" s="26">
        <v>1</v>
      </c>
      <c r="AM86" s="26">
        <v>1</v>
      </c>
      <c r="AN86" s="26">
        <v>4</v>
      </c>
      <c r="AO86" s="26">
        <v>1</v>
      </c>
      <c r="AP86" s="26">
        <f t="shared" si="11"/>
        <v>50</v>
      </c>
      <c r="AQ86" s="27">
        <f t="shared" si="10"/>
        <v>47</v>
      </c>
    </row>
    <row r="87" spans="1:43" s="33" customFormat="1" x14ac:dyDescent="0.2">
      <c r="A87" s="112" t="s">
        <v>395</v>
      </c>
      <c r="B87" s="26">
        <v>4</v>
      </c>
      <c r="C87" s="26">
        <v>4</v>
      </c>
      <c r="D87" s="26">
        <v>1</v>
      </c>
      <c r="E87" s="26">
        <v>1</v>
      </c>
      <c r="F87" s="26">
        <v>4</v>
      </c>
      <c r="G87" s="26">
        <v>1</v>
      </c>
      <c r="H87" s="26">
        <v>1</v>
      </c>
      <c r="I87" s="26">
        <v>4</v>
      </c>
      <c r="J87" s="26">
        <v>1</v>
      </c>
      <c r="K87" s="26">
        <v>4</v>
      </c>
      <c r="L87" s="26">
        <v>4</v>
      </c>
      <c r="M87" s="26">
        <v>1</v>
      </c>
      <c r="N87" s="26">
        <v>1</v>
      </c>
      <c r="O87" s="26">
        <v>1</v>
      </c>
      <c r="P87" s="26">
        <v>4</v>
      </c>
      <c r="Q87" s="26">
        <v>4</v>
      </c>
      <c r="R87" s="26">
        <v>1</v>
      </c>
      <c r="S87" s="26">
        <v>1</v>
      </c>
      <c r="T87" s="26">
        <v>4</v>
      </c>
      <c r="U87" s="26">
        <v>4</v>
      </c>
      <c r="V87" s="26">
        <v>4</v>
      </c>
      <c r="W87" s="26">
        <v>1</v>
      </c>
      <c r="X87" s="26">
        <v>4</v>
      </c>
      <c r="Y87" s="26">
        <v>4</v>
      </c>
      <c r="Z87" s="26">
        <v>1</v>
      </c>
      <c r="AA87" s="26">
        <v>4</v>
      </c>
      <c r="AB87" s="26">
        <v>4</v>
      </c>
      <c r="AC87" s="26">
        <v>1</v>
      </c>
      <c r="AD87" s="26">
        <v>1</v>
      </c>
      <c r="AE87" s="26">
        <v>4</v>
      </c>
      <c r="AF87" s="26">
        <v>1</v>
      </c>
      <c r="AG87" s="26">
        <v>1</v>
      </c>
      <c r="AH87" s="26">
        <v>4</v>
      </c>
      <c r="AI87" s="26">
        <v>4</v>
      </c>
      <c r="AJ87" s="26">
        <v>1</v>
      </c>
      <c r="AK87" s="26">
        <v>4</v>
      </c>
      <c r="AL87" s="26">
        <v>1</v>
      </c>
      <c r="AM87" s="26">
        <v>1</v>
      </c>
      <c r="AN87" s="26">
        <v>4</v>
      </c>
      <c r="AO87" s="26">
        <v>1</v>
      </c>
      <c r="AP87" s="26">
        <f t="shared" si="11"/>
        <v>50</v>
      </c>
      <c r="AQ87" s="27">
        <f t="shared" si="10"/>
        <v>50</v>
      </c>
    </row>
    <row r="88" spans="1:43" s="33" customFormat="1" x14ac:dyDescent="0.2">
      <c r="A88" s="112" t="s">
        <v>396</v>
      </c>
      <c r="B88" s="26">
        <v>3</v>
      </c>
      <c r="C88" s="26">
        <v>3</v>
      </c>
      <c r="D88" s="26">
        <v>2</v>
      </c>
      <c r="E88" s="26">
        <v>2</v>
      </c>
      <c r="F88" s="26">
        <v>2</v>
      </c>
      <c r="G88" s="26">
        <v>3</v>
      </c>
      <c r="H88" s="26">
        <v>2</v>
      </c>
      <c r="I88" s="26">
        <v>2</v>
      </c>
      <c r="J88" s="26">
        <v>3</v>
      </c>
      <c r="K88" s="26">
        <v>1</v>
      </c>
      <c r="L88" s="26">
        <v>2</v>
      </c>
      <c r="M88" s="26">
        <v>3</v>
      </c>
      <c r="N88" s="26">
        <v>2</v>
      </c>
      <c r="O88" s="26">
        <v>3</v>
      </c>
      <c r="P88" s="26">
        <v>2</v>
      </c>
      <c r="Q88" s="26">
        <v>2</v>
      </c>
      <c r="R88" s="26">
        <v>3</v>
      </c>
      <c r="S88" s="26">
        <v>2</v>
      </c>
      <c r="T88" s="26">
        <v>1</v>
      </c>
      <c r="U88" s="26">
        <v>1</v>
      </c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>
        <f t="shared" si="11"/>
        <v>44</v>
      </c>
      <c r="AQ88" s="26"/>
    </row>
    <row r="89" spans="1:43" s="33" customFormat="1" x14ac:dyDescent="0.2">
      <c r="A89" s="112" t="s">
        <v>397</v>
      </c>
      <c r="B89" s="26">
        <v>3</v>
      </c>
      <c r="C89" s="26">
        <v>3</v>
      </c>
      <c r="D89" s="26">
        <v>2</v>
      </c>
      <c r="E89" s="26">
        <v>1</v>
      </c>
      <c r="F89" s="26">
        <v>3</v>
      </c>
      <c r="G89" s="26">
        <v>1</v>
      </c>
      <c r="H89" s="26">
        <v>1</v>
      </c>
      <c r="I89" s="26">
        <v>3</v>
      </c>
      <c r="J89" s="26">
        <v>2</v>
      </c>
      <c r="K89" s="26">
        <v>3</v>
      </c>
      <c r="L89" s="26">
        <v>3</v>
      </c>
      <c r="M89" s="26">
        <v>1</v>
      </c>
      <c r="N89" s="26">
        <v>1</v>
      </c>
      <c r="O89" s="26">
        <v>2</v>
      </c>
      <c r="P89" s="26">
        <v>2</v>
      </c>
      <c r="Q89" s="26">
        <v>2</v>
      </c>
      <c r="R89" s="26">
        <v>2</v>
      </c>
      <c r="S89" s="26">
        <v>1</v>
      </c>
      <c r="T89" s="26">
        <v>2</v>
      </c>
      <c r="U89" s="26">
        <v>3</v>
      </c>
      <c r="V89" s="26">
        <v>2</v>
      </c>
      <c r="W89" s="26">
        <v>1</v>
      </c>
      <c r="X89" s="26">
        <v>2</v>
      </c>
      <c r="Y89" s="26">
        <v>2</v>
      </c>
      <c r="Z89" s="26">
        <v>1</v>
      </c>
      <c r="AA89" s="26">
        <v>2</v>
      </c>
      <c r="AB89" s="26">
        <v>2</v>
      </c>
      <c r="AC89" s="26">
        <v>3</v>
      </c>
      <c r="AD89" s="26">
        <v>3</v>
      </c>
      <c r="AE89" s="26">
        <v>2</v>
      </c>
      <c r="AF89" s="26">
        <v>1</v>
      </c>
      <c r="AG89" s="26">
        <v>1</v>
      </c>
      <c r="AH89" s="26">
        <v>2</v>
      </c>
      <c r="AI89" s="26">
        <v>2</v>
      </c>
      <c r="AJ89" s="26">
        <v>1</v>
      </c>
      <c r="AK89" s="26">
        <v>2</v>
      </c>
      <c r="AL89" s="26">
        <v>2</v>
      </c>
      <c r="AM89" s="26">
        <v>2</v>
      </c>
      <c r="AN89" s="26">
        <v>2</v>
      </c>
      <c r="AO89" s="26">
        <v>3</v>
      </c>
      <c r="AP89" s="26">
        <f t="shared" si="11"/>
        <v>41</v>
      </c>
      <c r="AQ89" s="27">
        <f t="shared" si="10"/>
        <v>38</v>
      </c>
    </row>
    <row r="90" spans="1:43" s="33" customFormat="1" x14ac:dyDescent="0.2">
      <c r="A90" s="112" t="s">
        <v>399</v>
      </c>
      <c r="B90" s="112">
        <v>3</v>
      </c>
      <c r="C90" s="26">
        <v>3</v>
      </c>
      <c r="D90" s="26">
        <v>1</v>
      </c>
      <c r="E90" s="26">
        <v>1</v>
      </c>
      <c r="F90" s="26">
        <v>1</v>
      </c>
      <c r="G90" s="26">
        <v>1</v>
      </c>
      <c r="H90" s="26">
        <v>2</v>
      </c>
      <c r="I90" s="26">
        <v>3</v>
      </c>
      <c r="J90" s="26">
        <v>1</v>
      </c>
      <c r="K90" s="26">
        <v>3</v>
      </c>
      <c r="L90" s="26">
        <v>4</v>
      </c>
      <c r="M90" s="26">
        <v>1</v>
      </c>
      <c r="N90" s="26">
        <v>1</v>
      </c>
      <c r="O90" s="26">
        <v>1</v>
      </c>
      <c r="P90" s="26">
        <v>3</v>
      </c>
      <c r="Q90" s="26">
        <v>3</v>
      </c>
      <c r="R90" s="123">
        <v>1</v>
      </c>
      <c r="S90" s="26">
        <v>1</v>
      </c>
      <c r="T90" s="26">
        <v>3</v>
      </c>
      <c r="U90" s="26">
        <v>4</v>
      </c>
      <c r="V90" s="26">
        <v>3</v>
      </c>
      <c r="W90" s="26">
        <v>1</v>
      </c>
      <c r="X90" s="26">
        <v>4</v>
      </c>
      <c r="Y90" s="26">
        <v>1</v>
      </c>
      <c r="Z90" s="26">
        <v>1</v>
      </c>
      <c r="AA90" s="26">
        <v>1</v>
      </c>
      <c r="AB90" s="26">
        <v>3</v>
      </c>
      <c r="AC90" s="26">
        <v>2</v>
      </c>
      <c r="AD90" s="26">
        <v>2</v>
      </c>
      <c r="AE90" s="26">
        <v>3</v>
      </c>
      <c r="AF90" s="26">
        <v>1</v>
      </c>
      <c r="AG90" s="26">
        <v>1</v>
      </c>
      <c r="AH90" s="26">
        <v>3</v>
      </c>
      <c r="AI90" s="26">
        <v>3</v>
      </c>
      <c r="AJ90" s="26">
        <v>1</v>
      </c>
      <c r="AK90" s="26">
        <v>3</v>
      </c>
      <c r="AL90" s="26">
        <v>2</v>
      </c>
      <c r="AM90" s="26">
        <v>1</v>
      </c>
      <c r="AN90" s="26">
        <v>2</v>
      </c>
      <c r="AO90" s="26">
        <v>4</v>
      </c>
      <c r="AP90" s="26">
        <f t="shared" ref="AP90:AP93" si="12">SUM(B90:U90)</f>
        <v>41</v>
      </c>
      <c r="AQ90" s="27">
        <f t="shared" ref="AQ90:AQ100" si="13">SUM(V90:AO90)</f>
        <v>42</v>
      </c>
    </row>
    <row r="91" spans="1:43" s="33" customFormat="1" x14ac:dyDescent="0.2">
      <c r="A91" s="112" t="s">
        <v>401</v>
      </c>
      <c r="B91" s="112">
        <v>3</v>
      </c>
      <c r="C91" s="26">
        <v>3</v>
      </c>
      <c r="D91" s="26">
        <v>2</v>
      </c>
      <c r="E91" s="26">
        <v>2</v>
      </c>
      <c r="F91" s="26">
        <v>3</v>
      </c>
      <c r="G91" s="26">
        <v>2</v>
      </c>
      <c r="H91" s="26">
        <v>2</v>
      </c>
      <c r="I91" s="26">
        <v>3</v>
      </c>
      <c r="J91" s="26">
        <v>2</v>
      </c>
      <c r="K91" s="26">
        <v>3</v>
      </c>
      <c r="L91" s="26">
        <v>2</v>
      </c>
      <c r="M91" s="26">
        <v>2</v>
      </c>
      <c r="N91" s="26">
        <v>3</v>
      </c>
      <c r="O91" s="26">
        <v>2</v>
      </c>
      <c r="P91" s="26">
        <v>3</v>
      </c>
      <c r="Q91" s="26">
        <v>1</v>
      </c>
      <c r="R91" s="123">
        <v>2</v>
      </c>
      <c r="S91" s="26">
        <v>2</v>
      </c>
      <c r="T91" s="26">
        <v>3</v>
      </c>
      <c r="U91" s="26">
        <v>2</v>
      </c>
      <c r="V91" s="26">
        <v>2</v>
      </c>
      <c r="W91" s="26">
        <v>2</v>
      </c>
      <c r="X91" s="26">
        <v>1</v>
      </c>
      <c r="Y91" s="26">
        <v>2</v>
      </c>
      <c r="Z91" s="26">
        <v>2</v>
      </c>
      <c r="AA91" s="26">
        <v>3</v>
      </c>
      <c r="AB91" s="26">
        <v>3</v>
      </c>
      <c r="AC91" s="26">
        <v>2</v>
      </c>
      <c r="AD91" s="26">
        <v>3</v>
      </c>
      <c r="AE91" s="26">
        <v>2</v>
      </c>
      <c r="AF91" s="26">
        <v>2</v>
      </c>
      <c r="AG91" s="26">
        <v>2</v>
      </c>
      <c r="AH91" s="26">
        <v>2</v>
      </c>
      <c r="AI91" s="26">
        <v>2</v>
      </c>
      <c r="AJ91" s="26">
        <v>2</v>
      </c>
      <c r="AK91" s="26">
        <v>2</v>
      </c>
      <c r="AL91" s="26">
        <v>3</v>
      </c>
      <c r="AM91" s="26">
        <v>2</v>
      </c>
      <c r="AN91" s="26">
        <v>3</v>
      </c>
      <c r="AO91" s="26">
        <v>3</v>
      </c>
      <c r="AP91" s="26">
        <f t="shared" si="12"/>
        <v>47</v>
      </c>
      <c r="AQ91" s="27">
        <f t="shared" si="13"/>
        <v>45</v>
      </c>
    </row>
    <row r="92" spans="1:43" s="33" customFormat="1" x14ac:dyDescent="0.2">
      <c r="A92" s="112" t="s">
        <v>402</v>
      </c>
      <c r="B92" s="112">
        <v>4</v>
      </c>
      <c r="C92" s="26">
        <v>4</v>
      </c>
      <c r="D92" s="26">
        <v>1</v>
      </c>
      <c r="E92" s="26">
        <v>1</v>
      </c>
      <c r="F92" s="26">
        <v>4</v>
      </c>
      <c r="G92" s="26">
        <v>1</v>
      </c>
      <c r="H92" s="26">
        <v>1</v>
      </c>
      <c r="I92" s="26">
        <v>1</v>
      </c>
      <c r="J92" s="26">
        <v>1</v>
      </c>
      <c r="K92" s="26">
        <v>4</v>
      </c>
      <c r="L92" s="26">
        <v>4</v>
      </c>
      <c r="M92" s="26">
        <v>1</v>
      </c>
      <c r="N92" s="26">
        <v>1</v>
      </c>
      <c r="O92" s="26">
        <v>1</v>
      </c>
      <c r="P92" s="26">
        <v>4</v>
      </c>
      <c r="Q92" s="26">
        <v>4</v>
      </c>
      <c r="R92" s="26">
        <v>1</v>
      </c>
      <c r="S92" s="123">
        <v>1</v>
      </c>
      <c r="T92" s="26">
        <v>4</v>
      </c>
      <c r="U92" s="26">
        <v>4</v>
      </c>
      <c r="V92" s="26">
        <v>1</v>
      </c>
      <c r="W92" s="26">
        <v>1</v>
      </c>
      <c r="X92" s="26">
        <v>4</v>
      </c>
      <c r="Y92" s="26">
        <v>1</v>
      </c>
      <c r="Z92" s="26">
        <v>1</v>
      </c>
      <c r="AA92" s="26">
        <v>3</v>
      </c>
      <c r="AB92" s="26">
        <v>4</v>
      </c>
      <c r="AC92" s="26">
        <v>4</v>
      </c>
      <c r="AD92" s="26">
        <v>4</v>
      </c>
      <c r="AE92" s="26">
        <v>4</v>
      </c>
      <c r="AF92" s="26">
        <v>1</v>
      </c>
      <c r="AG92" s="26">
        <v>1</v>
      </c>
      <c r="AH92" s="26">
        <v>4</v>
      </c>
      <c r="AI92" s="26">
        <v>4</v>
      </c>
      <c r="AJ92" s="26">
        <v>1</v>
      </c>
      <c r="AK92" s="26">
        <v>3</v>
      </c>
      <c r="AL92" s="26">
        <v>2</v>
      </c>
      <c r="AM92" s="26">
        <v>1</v>
      </c>
      <c r="AN92" s="26">
        <v>3</v>
      </c>
      <c r="AO92" s="26">
        <v>1</v>
      </c>
      <c r="AP92" s="26">
        <f t="shared" si="12"/>
        <v>47</v>
      </c>
      <c r="AQ92" s="27">
        <f t="shared" si="13"/>
        <v>48</v>
      </c>
    </row>
    <row r="93" spans="1:43" s="33" customFormat="1" x14ac:dyDescent="0.2">
      <c r="A93" s="112" t="s">
        <v>403</v>
      </c>
      <c r="B93" s="26">
        <v>3</v>
      </c>
      <c r="C93" s="26">
        <v>4</v>
      </c>
      <c r="D93" s="26">
        <v>2</v>
      </c>
      <c r="E93" s="26">
        <v>1</v>
      </c>
      <c r="F93" s="26">
        <v>3</v>
      </c>
      <c r="G93" s="26">
        <v>1</v>
      </c>
      <c r="H93" s="26">
        <v>1</v>
      </c>
      <c r="I93" s="26">
        <v>4</v>
      </c>
      <c r="J93" s="26">
        <v>1</v>
      </c>
      <c r="K93" s="26">
        <v>2</v>
      </c>
      <c r="L93" s="26">
        <v>4</v>
      </c>
      <c r="M93" s="26">
        <v>1</v>
      </c>
      <c r="N93" s="26">
        <v>1</v>
      </c>
      <c r="O93" s="26">
        <v>1</v>
      </c>
      <c r="P93" s="26">
        <v>3</v>
      </c>
      <c r="Q93" s="26">
        <v>3</v>
      </c>
      <c r="R93" s="26">
        <v>1</v>
      </c>
      <c r="S93" s="26">
        <v>1</v>
      </c>
      <c r="T93" s="26">
        <v>3</v>
      </c>
      <c r="U93" s="26">
        <v>3</v>
      </c>
      <c r="V93" s="26">
        <v>3</v>
      </c>
      <c r="W93" s="26">
        <v>2</v>
      </c>
      <c r="X93" s="26">
        <v>4</v>
      </c>
      <c r="Y93" s="26">
        <v>3</v>
      </c>
      <c r="Z93" s="26">
        <v>2</v>
      </c>
      <c r="AA93" s="26">
        <v>3</v>
      </c>
      <c r="AB93" s="26">
        <v>3</v>
      </c>
      <c r="AC93" s="26">
        <v>2</v>
      </c>
      <c r="AD93" s="26">
        <v>2</v>
      </c>
      <c r="AE93" s="26">
        <v>4</v>
      </c>
      <c r="AF93" s="26">
        <v>2</v>
      </c>
      <c r="AG93" s="26">
        <v>1</v>
      </c>
      <c r="AH93" s="26">
        <v>4</v>
      </c>
      <c r="AI93" s="26">
        <v>3</v>
      </c>
      <c r="AJ93" s="26">
        <v>2</v>
      </c>
      <c r="AK93" s="26">
        <v>3</v>
      </c>
      <c r="AL93" s="26">
        <v>1</v>
      </c>
      <c r="AM93" s="26">
        <v>2</v>
      </c>
      <c r="AN93" s="26">
        <v>1</v>
      </c>
      <c r="AO93" s="26">
        <v>2</v>
      </c>
      <c r="AP93" s="26">
        <f t="shared" si="12"/>
        <v>43</v>
      </c>
      <c r="AQ93" s="27">
        <f t="shared" si="13"/>
        <v>49</v>
      </c>
    </row>
    <row r="94" spans="1:43" ht="16" x14ac:dyDescent="0.2">
      <c r="A94" s="124" t="s">
        <v>404</v>
      </c>
      <c r="B94" s="128">
        <v>2</v>
      </c>
      <c r="C94" s="202">
        <v>1</v>
      </c>
      <c r="D94" s="129">
        <v>3</v>
      </c>
      <c r="E94" s="129">
        <v>2</v>
      </c>
      <c r="F94" s="129">
        <v>3</v>
      </c>
      <c r="G94" s="129">
        <v>1</v>
      </c>
      <c r="H94" s="129">
        <v>4</v>
      </c>
      <c r="I94" s="129">
        <v>2</v>
      </c>
      <c r="J94" s="129">
        <v>1</v>
      </c>
      <c r="K94" s="129">
        <v>2</v>
      </c>
      <c r="L94" s="129">
        <v>2</v>
      </c>
      <c r="M94" s="129">
        <v>3</v>
      </c>
      <c r="N94" s="129">
        <v>2</v>
      </c>
      <c r="O94" s="129">
        <v>4</v>
      </c>
      <c r="P94" s="129">
        <v>2</v>
      </c>
      <c r="Q94" s="129">
        <v>3</v>
      </c>
      <c r="R94" s="129">
        <v>4</v>
      </c>
      <c r="S94" s="129">
        <v>2</v>
      </c>
      <c r="T94" s="129">
        <v>2</v>
      </c>
      <c r="U94" s="129">
        <v>3</v>
      </c>
      <c r="V94" s="129">
        <v>4</v>
      </c>
      <c r="W94" s="129">
        <v>2</v>
      </c>
      <c r="X94" s="129">
        <v>2</v>
      </c>
      <c r="Y94" s="129">
        <v>3</v>
      </c>
      <c r="Z94" s="129">
        <v>3</v>
      </c>
      <c r="AA94" s="129">
        <v>2</v>
      </c>
      <c r="AB94" s="129">
        <v>2</v>
      </c>
      <c r="AC94" s="129">
        <v>2</v>
      </c>
      <c r="AD94" s="129">
        <v>4</v>
      </c>
      <c r="AE94" s="129">
        <v>3</v>
      </c>
      <c r="AF94" s="129">
        <v>3</v>
      </c>
      <c r="AG94" s="129">
        <v>4</v>
      </c>
      <c r="AH94" s="129">
        <v>2</v>
      </c>
      <c r="AI94" s="129">
        <v>1</v>
      </c>
      <c r="AJ94" s="129">
        <v>3</v>
      </c>
      <c r="AK94" s="129">
        <v>3</v>
      </c>
      <c r="AL94" s="129">
        <v>2</v>
      </c>
      <c r="AM94" s="129">
        <v>3</v>
      </c>
      <c r="AN94" s="129">
        <v>2</v>
      </c>
      <c r="AO94" s="129">
        <v>3</v>
      </c>
      <c r="AP94" s="129">
        <v>101</v>
      </c>
      <c r="AQ94" s="26">
        <f t="shared" si="13"/>
        <v>53</v>
      </c>
    </row>
    <row r="95" spans="1:43" x14ac:dyDescent="0.2">
      <c r="A95" s="127" t="s">
        <v>405</v>
      </c>
      <c r="B95" s="128">
        <v>1</v>
      </c>
      <c r="C95" s="202">
        <v>1</v>
      </c>
      <c r="D95" s="129">
        <v>3</v>
      </c>
      <c r="E95" s="129">
        <v>1</v>
      </c>
      <c r="F95" s="129">
        <v>1</v>
      </c>
      <c r="G95" s="129">
        <v>3</v>
      </c>
      <c r="H95" s="129">
        <v>2</v>
      </c>
      <c r="I95" s="129">
        <v>1</v>
      </c>
      <c r="J95" s="129">
        <v>1</v>
      </c>
      <c r="K95" s="129">
        <v>3</v>
      </c>
      <c r="L95" s="129">
        <v>4</v>
      </c>
      <c r="M95" s="129">
        <v>2</v>
      </c>
      <c r="N95" s="129">
        <v>1</v>
      </c>
      <c r="O95" s="129">
        <v>1</v>
      </c>
      <c r="P95" s="129">
        <v>1</v>
      </c>
      <c r="Q95" s="129">
        <v>1</v>
      </c>
      <c r="R95" s="129">
        <v>2</v>
      </c>
      <c r="S95" s="129">
        <v>1</v>
      </c>
      <c r="T95" s="129">
        <v>2</v>
      </c>
      <c r="U95" s="129">
        <v>2</v>
      </c>
      <c r="V95" s="129">
        <v>3</v>
      </c>
      <c r="W95" s="129">
        <v>2</v>
      </c>
      <c r="X95" s="129">
        <v>4</v>
      </c>
      <c r="Y95" s="129">
        <v>2</v>
      </c>
      <c r="Z95" s="129">
        <v>2</v>
      </c>
      <c r="AA95" s="129">
        <v>2</v>
      </c>
      <c r="AB95" s="129">
        <v>2</v>
      </c>
      <c r="AC95" s="129">
        <v>2</v>
      </c>
      <c r="AD95" s="129">
        <v>2</v>
      </c>
      <c r="AE95" s="129">
        <v>3</v>
      </c>
      <c r="AF95" s="129">
        <v>1</v>
      </c>
      <c r="AG95" s="129">
        <v>2</v>
      </c>
      <c r="AH95" s="129">
        <v>2</v>
      </c>
      <c r="AI95" s="129">
        <v>2</v>
      </c>
      <c r="AJ95" s="129">
        <v>1</v>
      </c>
      <c r="AK95" s="129">
        <v>3</v>
      </c>
      <c r="AL95" s="129">
        <v>1</v>
      </c>
      <c r="AM95" s="129">
        <v>2</v>
      </c>
      <c r="AN95" s="129">
        <v>3</v>
      </c>
      <c r="AO95" s="129">
        <v>3</v>
      </c>
      <c r="AP95" s="129">
        <v>78</v>
      </c>
      <c r="AQ95" s="26">
        <f t="shared" si="13"/>
        <v>44</v>
      </c>
    </row>
    <row r="96" spans="1:43" x14ac:dyDescent="0.2">
      <c r="A96" s="127" t="s">
        <v>406</v>
      </c>
      <c r="B96" s="128">
        <v>4</v>
      </c>
      <c r="C96" s="202">
        <v>4</v>
      </c>
      <c r="D96" s="129">
        <v>1</v>
      </c>
      <c r="E96" s="129">
        <v>1</v>
      </c>
      <c r="F96" s="129">
        <v>4</v>
      </c>
      <c r="G96" s="129">
        <v>1</v>
      </c>
      <c r="H96" s="129">
        <v>1</v>
      </c>
      <c r="I96" s="129">
        <v>4</v>
      </c>
      <c r="J96" s="129">
        <v>1</v>
      </c>
      <c r="K96" s="129">
        <v>1</v>
      </c>
      <c r="L96" s="129">
        <v>3</v>
      </c>
      <c r="M96" s="129">
        <v>1</v>
      </c>
      <c r="N96" s="129">
        <v>1</v>
      </c>
      <c r="O96" s="129">
        <v>1</v>
      </c>
      <c r="P96" s="129">
        <v>4</v>
      </c>
      <c r="Q96" s="129">
        <v>4</v>
      </c>
      <c r="R96" s="129">
        <v>1</v>
      </c>
      <c r="S96" s="129">
        <v>1</v>
      </c>
      <c r="T96" s="129">
        <v>3</v>
      </c>
      <c r="U96" s="129">
        <v>4</v>
      </c>
      <c r="V96" s="129">
        <v>3</v>
      </c>
      <c r="W96" s="129">
        <v>2</v>
      </c>
      <c r="X96" s="129">
        <v>3</v>
      </c>
      <c r="Y96" s="129">
        <v>2</v>
      </c>
      <c r="Z96" s="129">
        <v>2</v>
      </c>
      <c r="AA96" s="129">
        <v>3</v>
      </c>
      <c r="AB96" s="129">
        <v>2</v>
      </c>
      <c r="AC96" s="129">
        <v>2</v>
      </c>
      <c r="AD96" s="129">
        <v>1</v>
      </c>
      <c r="AE96" s="129">
        <v>3</v>
      </c>
      <c r="AF96" s="129">
        <v>1</v>
      </c>
      <c r="AG96" s="129">
        <v>2</v>
      </c>
      <c r="AH96" s="129">
        <v>2</v>
      </c>
      <c r="AI96" s="129">
        <v>2</v>
      </c>
      <c r="AJ96" s="129">
        <v>1</v>
      </c>
      <c r="AK96" s="129">
        <v>3</v>
      </c>
      <c r="AL96" s="129">
        <v>1</v>
      </c>
      <c r="AM96" s="129">
        <v>2</v>
      </c>
      <c r="AN96" s="129">
        <v>3</v>
      </c>
      <c r="AO96" s="129">
        <v>3</v>
      </c>
      <c r="AP96" s="129">
        <v>88</v>
      </c>
      <c r="AQ96" s="26">
        <f t="shared" si="13"/>
        <v>43</v>
      </c>
    </row>
    <row r="97" spans="1:43" x14ac:dyDescent="0.2">
      <c r="A97" s="127" t="s">
        <v>407</v>
      </c>
      <c r="B97" s="128">
        <v>4</v>
      </c>
      <c r="C97" s="202">
        <v>2</v>
      </c>
      <c r="D97" s="129">
        <v>2</v>
      </c>
      <c r="E97" s="129">
        <v>2</v>
      </c>
      <c r="F97" s="129">
        <v>3</v>
      </c>
      <c r="G97" s="129">
        <v>2</v>
      </c>
      <c r="H97" s="129">
        <v>1</v>
      </c>
      <c r="I97" s="129">
        <v>3</v>
      </c>
      <c r="J97" s="129">
        <v>1</v>
      </c>
      <c r="K97" s="129">
        <v>2</v>
      </c>
      <c r="L97" s="129">
        <v>2</v>
      </c>
      <c r="M97" s="129">
        <v>2</v>
      </c>
      <c r="N97" s="129">
        <v>2</v>
      </c>
      <c r="O97" s="129">
        <v>2</v>
      </c>
      <c r="P97" s="129">
        <v>2</v>
      </c>
      <c r="Q97" s="129">
        <v>2</v>
      </c>
      <c r="R97" s="129">
        <v>2</v>
      </c>
      <c r="S97" s="129">
        <v>2</v>
      </c>
      <c r="T97" s="129">
        <v>3</v>
      </c>
      <c r="U97" s="129">
        <v>2</v>
      </c>
      <c r="V97" s="129">
        <v>3</v>
      </c>
      <c r="W97" s="129">
        <v>3</v>
      </c>
      <c r="X97" s="129">
        <v>4</v>
      </c>
      <c r="Y97" s="129">
        <v>2</v>
      </c>
      <c r="Z97" s="129">
        <v>2</v>
      </c>
      <c r="AA97" s="129">
        <v>3</v>
      </c>
      <c r="AB97" s="129">
        <v>2</v>
      </c>
      <c r="AC97" s="129">
        <v>2</v>
      </c>
      <c r="AD97" s="129">
        <v>2</v>
      </c>
      <c r="AE97" s="129">
        <v>3</v>
      </c>
      <c r="AF97" s="129">
        <v>1</v>
      </c>
      <c r="AG97" s="129">
        <v>2</v>
      </c>
      <c r="AH97" s="129">
        <v>3</v>
      </c>
      <c r="AI97" s="129">
        <v>2</v>
      </c>
      <c r="AJ97" s="129">
        <v>1</v>
      </c>
      <c r="AK97" s="129">
        <v>3</v>
      </c>
      <c r="AL97" s="129">
        <v>1</v>
      </c>
      <c r="AM97" s="129">
        <v>1</v>
      </c>
      <c r="AN97" s="129">
        <v>3</v>
      </c>
      <c r="AO97" s="129">
        <v>3</v>
      </c>
      <c r="AP97" s="131">
        <v>89</v>
      </c>
      <c r="AQ97" s="26">
        <f t="shared" si="13"/>
        <v>46</v>
      </c>
    </row>
    <row r="98" spans="1:43" ht="16" x14ac:dyDescent="0.2">
      <c r="A98" s="132" t="s">
        <v>408</v>
      </c>
      <c r="B98" s="125">
        <v>4</v>
      </c>
      <c r="C98" s="205">
        <v>3</v>
      </c>
      <c r="D98" s="126">
        <v>1</v>
      </c>
      <c r="E98" s="126">
        <v>1</v>
      </c>
      <c r="F98" s="126">
        <v>3</v>
      </c>
      <c r="G98" s="126">
        <v>1</v>
      </c>
      <c r="H98" s="126">
        <v>4</v>
      </c>
      <c r="I98" s="126">
        <v>3</v>
      </c>
      <c r="J98" s="126">
        <v>3</v>
      </c>
      <c r="K98" s="126">
        <v>1</v>
      </c>
      <c r="L98" s="126">
        <v>3</v>
      </c>
      <c r="M98" s="126">
        <v>2</v>
      </c>
      <c r="N98" s="126">
        <v>2</v>
      </c>
      <c r="O98" s="126">
        <v>3</v>
      </c>
      <c r="P98" s="126">
        <v>3</v>
      </c>
      <c r="Q98" s="126">
        <v>4</v>
      </c>
      <c r="R98" s="126">
        <v>2</v>
      </c>
      <c r="S98" s="126">
        <v>1</v>
      </c>
      <c r="T98" s="126">
        <v>4</v>
      </c>
      <c r="U98" s="126">
        <v>4</v>
      </c>
      <c r="V98" s="126">
        <v>3</v>
      </c>
      <c r="W98" s="126">
        <v>2</v>
      </c>
      <c r="X98" s="126">
        <v>3</v>
      </c>
      <c r="Y98" s="126">
        <v>2</v>
      </c>
      <c r="Z98" s="126">
        <v>1</v>
      </c>
      <c r="AA98" s="126">
        <v>2</v>
      </c>
      <c r="AB98" s="126">
        <v>2</v>
      </c>
      <c r="AC98" s="126">
        <v>1</v>
      </c>
      <c r="AD98" s="126">
        <v>2</v>
      </c>
      <c r="AE98" s="126">
        <v>3</v>
      </c>
      <c r="AF98" s="126">
        <v>1</v>
      </c>
      <c r="AG98" s="126">
        <v>2</v>
      </c>
      <c r="AH98" s="126">
        <v>2</v>
      </c>
      <c r="AI98" s="126">
        <v>3</v>
      </c>
      <c r="AJ98" s="126">
        <v>1</v>
      </c>
      <c r="AK98" s="126">
        <v>3</v>
      </c>
      <c r="AL98" s="126">
        <v>1</v>
      </c>
      <c r="AM98" s="126">
        <v>2</v>
      </c>
      <c r="AN98" s="126">
        <v>3</v>
      </c>
      <c r="AO98" s="126">
        <v>3</v>
      </c>
      <c r="AP98" s="126">
        <v>94</v>
      </c>
      <c r="AQ98" s="26">
        <f t="shared" si="13"/>
        <v>42</v>
      </c>
    </row>
    <row r="99" spans="1:43" x14ac:dyDescent="0.2">
      <c r="A99" s="127" t="s">
        <v>409</v>
      </c>
      <c r="B99" s="128">
        <v>4</v>
      </c>
      <c r="C99" s="202">
        <v>4</v>
      </c>
      <c r="D99" s="129">
        <v>1</v>
      </c>
      <c r="E99" s="129">
        <v>1</v>
      </c>
      <c r="F99" s="129">
        <v>4</v>
      </c>
      <c r="G99" s="129">
        <v>1</v>
      </c>
      <c r="H99" s="129">
        <v>1</v>
      </c>
      <c r="I99" s="129">
        <v>4</v>
      </c>
      <c r="J99" s="129">
        <v>1</v>
      </c>
      <c r="K99" s="129">
        <v>1</v>
      </c>
      <c r="L99" s="129">
        <v>4</v>
      </c>
      <c r="M99" s="129">
        <v>1</v>
      </c>
      <c r="N99" s="129">
        <v>1</v>
      </c>
      <c r="O99" s="129">
        <v>1</v>
      </c>
      <c r="P99" s="129">
        <v>4</v>
      </c>
      <c r="Q99" s="129">
        <v>4</v>
      </c>
      <c r="R99" s="129">
        <v>1</v>
      </c>
      <c r="S99" s="129">
        <v>1</v>
      </c>
      <c r="T99" s="129">
        <v>4</v>
      </c>
      <c r="U99" s="129">
        <v>4</v>
      </c>
      <c r="V99" s="129">
        <v>3</v>
      </c>
      <c r="W99" s="129">
        <v>2</v>
      </c>
      <c r="X99" s="129">
        <v>4</v>
      </c>
      <c r="Y99" s="129">
        <v>1</v>
      </c>
      <c r="Z99" s="129">
        <v>1</v>
      </c>
      <c r="AA99" s="129">
        <v>3</v>
      </c>
      <c r="AB99" s="129">
        <v>2</v>
      </c>
      <c r="AC99" s="129">
        <v>2</v>
      </c>
      <c r="AD99" s="129">
        <v>2</v>
      </c>
      <c r="AE99" s="129">
        <v>3</v>
      </c>
      <c r="AF99" s="129">
        <v>1</v>
      </c>
      <c r="AG99" s="129">
        <v>2</v>
      </c>
      <c r="AH99" s="129">
        <v>3</v>
      </c>
      <c r="AI99" s="129">
        <v>2</v>
      </c>
      <c r="AJ99" s="129">
        <v>1</v>
      </c>
      <c r="AK99" s="129">
        <v>3</v>
      </c>
      <c r="AL99" s="129">
        <v>1</v>
      </c>
      <c r="AM99" s="129">
        <v>2</v>
      </c>
      <c r="AN99" s="129">
        <v>3</v>
      </c>
      <c r="AO99" s="129">
        <v>3</v>
      </c>
      <c r="AP99" s="129">
        <v>91</v>
      </c>
      <c r="AQ99" s="26">
        <f t="shared" si="13"/>
        <v>44</v>
      </c>
    </row>
    <row r="100" spans="1:43" x14ac:dyDescent="0.2">
      <c r="A100" s="127" t="s">
        <v>410</v>
      </c>
      <c r="B100" s="128">
        <v>4</v>
      </c>
      <c r="C100" s="202">
        <v>3</v>
      </c>
      <c r="D100" s="129">
        <v>1</v>
      </c>
      <c r="E100" s="129">
        <v>1</v>
      </c>
      <c r="F100" s="129">
        <v>4</v>
      </c>
      <c r="G100" s="129">
        <v>1</v>
      </c>
      <c r="H100" s="129">
        <v>2</v>
      </c>
      <c r="I100" s="129">
        <v>3</v>
      </c>
      <c r="J100" s="129">
        <v>1</v>
      </c>
      <c r="K100" s="129">
        <v>1</v>
      </c>
      <c r="L100" s="129">
        <v>2</v>
      </c>
      <c r="M100" s="129">
        <v>1</v>
      </c>
      <c r="N100" s="129">
        <v>1</v>
      </c>
      <c r="O100" s="129">
        <v>2</v>
      </c>
      <c r="P100" s="129">
        <v>4</v>
      </c>
      <c r="Q100" s="129">
        <v>3</v>
      </c>
      <c r="R100" s="129">
        <v>2</v>
      </c>
      <c r="S100" s="129">
        <v>1</v>
      </c>
      <c r="T100" s="129">
        <v>3</v>
      </c>
      <c r="U100" s="129">
        <v>3</v>
      </c>
      <c r="V100" s="129">
        <v>3</v>
      </c>
      <c r="W100" s="129">
        <v>3</v>
      </c>
      <c r="X100" s="129">
        <v>3</v>
      </c>
      <c r="Y100" s="129">
        <v>3</v>
      </c>
      <c r="Z100" s="129">
        <v>2</v>
      </c>
      <c r="AA100" s="129">
        <v>2</v>
      </c>
      <c r="AB100" s="129">
        <v>2</v>
      </c>
      <c r="AC100" s="129">
        <v>3</v>
      </c>
      <c r="AD100" s="129">
        <v>3</v>
      </c>
      <c r="AE100" s="129">
        <v>2</v>
      </c>
      <c r="AF100" s="129">
        <v>1</v>
      </c>
      <c r="AG100" s="129">
        <v>2</v>
      </c>
      <c r="AH100" s="129">
        <v>2</v>
      </c>
      <c r="AI100" s="129">
        <v>2</v>
      </c>
      <c r="AJ100" s="129">
        <v>2</v>
      </c>
      <c r="AK100" s="129">
        <v>2</v>
      </c>
      <c r="AL100" s="129">
        <v>1</v>
      </c>
      <c r="AM100" s="129">
        <v>3</v>
      </c>
      <c r="AN100" s="129">
        <v>2</v>
      </c>
      <c r="AO100" s="129">
        <v>3</v>
      </c>
      <c r="AP100" s="131">
        <v>89</v>
      </c>
      <c r="AQ100" s="26">
        <f t="shared" si="13"/>
        <v>46</v>
      </c>
    </row>
    <row r="101" spans="1:43" ht="16" x14ac:dyDescent="0.2">
      <c r="A101" s="133" t="s">
        <v>411</v>
      </c>
      <c r="B101" s="125">
        <v>3</v>
      </c>
      <c r="C101" s="205">
        <v>3</v>
      </c>
      <c r="D101" s="126">
        <v>2</v>
      </c>
      <c r="E101" s="126">
        <v>1</v>
      </c>
      <c r="F101" s="126">
        <v>4</v>
      </c>
      <c r="G101" s="126">
        <v>1</v>
      </c>
      <c r="H101" s="126">
        <v>2</v>
      </c>
      <c r="I101" s="126">
        <v>3</v>
      </c>
      <c r="J101" s="126">
        <v>1</v>
      </c>
      <c r="K101" s="126">
        <v>1</v>
      </c>
      <c r="L101" s="126">
        <v>2</v>
      </c>
      <c r="M101" s="126">
        <v>1</v>
      </c>
      <c r="N101" s="126">
        <v>1</v>
      </c>
      <c r="O101" s="126">
        <v>1</v>
      </c>
      <c r="P101" s="126">
        <v>3</v>
      </c>
      <c r="Q101" s="126">
        <v>3</v>
      </c>
      <c r="R101" s="126">
        <v>2</v>
      </c>
      <c r="S101" s="126">
        <v>1</v>
      </c>
      <c r="T101" s="126">
        <v>3</v>
      </c>
      <c r="U101" s="126">
        <v>3</v>
      </c>
      <c r="V101" s="126">
        <v>3</v>
      </c>
      <c r="W101" s="126">
        <v>2</v>
      </c>
      <c r="X101" s="126">
        <v>3</v>
      </c>
      <c r="Y101" s="126">
        <v>1</v>
      </c>
      <c r="Z101" s="126">
        <v>1</v>
      </c>
      <c r="AA101" s="126">
        <v>3</v>
      </c>
      <c r="AB101" s="126">
        <v>3</v>
      </c>
      <c r="AC101" s="126">
        <v>2</v>
      </c>
      <c r="AD101" s="126">
        <v>2</v>
      </c>
      <c r="AE101" s="126">
        <v>3</v>
      </c>
      <c r="AF101" s="126">
        <v>1</v>
      </c>
      <c r="AG101" s="126">
        <v>1</v>
      </c>
      <c r="AH101" s="126">
        <v>3</v>
      </c>
      <c r="AI101" s="126">
        <v>3</v>
      </c>
      <c r="AJ101" s="126">
        <v>1</v>
      </c>
      <c r="AK101" s="126">
        <v>3</v>
      </c>
      <c r="AL101" s="126">
        <v>2</v>
      </c>
      <c r="AM101" s="126">
        <v>2</v>
      </c>
      <c r="AN101" s="126">
        <v>3</v>
      </c>
      <c r="AO101" s="126">
        <v>2</v>
      </c>
      <c r="AP101" s="126">
        <v>85</v>
      </c>
      <c r="AQ101" s="26">
        <f t="shared" ref="AQ101:AQ177" si="14">SUM(V101:AO101)</f>
        <v>44</v>
      </c>
    </row>
    <row r="102" spans="1:43" x14ac:dyDescent="0.2">
      <c r="A102" s="136" t="s">
        <v>412</v>
      </c>
      <c r="B102" s="125">
        <v>2</v>
      </c>
      <c r="C102" s="205">
        <v>2</v>
      </c>
      <c r="D102" s="126">
        <v>4</v>
      </c>
      <c r="E102" s="126">
        <v>2</v>
      </c>
      <c r="F102" s="126">
        <v>2</v>
      </c>
      <c r="G102" s="126">
        <v>3</v>
      </c>
      <c r="H102" s="126">
        <v>3</v>
      </c>
      <c r="I102" s="126">
        <v>2</v>
      </c>
      <c r="J102" s="126">
        <v>3</v>
      </c>
      <c r="K102" s="126">
        <v>3</v>
      </c>
      <c r="L102" s="126">
        <v>2</v>
      </c>
      <c r="M102" s="126">
        <v>3</v>
      </c>
      <c r="N102" s="126">
        <v>3</v>
      </c>
      <c r="O102" s="126">
        <v>2</v>
      </c>
      <c r="P102" s="126">
        <v>2</v>
      </c>
      <c r="Q102" s="126">
        <v>2</v>
      </c>
      <c r="R102" s="126">
        <v>3</v>
      </c>
      <c r="S102" s="126">
        <v>1</v>
      </c>
      <c r="T102" s="126">
        <v>2</v>
      </c>
      <c r="U102" s="126">
        <v>2</v>
      </c>
      <c r="V102" s="126">
        <v>3</v>
      </c>
      <c r="W102" s="126">
        <v>2</v>
      </c>
      <c r="X102" s="126">
        <v>4</v>
      </c>
      <c r="Y102" s="126">
        <v>1</v>
      </c>
      <c r="Z102" s="126">
        <v>1</v>
      </c>
      <c r="AA102" s="126">
        <v>3</v>
      </c>
      <c r="AB102" s="126">
        <v>3</v>
      </c>
      <c r="AC102" s="126">
        <v>2</v>
      </c>
      <c r="AD102" s="126">
        <v>2</v>
      </c>
      <c r="AE102" s="126">
        <v>3</v>
      </c>
      <c r="AF102" s="126">
        <v>1</v>
      </c>
      <c r="AG102" s="126">
        <v>2</v>
      </c>
      <c r="AH102" s="126">
        <v>3</v>
      </c>
      <c r="AI102" s="126">
        <v>2</v>
      </c>
      <c r="AJ102" s="126">
        <v>1</v>
      </c>
      <c r="AK102" s="126">
        <v>3</v>
      </c>
      <c r="AL102" s="126">
        <v>2</v>
      </c>
      <c r="AM102" s="126">
        <v>2</v>
      </c>
      <c r="AN102" s="126">
        <v>3</v>
      </c>
      <c r="AO102" s="126">
        <v>3</v>
      </c>
      <c r="AP102" s="126">
        <v>94</v>
      </c>
      <c r="AQ102" s="26">
        <f t="shared" si="14"/>
        <v>46</v>
      </c>
    </row>
    <row r="103" spans="1:43" x14ac:dyDescent="0.2">
      <c r="A103" s="136" t="s">
        <v>413</v>
      </c>
      <c r="B103" s="28">
        <v>3</v>
      </c>
      <c r="C103" s="30">
        <v>1</v>
      </c>
      <c r="D103" s="28">
        <v>1</v>
      </c>
      <c r="E103" s="28">
        <v>1</v>
      </c>
      <c r="F103" s="28">
        <v>3</v>
      </c>
      <c r="G103" s="28">
        <v>1</v>
      </c>
      <c r="H103" s="28">
        <v>3</v>
      </c>
      <c r="I103" s="28">
        <v>2</v>
      </c>
      <c r="J103" s="28">
        <v>3</v>
      </c>
      <c r="K103" s="28">
        <v>1</v>
      </c>
      <c r="L103" s="28">
        <v>1</v>
      </c>
      <c r="M103" s="28">
        <v>1</v>
      </c>
      <c r="N103" s="28">
        <v>1</v>
      </c>
      <c r="O103" s="28">
        <v>3</v>
      </c>
      <c r="P103" s="28">
        <v>2</v>
      </c>
      <c r="Q103" s="28">
        <v>2</v>
      </c>
      <c r="R103" s="28">
        <v>2</v>
      </c>
      <c r="S103" s="28">
        <v>1</v>
      </c>
      <c r="T103" s="28">
        <v>2</v>
      </c>
      <c r="U103" s="28">
        <v>2</v>
      </c>
      <c r="V103" s="28">
        <v>2</v>
      </c>
      <c r="W103" s="28">
        <v>3</v>
      </c>
      <c r="X103" s="28">
        <v>2</v>
      </c>
      <c r="Y103" s="28">
        <v>3</v>
      </c>
      <c r="Z103" s="28">
        <v>1</v>
      </c>
      <c r="AA103" s="28">
        <v>3</v>
      </c>
      <c r="AB103" s="28">
        <v>2</v>
      </c>
      <c r="AC103" s="28">
        <v>2</v>
      </c>
      <c r="AD103" s="28">
        <v>2</v>
      </c>
      <c r="AE103" s="28">
        <v>2</v>
      </c>
      <c r="AF103" s="28">
        <v>1</v>
      </c>
      <c r="AG103" s="28">
        <v>3</v>
      </c>
      <c r="AH103" s="28">
        <v>2</v>
      </c>
      <c r="AI103" s="28">
        <v>1</v>
      </c>
      <c r="AJ103" s="28">
        <v>2</v>
      </c>
      <c r="AK103" s="28">
        <v>3</v>
      </c>
      <c r="AL103" s="28">
        <v>2</v>
      </c>
      <c r="AM103" s="28">
        <v>1</v>
      </c>
      <c r="AN103" s="28">
        <v>3</v>
      </c>
      <c r="AO103" s="28">
        <v>3</v>
      </c>
      <c r="AP103" s="28">
        <v>79</v>
      </c>
      <c r="AQ103" s="26">
        <f t="shared" si="14"/>
        <v>43</v>
      </c>
    </row>
    <row r="104" spans="1:43" x14ac:dyDescent="0.2">
      <c r="A104" s="136" t="s">
        <v>414</v>
      </c>
      <c r="B104" s="28">
        <v>3</v>
      </c>
      <c r="C104" s="28">
        <v>2</v>
      </c>
      <c r="D104" s="28">
        <v>1</v>
      </c>
      <c r="E104" s="28">
        <v>1</v>
      </c>
      <c r="F104" s="28">
        <v>4</v>
      </c>
      <c r="G104" s="28">
        <v>1</v>
      </c>
      <c r="H104" s="28">
        <v>2</v>
      </c>
      <c r="I104" s="28">
        <v>3</v>
      </c>
      <c r="J104" s="28">
        <v>2</v>
      </c>
      <c r="K104" s="28">
        <v>1</v>
      </c>
      <c r="L104" s="28">
        <v>3</v>
      </c>
      <c r="M104" s="28">
        <v>1</v>
      </c>
      <c r="N104" s="28">
        <v>1</v>
      </c>
      <c r="O104" s="28">
        <v>2</v>
      </c>
      <c r="P104" s="28">
        <v>3</v>
      </c>
      <c r="Q104" s="28">
        <v>3</v>
      </c>
      <c r="R104" s="28">
        <v>2</v>
      </c>
      <c r="S104" s="28">
        <v>1</v>
      </c>
      <c r="T104" s="28">
        <v>3</v>
      </c>
      <c r="U104" s="28">
        <v>3</v>
      </c>
      <c r="V104" s="28">
        <v>3</v>
      </c>
      <c r="W104" s="28">
        <v>1</v>
      </c>
      <c r="X104" s="28">
        <v>3</v>
      </c>
      <c r="Y104" s="28">
        <v>2</v>
      </c>
      <c r="Z104" s="28">
        <v>1</v>
      </c>
      <c r="AA104" s="28">
        <v>3</v>
      </c>
      <c r="AB104" s="28">
        <v>3</v>
      </c>
      <c r="AC104" s="28">
        <v>2</v>
      </c>
      <c r="AD104" s="28">
        <v>2</v>
      </c>
      <c r="AE104" s="28">
        <v>3</v>
      </c>
      <c r="AF104" s="28">
        <v>1</v>
      </c>
      <c r="AG104" s="28">
        <v>2</v>
      </c>
      <c r="AH104" s="28">
        <v>3</v>
      </c>
      <c r="AI104" s="28">
        <v>3</v>
      </c>
      <c r="AJ104" s="28">
        <v>1</v>
      </c>
      <c r="AK104" s="28">
        <v>3</v>
      </c>
      <c r="AL104" s="28">
        <v>1</v>
      </c>
      <c r="AM104" s="28">
        <v>2</v>
      </c>
      <c r="AN104" s="28">
        <v>3</v>
      </c>
      <c r="AO104" s="28">
        <v>2</v>
      </c>
      <c r="AP104" s="28">
        <v>86</v>
      </c>
      <c r="AQ104" s="26">
        <f t="shared" si="14"/>
        <v>44</v>
      </c>
    </row>
    <row r="105" spans="1:43" x14ac:dyDescent="0.2">
      <c r="A105" s="139" t="s">
        <v>415</v>
      </c>
      <c r="B105" s="28">
        <v>3</v>
      </c>
      <c r="C105" s="28">
        <v>2</v>
      </c>
      <c r="D105" s="28">
        <v>1</v>
      </c>
      <c r="E105" s="28">
        <v>1</v>
      </c>
      <c r="F105" s="28">
        <v>4</v>
      </c>
      <c r="G105" s="28">
        <v>1</v>
      </c>
      <c r="H105" s="28">
        <v>2</v>
      </c>
      <c r="I105" s="28">
        <v>3</v>
      </c>
      <c r="J105" s="28">
        <v>2</v>
      </c>
      <c r="K105" s="28">
        <v>1</v>
      </c>
      <c r="L105" s="28">
        <v>3</v>
      </c>
      <c r="M105" s="28">
        <v>2</v>
      </c>
      <c r="N105" s="28">
        <v>2</v>
      </c>
      <c r="O105" s="28">
        <v>3</v>
      </c>
      <c r="P105" s="28">
        <v>3</v>
      </c>
      <c r="Q105" s="28">
        <v>3</v>
      </c>
      <c r="R105" s="28">
        <v>2</v>
      </c>
      <c r="S105" s="28">
        <v>1</v>
      </c>
      <c r="T105" s="28">
        <v>2</v>
      </c>
      <c r="U105" s="28">
        <v>3</v>
      </c>
      <c r="V105" s="28">
        <v>3</v>
      </c>
      <c r="W105" s="28">
        <v>2</v>
      </c>
      <c r="X105" s="28">
        <v>3</v>
      </c>
      <c r="Y105" s="28">
        <v>2</v>
      </c>
      <c r="Z105" s="28">
        <v>1</v>
      </c>
      <c r="AA105" s="28">
        <v>2</v>
      </c>
      <c r="AB105" s="28">
        <v>3</v>
      </c>
      <c r="AC105" s="28">
        <v>2</v>
      </c>
      <c r="AD105" s="28">
        <v>1</v>
      </c>
      <c r="AE105" s="28">
        <v>3</v>
      </c>
      <c r="AF105" s="28">
        <v>1</v>
      </c>
      <c r="AG105" s="28">
        <v>2</v>
      </c>
      <c r="AH105" s="28">
        <v>2</v>
      </c>
      <c r="AI105" s="28">
        <v>1</v>
      </c>
      <c r="AJ105" s="28">
        <v>1</v>
      </c>
      <c r="AK105" s="28">
        <v>4</v>
      </c>
      <c r="AL105" s="28">
        <v>1</v>
      </c>
      <c r="AM105" s="28">
        <v>2</v>
      </c>
      <c r="AN105" s="28">
        <v>2</v>
      </c>
      <c r="AO105" s="28">
        <v>3</v>
      </c>
      <c r="AP105" s="28">
        <v>85</v>
      </c>
      <c r="AQ105" s="26">
        <f t="shared" si="14"/>
        <v>41</v>
      </c>
    </row>
    <row r="106" spans="1:43" x14ac:dyDescent="0.2">
      <c r="A106" s="139" t="s">
        <v>416</v>
      </c>
      <c r="B106" s="28">
        <v>2</v>
      </c>
      <c r="C106" s="28">
        <v>2</v>
      </c>
      <c r="D106" s="28">
        <v>2</v>
      </c>
      <c r="E106" s="28">
        <v>2</v>
      </c>
      <c r="F106" s="28">
        <v>3</v>
      </c>
      <c r="G106" s="28">
        <v>1</v>
      </c>
      <c r="H106" s="28">
        <v>3</v>
      </c>
      <c r="I106" s="28">
        <v>3</v>
      </c>
      <c r="J106" s="28">
        <v>3</v>
      </c>
      <c r="K106" s="28">
        <v>1</v>
      </c>
      <c r="L106" s="28">
        <v>2</v>
      </c>
      <c r="M106" s="28">
        <v>2</v>
      </c>
      <c r="N106" s="28">
        <v>2</v>
      </c>
      <c r="O106" s="28">
        <v>3</v>
      </c>
      <c r="P106" s="28">
        <v>2</v>
      </c>
      <c r="Q106" s="28">
        <v>3</v>
      </c>
      <c r="R106" s="28">
        <v>2</v>
      </c>
      <c r="S106" s="28">
        <v>2</v>
      </c>
      <c r="T106" s="28">
        <v>2</v>
      </c>
      <c r="U106" s="28">
        <v>3</v>
      </c>
      <c r="V106" s="28">
        <v>3</v>
      </c>
      <c r="W106" s="28">
        <v>2</v>
      </c>
      <c r="X106" s="28">
        <v>3</v>
      </c>
      <c r="Y106" s="28">
        <v>2</v>
      </c>
      <c r="Z106" s="28">
        <v>1</v>
      </c>
      <c r="AA106" s="28">
        <v>2</v>
      </c>
      <c r="AB106" s="28">
        <v>2</v>
      </c>
      <c r="AC106" s="28">
        <v>2</v>
      </c>
      <c r="AD106" s="28">
        <v>1</v>
      </c>
      <c r="AE106" s="28">
        <v>2</v>
      </c>
      <c r="AF106" s="28">
        <v>1</v>
      </c>
      <c r="AG106" s="28">
        <v>2</v>
      </c>
      <c r="AH106" s="28">
        <v>2</v>
      </c>
      <c r="AI106" s="28">
        <v>1</v>
      </c>
      <c r="AJ106" s="28">
        <v>1</v>
      </c>
      <c r="AK106" s="28">
        <v>3</v>
      </c>
      <c r="AL106" s="28">
        <v>1</v>
      </c>
      <c r="AM106" s="28">
        <v>2</v>
      </c>
      <c r="AN106" s="28">
        <v>2</v>
      </c>
      <c r="AO106" s="28">
        <v>3</v>
      </c>
      <c r="AP106" s="28">
        <v>83</v>
      </c>
      <c r="AQ106" s="26">
        <f t="shared" si="14"/>
        <v>38</v>
      </c>
    </row>
    <row r="107" spans="1:43" x14ac:dyDescent="0.2">
      <c r="A107" s="139" t="s">
        <v>417</v>
      </c>
      <c r="B107" s="128">
        <v>2</v>
      </c>
      <c r="C107" s="129">
        <v>3</v>
      </c>
      <c r="D107" s="129">
        <v>1</v>
      </c>
      <c r="E107" s="129">
        <v>1</v>
      </c>
      <c r="F107" s="129">
        <v>4</v>
      </c>
      <c r="G107" s="129">
        <v>1</v>
      </c>
      <c r="H107" s="129">
        <v>3</v>
      </c>
      <c r="I107" s="129">
        <v>3</v>
      </c>
      <c r="J107" s="129">
        <v>2</v>
      </c>
      <c r="K107" s="129">
        <v>1</v>
      </c>
      <c r="L107" s="129">
        <v>3</v>
      </c>
      <c r="M107" s="129">
        <v>1</v>
      </c>
      <c r="N107" s="129">
        <v>1</v>
      </c>
      <c r="O107" s="129">
        <v>1</v>
      </c>
      <c r="P107" s="129">
        <v>2</v>
      </c>
      <c r="Q107" s="129">
        <v>3</v>
      </c>
      <c r="R107" s="129">
        <v>2</v>
      </c>
      <c r="S107" s="129">
        <v>1</v>
      </c>
      <c r="T107" s="129">
        <v>3</v>
      </c>
      <c r="U107" s="129">
        <v>3</v>
      </c>
      <c r="V107" s="129">
        <v>3</v>
      </c>
      <c r="W107" s="129">
        <v>1</v>
      </c>
      <c r="X107" s="129">
        <v>3</v>
      </c>
      <c r="Y107" s="129">
        <v>1</v>
      </c>
      <c r="Z107" s="129">
        <v>1</v>
      </c>
      <c r="AA107" s="129">
        <v>2</v>
      </c>
      <c r="AB107" s="129">
        <v>2</v>
      </c>
      <c r="AC107" s="129">
        <v>2</v>
      </c>
      <c r="AD107" s="129">
        <v>1</v>
      </c>
      <c r="AE107" s="129">
        <v>3</v>
      </c>
      <c r="AF107" s="129">
        <v>1</v>
      </c>
      <c r="AG107" s="129">
        <v>2</v>
      </c>
      <c r="AH107" s="129">
        <v>3</v>
      </c>
      <c r="AI107" s="129">
        <v>3</v>
      </c>
      <c r="AJ107" s="129">
        <v>1</v>
      </c>
      <c r="AK107" s="129">
        <v>4</v>
      </c>
      <c r="AL107" s="129">
        <v>1</v>
      </c>
      <c r="AM107" s="129">
        <v>2</v>
      </c>
      <c r="AN107" s="129">
        <v>3</v>
      </c>
      <c r="AO107" s="129">
        <v>2</v>
      </c>
      <c r="AP107" s="129">
        <v>82</v>
      </c>
      <c r="AQ107" s="26">
        <f t="shared" si="14"/>
        <v>41</v>
      </c>
    </row>
    <row r="108" spans="1:43" x14ac:dyDescent="0.2">
      <c r="A108" s="139" t="s">
        <v>418</v>
      </c>
      <c r="B108" s="128">
        <v>3</v>
      </c>
      <c r="C108" s="129">
        <v>2</v>
      </c>
      <c r="D108" s="129">
        <v>1</v>
      </c>
      <c r="E108" s="129">
        <v>1</v>
      </c>
      <c r="F108" s="129">
        <v>4</v>
      </c>
      <c r="G108" s="129">
        <v>1</v>
      </c>
      <c r="H108" s="129">
        <v>2</v>
      </c>
      <c r="I108" s="129">
        <v>3</v>
      </c>
      <c r="J108" s="129">
        <v>2</v>
      </c>
      <c r="K108" s="129">
        <v>1</v>
      </c>
      <c r="L108" s="129">
        <v>3</v>
      </c>
      <c r="M108" s="129">
        <v>1</v>
      </c>
      <c r="N108" s="129">
        <v>1</v>
      </c>
      <c r="O108" s="129">
        <v>2</v>
      </c>
      <c r="P108" s="129">
        <v>3</v>
      </c>
      <c r="Q108" s="129">
        <v>3</v>
      </c>
      <c r="R108" s="129">
        <v>2</v>
      </c>
      <c r="S108" s="129">
        <v>1</v>
      </c>
      <c r="T108" s="129">
        <v>2</v>
      </c>
      <c r="U108" s="129">
        <v>3</v>
      </c>
      <c r="V108" s="129">
        <v>3</v>
      </c>
      <c r="W108" s="129">
        <v>1</v>
      </c>
      <c r="X108" s="129">
        <v>3</v>
      </c>
      <c r="Y108" s="129">
        <v>2</v>
      </c>
      <c r="Z108" s="129">
        <v>1</v>
      </c>
      <c r="AA108" s="129">
        <v>2</v>
      </c>
      <c r="AB108" s="129">
        <v>3</v>
      </c>
      <c r="AC108" s="129">
        <v>2</v>
      </c>
      <c r="AD108" s="129">
        <v>1</v>
      </c>
      <c r="AE108" s="129">
        <v>3</v>
      </c>
      <c r="AF108" s="129">
        <v>1</v>
      </c>
      <c r="AG108" s="129">
        <v>2</v>
      </c>
      <c r="AH108" s="129">
        <v>2</v>
      </c>
      <c r="AI108" s="129">
        <v>2</v>
      </c>
      <c r="AJ108" s="129">
        <v>1</v>
      </c>
      <c r="AK108" s="129">
        <v>4</v>
      </c>
      <c r="AL108" s="129">
        <v>1</v>
      </c>
      <c r="AM108" s="129">
        <v>2</v>
      </c>
      <c r="AN108" s="129">
        <v>2</v>
      </c>
      <c r="AO108" s="129">
        <v>3</v>
      </c>
      <c r="AP108" s="129">
        <v>82</v>
      </c>
      <c r="AQ108" s="26">
        <f t="shared" si="14"/>
        <v>41</v>
      </c>
    </row>
    <row r="109" spans="1:43" x14ac:dyDescent="0.2">
      <c r="A109" s="139" t="s">
        <v>419</v>
      </c>
      <c r="B109" s="128">
        <v>2</v>
      </c>
      <c r="C109" s="129">
        <v>3</v>
      </c>
      <c r="D109" s="129">
        <v>1</v>
      </c>
      <c r="E109" s="129">
        <v>1</v>
      </c>
      <c r="F109" s="129">
        <v>3</v>
      </c>
      <c r="G109" s="129">
        <v>1</v>
      </c>
      <c r="H109" s="129">
        <v>3</v>
      </c>
      <c r="I109" s="129">
        <v>3</v>
      </c>
      <c r="J109" s="129">
        <v>3</v>
      </c>
      <c r="K109" s="129">
        <v>1</v>
      </c>
      <c r="L109" s="129">
        <v>3</v>
      </c>
      <c r="M109" s="129">
        <v>2</v>
      </c>
      <c r="N109" s="129">
        <v>2</v>
      </c>
      <c r="O109" s="129">
        <v>3</v>
      </c>
      <c r="P109" s="129">
        <v>2</v>
      </c>
      <c r="Q109" s="129">
        <v>3</v>
      </c>
      <c r="R109" s="129">
        <v>2</v>
      </c>
      <c r="S109" s="129">
        <v>1</v>
      </c>
      <c r="T109" s="129">
        <v>3</v>
      </c>
      <c r="U109" s="129">
        <v>3</v>
      </c>
      <c r="V109" s="129">
        <v>3</v>
      </c>
      <c r="W109" s="129">
        <v>2</v>
      </c>
      <c r="X109" s="129">
        <v>3</v>
      </c>
      <c r="Y109" s="129">
        <v>1</v>
      </c>
      <c r="Z109" s="129">
        <v>1</v>
      </c>
      <c r="AA109" s="129">
        <v>2</v>
      </c>
      <c r="AB109" s="129">
        <v>2</v>
      </c>
      <c r="AC109" s="129">
        <v>2</v>
      </c>
      <c r="AD109" s="129">
        <v>1</v>
      </c>
      <c r="AE109" s="129">
        <v>2</v>
      </c>
      <c r="AF109" s="129">
        <v>2</v>
      </c>
      <c r="AG109" s="129">
        <v>2</v>
      </c>
      <c r="AH109" s="129">
        <v>3</v>
      </c>
      <c r="AI109" s="129">
        <v>2</v>
      </c>
      <c r="AJ109" s="129">
        <v>1</v>
      </c>
      <c r="AK109" s="129">
        <v>3</v>
      </c>
      <c r="AL109" s="129">
        <v>2</v>
      </c>
      <c r="AM109" s="129">
        <v>2</v>
      </c>
      <c r="AN109" s="129">
        <v>3</v>
      </c>
      <c r="AO109" s="129">
        <v>3</v>
      </c>
      <c r="AP109" s="129">
        <v>87</v>
      </c>
      <c r="AQ109" s="26">
        <f t="shared" si="14"/>
        <v>42</v>
      </c>
    </row>
    <row r="110" spans="1:43" x14ac:dyDescent="0.2">
      <c r="A110" s="139" t="s">
        <v>420</v>
      </c>
      <c r="B110" s="128">
        <v>3</v>
      </c>
      <c r="C110" s="129">
        <v>3</v>
      </c>
      <c r="D110" s="129">
        <v>1</v>
      </c>
      <c r="E110" s="129">
        <v>1</v>
      </c>
      <c r="F110" s="129">
        <v>4</v>
      </c>
      <c r="G110" s="129">
        <v>1</v>
      </c>
      <c r="H110" s="129">
        <v>3</v>
      </c>
      <c r="I110" s="129">
        <v>3</v>
      </c>
      <c r="J110" s="129">
        <v>2</v>
      </c>
      <c r="K110" s="129">
        <v>1</v>
      </c>
      <c r="L110" s="129">
        <v>3</v>
      </c>
      <c r="M110" s="129">
        <v>1</v>
      </c>
      <c r="N110" s="129">
        <v>1</v>
      </c>
      <c r="O110" s="129">
        <v>1</v>
      </c>
      <c r="P110" s="129">
        <v>3</v>
      </c>
      <c r="Q110" s="129">
        <v>3</v>
      </c>
      <c r="R110" s="129">
        <v>2</v>
      </c>
      <c r="S110" s="129">
        <v>1</v>
      </c>
      <c r="T110" s="129">
        <v>3</v>
      </c>
      <c r="U110" s="129">
        <v>3</v>
      </c>
      <c r="V110" s="129">
        <v>3</v>
      </c>
      <c r="W110" s="129">
        <v>1</v>
      </c>
      <c r="X110" s="129">
        <v>3</v>
      </c>
      <c r="Y110" s="129">
        <v>1</v>
      </c>
      <c r="Z110" s="129">
        <v>1</v>
      </c>
      <c r="AA110" s="129">
        <v>2</v>
      </c>
      <c r="AB110" s="129">
        <v>3</v>
      </c>
      <c r="AC110" s="129">
        <v>2</v>
      </c>
      <c r="AD110" s="129">
        <v>1</v>
      </c>
      <c r="AE110" s="129">
        <v>3</v>
      </c>
      <c r="AF110" s="129">
        <v>1</v>
      </c>
      <c r="AG110" s="129">
        <v>1</v>
      </c>
      <c r="AH110" s="129">
        <v>3</v>
      </c>
      <c r="AI110" s="129">
        <v>1</v>
      </c>
      <c r="AJ110" s="129">
        <v>1</v>
      </c>
      <c r="AK110" s="129">
        <v>4</v>
      </c>
      <c r="AL110" s="129">
        <v>1</v>
      </c>
      <c r="AM110" s="129">
        <v>2</v>
      </c>
      <c r="AN110" s="129">
        <v>3</v>
      </c>
      <c r="AO110" s="129">
        <v>2</v>
      </c>
      <c r="AP110" s="129">
        <v>82</v>
      </c>
      <c r="AQ110" s="26">
        <f t="shared" si="14"/>
        <v>39</v>
      </c>
    </row>
    <row r="111" spans="1:43" x14ac:dyDescent="0.2">
      <c r="A111" s="139" t="s">
        <v>421</v>
      </c>
      <c r="B111" s="128">
        <v>3</v>
      </c>
      <c r="C111" s="129">
        <v>2</v>
      </c>
      <c r="D111" s="129">
        <v>1</v>
      </c>
      <c r="E111" s="129">
        <v>1</v>
      </c>
      <c r="F111" s="129">
        <v>4</v>
      </c>
      <c r="G111" s="129">
        <v>1</v>
      </c>
      <c r="H111" s="129">
        <v>2</v>
      </c>
      <c r="I111" s="129">
        <v>3</v>
      </c>
      <c r="J111" s="129">
        <v>2</v>
      </c>
      <c r="K111" s="129">
        <v>1</v>
      </c>
      <c r="L111" s="129">
        <v>3</v>
      </c>
      <c r="M111" s="129">
        <v>2</v>
      </c>
      <c r="N111" s="129">
        <v>2</v>
      </c>
      <c r="O111" s="129">
        <v>3</v>
      </c>
      <c r="P111" s="129">
        <v>3</v>
      </c>
      <c r="Q111" s="129">
        <v>3</v>
      </c>
      <c r="R111" s="129">
        <v>2</v>
      </c>
      <c r="S111" s="129">
        <v>1</v>
      </c>
      <c r="T111" s="129">
        <v>2</v>
      </c>
      <c r="U111" s="129">
        <v>3</v>
      </c>
      <c r="V111" s="129">
        <v>3</v>
      </c>
      <c r="W111" s="129">
        <v>2</v>
      </c>
      <c r="X111" s="129">
        <v>3</v>
      </c>
      <c r="Y111" s="129">
        <v>3</v>
      </c>
      <c r="Z111" s="129">
        <v>1</v>
      </c>
      <c r="AA111" s="129">
        <v>2</v>
      </c>
      <c r="AB111" s="129">
        <v>3</v>
      </c>
      <c r="AC111" s="129">
        <v>2</v>
      </c>
      <c r="AD111" s="129">
        <v>1</v>
      </c>
      <c r="AE111" s="129">
        <v>3</v>
      </c>
      <c r="AF111" s="129">
        <v>1</v>
      </c>
      <c r="AG111" s="129">
        <v>1</v>
      </c>
      <c r="AH111" s="129">
        <v>2</v>
      </c>
      <c r="AI111" s="129">
        <v>2</v>
      </c>
      <c r="AJ111" s="129">
        <v>1</v>
      </c>
      <c r="AK111" s="129">
        <v>4</v>
      </c>
      <c r="AL111" s="129">
        <v>1</v>
      </c>
      <c r="AM111" s="129">
        <v>2</v>
      </c>
      <c r="AN111" s="129">
        <v>2</v>
      </c>
      <c r="AO111" s="129">
        <v>3</v>
      </c>
      <c r="AP111" s="129">
        <v>86</v>
      </c>
      <c r="AQ111" s="26">
        <f t="shared" si="14"/>
        <v>42</v>
      </c>
    </row>
    <row r="112" spans="1:43" x14ac:dyDescent="0.2">
      <c r="A112" s="139" t="s">
        <v>422</v>
      </c>
      <c r="B112" s="128">
        <v>3</v>
      </c>
      <c r="C112" s="129">
        <v>3</v>
      </c>
      <c r="D112" s="129">
        <v>1</v>
      </c>
      <c r="E112" s="129">
        <v>1</v>
      </c>
      <c r="F112" s="129">
        <v>3</v>
      </c>
      <c r="G112" s="129">
        <v>1</v>
      </c>
      <c r="H112" s="129">
        <v>3</v>
      </c>
      <c r="I112" s="129">
        <v>3</v>
      </c>
      <c r="J112" s="129">
        <v>3</v>
      </c>
      <c r="K112" s="129">
        <v>1</v>
      </c>
      <c r="L112" s="129">
        <v>3</v>
      </c>
      <c r="M112" s="129">
        <v>1</v>
      </c>
      <c r="N112" s="129">
        <v>1</v>
      </c>
      <c r="O112" s="129">
        <v>1</v>
      </c>
      <c r="P112" s="129">
        <v>3</v>
      </c>
      <c r="Q112" s="129">
        <v>3</v>
      </c>
      <c r="R112" s="129">
        <v>2</v>
      </c>
      <c r="S112" s="129">
        <v>1</v>
      </c>
      <c r="T112" s="129">
        <v>3</v>
      </c>
      <c r="U112" s="129">
        <v>3</v>
      </c>
      <c r="V112" s="129">
        <v>3</v>
      </c>
      <c r="W112" s="129">
        <v>1</v>
      </c>
      <c r="X112" s="129">
        <v>3</v>
      </c>
      <c r="Y112" s="129">
        <v>1</v>
      </c>
      <c r="Z112" s="129">
        <v>1</v>
      </c>
      <c r="AA112" s="129">
        <v>2</v>
      </c>
      <c r="AB112" s="129">
        <v>3</v>
      </c>
      <c r="AC112" s="129">
        <v>2</v>
      </c>
      <c r="AD112" s="129">
        <v>1</v>
      </c>
      <c r="AE112" s="129">
        <v>3</v>
      </c>
      <c r="AF112" s="129">
        <v>1</v>
      </c>
      <c r="AG112" s="129">
        <v>1</v>
      </c>
      <c r="AH112" s="129">
        <v>3</v>
      </c>
      <c r="AI112" s="129">
        <v>2</v>
      </c>
      <c r="AJ112" s="129">
        <v>1</v>
      </c>
      <c r="AK112" s="129">
        <v>3</v>
      </c>
      <c r="AL112" s="129">
        <v>1</v>
      </c>
      <c r="AM112" s="129">
        <v>2</v>
      </c>
      <c r="AN112" s="129">
        <v>3</v>
      </c>
      <c r="AO112" s="129">
        <v>2</v>
      </c>
      <c r="AP112" s="129">
        <v>82</v>
      </c>
      <c r="AQ112" s="26">
        <f t="shared" si="14"/>
        <v>39</v>
      </c>
    </row>
    <row r="113" spans="1:43" x14ac:dyDescent="0.2">
      <c r="A113" s="139" t="s">
        <v>423</v>
      </c>
      <c r="B113" s="130">
        <v>2</v>
      </c>
      <c r="C113" s="131">
        <v>2</v>
      </c>
      <c r="D113" s="131">
        <v>1</v>
      </c>
      <c r="E113" s="131">
        <v>1</v>
      </c>
      <c r="F113" s="131">
        <v>4</v>
      </c>
      <c r="G113" s="131">
        <v>1</v>
      </c>
      <c r="H113" s="131">
        <v>3</v>
      </c>
      <c r="I113" s="131">
        <v>3</v>
      </c>
      <c r="J113" s="131">
        <v>3</v>
      </c>
      <c r="K113" s="131">
        <v>1</v>
      </c>
      <c r="L113" s="131">
        <v>3</v>
      </c>
      <c r="M113" s="131">
        <v>2</v>
      </c>
      <c r="N113" s="131">
        <v>2</v>
      </c>
      <c r="O113" s="131">
        <v>3</v>
      </c>
      <c r="P113" s="131">
        <v>2</v>
      </c>
      <c r="Q113" s="131">
        <v>3</v>
      </c>
      <c r="R113" s="131">
        <v>1</v>
      </c>
      <c r="S113" s="131">
        <v>1</v>
      </c>
      <c r="T113" s="131">
        <v>2</v>
      </c>
      <c r="U113" s="131">
        <v>3</v>
      </c>
      <c r="V113" s="131">
        <v>3</v>
      </c>
      <c r="W113" s="131">
        <v>2</v>
      </c>
      <c r="X113" s="131">
        <v>3</v>
      </c>
      <c r="Y113" s="131">
        <v>3</v>
      </c>
      <c r="Z113" s="131">
        <v>1</v>
      </c>
      <c r="AA113" s="131">
        <v>2</v>
      </c>
      <c r="AB113" s="131">
        <v>2</v>
      </c>
      <c r="AC113" s="131">
        <v>2</v>
      </c>
      <c r="AD113" s="131">
        <v>1</v>
      </c>
      <c r="AE113" s="131">
        <v>2</v>
      </c>
      <c r="AF113" s="131">
        <v>1</v>
      </c>
      <c r="AG113" s="131">
        <v>2</v>
      </c>
      <c r="AH113" s="131">
        <v>2</v>
      </c>
      <c r="AI113" s="131">
        <v>2</v>
      </c>
      <c r="AJ113" s="131">
        <v>1</v>
      </c>
      <c r="AK113" s="131">
        <v>4</v>
      </c>
      <c r="AL113" s="131">
        <v>1</v>
      </c>
      <c r="AM113" s="131">
        <v>2</v>
      </c>
      <c r="AN113" s="131">
        <v>2</v>
      </c>
      <c r="AO113" s="131">
        <v>3</v>
      </c>
      <c r="AP113" s="131">
        <v>84</v>
      </c>
      <c r="AQ113" s="26">
        <f t="shared" si="14"/>
        <v>41</v>
      </c>
    </row>
    <row r="114" spans="1:43" ht="16" x14ac:dyDescent="0.2">
      <c r="A114" s="124" t="s">
        <v>424</v>
      </c>
      <c r="B114" s="125">
        <v>3</v>
      </c>
      <c r="C114" s="126">
        <v>3</v>
      </c>
      <c r="D114" s="126">
        <v>1</v>
      </c>
      <c r="E114" s="126">
        <v>1</v>
      </c>
      <c r="F114" s="126">
        <v>3</v>
      </c>
      <c r="G114" s="126">
        <v>1</v>
      </c>
      <c r="H114" s="126">
        <v>1</v>
      </c>
      <c r="I114" s="126">
        <v>3</v>
      </c>
      <c r="J114" s="126">
        <v>1</v>
      </c>
      <c r="K114" s="126">
        <v>1</v>
      </c>
      <c r="L114" s="126">
        <v>3</v>
      </c>
      <c r="M114" s="126">
        <v>1</v>
      </c>
      <c r="N114" s="126">
        <v>1</v>
      </c>
      <c r="O114" s="126">
        <v>2</v>
      </c>
      <c r="P114" s="126">
        <v>3</v>
      </c>
      <c r="Q114" s="126">
        <v>3</v>
      </c>
      <c r="R114" s="126">
        <v>1</v>
      </c>
      <c r="S114" s="126">
        <v>2</v>
      </c>
      <c r="T114" s="126">
        <v>3</v>
      </c>
      <c r="U114" s="126">
        <v>3</v>
      </c>
      <c r="V114" s="126">
        <v>3</v>
      </c>
      <c r="W114" s="126">
        <v>1</v>
      </c>
      <c r="X114" s="126">
        <v>3</v>
      </c>
      <c r="Y114" s="126">
        <v>1</v>
      </c>
      <c r="Z114" s="126">
        <v>1</v>
      </c>
      <c r="AA114" s="126">
        <v>2</v>
      </c>
      <c r="AB114" s="126">
        <v>3</v>
      </c>
      <c r="AC114" s="126">
        <v>1</v>
      </c>
      <c r="AD114" s="126">
        <v>1</v>
      </c>
      <c r="AE114" s="126">
        <v>3</v>
      </c>
      <c r="AF114" s="126">
        <v>1</v>
      </c>
      <c r="AG114" s="126">
        <v>1</v>
      </c>
      <c r="AH114" s="126">
        <v>3</v>
      </c>
      <c r="AI114" s="126">
        <v>2</v>
      </c>
      <c r="AJ114" s="126">
        <v>1</v>
      </c>
      <c r="AK114" s="126">
        <v>3</v>
      </c>
      <c r="AL114" s="126">
        <v>1</v>
      </c>
      <c r="AM114" s="126">
        <v>1</v>
      </c>
      <c r="AN114" s="126">
        <v>3</v>
      </c>
      <c r="AO114" s="126">
        <v>1</v>
      </c>
      <c r="AP114" s="126">
        <v>76</v>
      </c>
      <c r="AQ114" s="26">
        <f t="shared" si="14"/>
        <v>36</v>
      </c>
    </row>
    <row r="115" spans="1:43" x14ac:dyDescent="0.2">
      <c r="A115" s="139" t="s">
        <v>425</v>
      </c>
      <c r="B115" s="28">
        <v>3</v>
      </c>
      <c r="C115" s="28">
        <v>4</v>
      </c>
      <c r="D115" s="28">
        <v>3</v>
      </c>
      <c r="E115" s="28">
        <v>3</v>
      </c>
      <c r="F115" s="28">
        <v>4</v>
      </c>
      <c r="G115" s="28">
        <v>1</v>
      </c>
      <c r="H115" s="28">
        <v>3</v>
      </c>
      <c r="I115" s="28">
        <v>3</v>
      </c>
      <c r="J115" s="28">
        <v>1</v>
      </c>
      <c r="K115" s="28">
        <v>1</v>
      </c>
      <c r="L115" s="28">
        <v>4</v>
      </c>
      <c r="M115" s="28">
        <v>3</v>
      </c>
      <c r="N115" s="28">
        <v>3</v>
      </c>
      <c r="O115" s="28">
        <v>3</v>
      </c>
      <c r="P115" s="28">
        <v>3</v>
      </c>
      <c r="Q115" s="28">
        <v>3</v>
      </c>
      <c r="R115" s="28">
        <v>2</v>
      </c>
      <c r="S115" s="28">
        <v>1</v>
      </c>
      <c r="T115" s="28">
        <v>4</v>
      </c>
      <c r="U115" s="28">
        <v>3</v>
      </c>
      <c r="V115" s="28">
        <v>3</v>
      </c>
      <c r="W115" s="28">
        <v>3</v>
      </c>
      <c r="X115" s="28">
        <v>3</v>
      </c>
      <c r="Y115" s="28">
        <v>3</v>
      </c>
      <c r="Z115" s="28">
        <v>1</v>
      </c>
      <c r="AA115" s="28">
        <v>2</v>
      </c>
      <c r="AB115" s="28">
        <v>3</v>
      </c>
      <c r="AC115" s="28">
        <v>3</v>
      </c>
      <c r="AD115" s="28">
        <v>1</v>
      </c>
      <c r="AE115" s="28">
        <v>2</v>
      </c>
      <c r="AF115" s="28">
        <v>1</v>
      </c>
      <c r="AG115" s="28">
        <v>3</v>
      </c>
      <c r="AH115" s="28">
        <v>4</v>
      </c>
      <c r="AI115" s="28">
        <v>3</v>
      </c>
      <c r="AJ115" s="28">
        <v>1</v>
      </c>
      <c r="AK115" s="28">
        <v>4</v>
      </c>
      <c r="AL115" s="28">
        <v>1</v>
      </c>
      <c r="AM115" s="28">
        <v>2</v>
      </c>
      <c r="AN115" s="28">
        <v>4</v>
      </c>
      <c r="AO115" s="28">
        <v>3</v>
      </c>
      <c r="AP115" s="28">
        <v>105</v>
      </c>
      <c r="AQ115" s="26">
        <f t="shared" si="14"/>
        <v>50</v>
      </c>
    </row>
    <row r="116" spans="1:43" x14ac:dyDescent="0.2">
      <c r="A116" s="139" t="s">
        <v>426</v>
      </c>
      <c r="B116" s="28">
        <v>2</v>
      </c>
      <c r="C116" s="28">
        <v>2</v>
      </c>
      <c r="D116" s="28">
        <v>2</v>
      </c>
      <c r="E116" s="28">
        <v>2</v>
      </c>
      <c r="F116" s="28">
        <v>3</v>
      </c>
      <c r="G116" s="28">
        <v>1</v>
      </c>
      <c r="H116" s="28">
        <v>2</v>
      </c>
      <c r="I116" s="28">
        <v>3</v>
      </c>
      <c r="J116" s="28">
        <v>3</v>
      </c>
      <c r="K116" s="28">
        <v>1</v>
      </c>
      <c r="L116" s="28">
        <v>2</v>
      </c>
      <c r="M116" s="28">
        <v>2</v>
      </c>
      <c r="N116" s="28">
        <v>2</v>
      </c>
      <c r="O116" s="28">
        <v>3</v>
      </c>
      <c r="P116" s="28">
        <v>2</v>
      </c>
      <c r="Q116" s="28">
        <v>3</v>
      </c>
      <c r="R116" s="28">
        <v>2</v>
      </c>
      <c r="S116" s="28">
        <v>2</v>
      </c>
      <c r="T116" s="28">
        <v>2</v>
      </c>
      <c r="U116" s="28">
        <v>3</v>
      </c>
      <c r="V116" s="28">
        <v>3</v>
      </c>
      <c r="W116" s="28">
        <v>2</v>
      </c>
      <c r="X116" s="28">
        <v>3</v>
      </c>
      <c r="Y116" s="28">
        <v>3</v>
      </c>
      <c r="Z116" s="28">
        <v>1</v>
      </c>
      <c r="AA116" s="28">
        <v>2</v>
      </c>
      <c r="AB116" s="28">
        <v>2</v>
      </c>
      <c r="AC116" s="28">
        <v>1</v>
      </c>
      <c r="AD116" s="28">
        <v>1</v>
      </c>
      <c r="AE116" s="28">
        <v>3</v>
      </c>
      <c r="AF116" s="28">
        <v>1</v>
      </c>
      <c r="AG116" s="28">
        <v>3</v>
      </c>
      <c r="AH116" s="28">
        <v>2</v>
      </c>
      <c r="AI116" s="28">
        <v>2</v>
      </c>
      <c r="AJ116" s="28">
        <v>1</v>
      </c>
      <c r="AK116" s="28">
        <v>3</v>
      </c>
      <c r="AL116" s="28">
        <v>1</v>
      </c>
      <c r="AM116" s="28">
        <v>1</v>
      </c>
      <c r="AN116" s="28">
        <v>2</v>
      </c>
      <c r="AO116" s="28">
        <v>1</v>
      </c>
      <c r="AP116" s="28">
        <v>82</v>
      </c>
      <c r="AQ116" s="26">
        <f t="shared" si="14"/>
        <v>38</v>
      </c>
    </row>
    <row r="117" spans="1:43" x14ac:dyDescent="0.2">
      <c r="A117" s="149" t="s">
        <v>427</v>
      </c>
      <c r="B117" s="28">
        <v>2</v>
      </c>
      <c r="C117" s="28">
        <v>2</v>
      </c>
      <c r="D117" s="28">
        <v>1</v>
      </c>
      <c r="E117" s="28">
        <v>1</v>
      </c>
      <c r="F117" s="28">
        <v>3</v>
      </c>
      <c r="G117" s="28">
        <v>1</v>
      </c>
      <c r="H117" s="28">
        <v>3</v>
      </c>
      <c r="I117" s="28">
        <v>3</v>
      </c>
      <c r="J117" s="28">
        <v>2</v>
      </c>
      <c r="K117" s="28">
        <v>1</v>
      </c>
      <c r="L117" s="28">
        <v>3</v>
      </c>
      <c r="M117" s="28">
        <v>1</v>
      </c>
      <c r="N117" s="28">
        <v>1</v>
      </c>
      <c r="O117" s="28">
        <v>1</v>
      </c>
      <c r="P117" s="28">
        <v>2</v>
      </c>
      <c r="Q117" s="28">
        <v>3</v>
      </c>
      <c r="R117" s="28">
        <v>2</v>
      </c>
      <c r="S117" s="28">
        <v>1</v>
      </c>
      <c r="T117" s="28">
        <v>2</v>
      </c>
      <c r="U117" s="28">
        <v>3</v>
      </c>
      <c r="V117" s="28">
        <v>3</v>
      </c>
      <c r="W117" s="28">
        <v>1</v>
      </c>
      <c r="X117" s="28">
        <v>3</v>
      </c>
      <c r="Y117" s="28">
        <v>1</v>
      </c>
      <c r="Z117" s="28">
        <v>1</v>
      </c>
      <c r="AA117" s="28">
        <v>2</v>
      </c>
      <c r="AB117" s="28">
        <v>2</v>
      </c>
      <c r="AC117" s="28">
        <v>2</v>
      </c>
      <c r="AD117" s="28">
        <v>1</v>
      </c>
      <c r="AE117" s="28">
        <v>3</v>
      </c>
      <c r="AF117" s="28">
        <v>1</v>
      </c>
      <c r="AG117" s="28">
        <v>3</v>
      </c>
      <c r="AH117" s="28">
        <v>2</v>
      </c>
      <c r="AI117" s="28">
        <v>2</v>
      </c>
      <c r="AJ117" s="28">
        <v>1</v>
      </c>
      <c r="AK117" s="28">
        <v>3</v>
      </c>
      <c r="AL117" s="28">
        <v>1</v>
      </c>
      <c r="AM117" s="28">
        <v>2</v>
      </c>
      <c r="AN117" s="28">
        <v>2</v>
      </c>
      <c r="AO117" s="28">
        <v>3</v>
      </c>
      <c r="AP117" s="28">
        <v>77</v>
      </c>
      <c r="AQ117" s="26">
        <f t="shared" si="14"/>
        <v>39</v>
      </c>
    </row>
    <row r="118" spans="1:43" ht="16" x14ac:dyDescent="0.2">
      <c r="A118" s="151" t="s">
        <v>428</v>
      </c>
      <c r="B118" s="125">
        <v>3</v>
      </c>
      <c r="C118" s="126">
        <v>4</v>
      </c>
      <c r="D118" s="126">
        <v>1</v>
      </c>
      <c r="E118" s="126">
        <v>1</v>
      </c>
      <c r="F118" s="126">
        <v>3</v>
      </c>
      <c r="G118" s="126">
        <v>1</v>
      </c>
      <c r="H118" s="126">
        <v>2</v>
      </c>
      <c r="I118" s="126">
        <v>3</v>
      </c>
      <c r="J118" s="126">
        <v>2</v>
      </c>
      <c r="K118" s="126">
        <v>1</v>
      </c>
      <c r="L118" s="126">
        <v>3</v>
      </c>
      <c r="M118" s="126">
        <v>1</v>
      </c>
      <c r="N118" s="126">
        <v>1</v>
      </c>
      <c r="O118" s="126">
        <v>2</v>
      </c>
      <c r="P118" s="126">
        <v>3</v>
      </c>
      <c r="Q118" s="126">
        <v>3</v>
      </c>
      <c r="R118" s="126">
        <v>2</v>
      </c>
      <c r="S118" s="126">
        <v>1</v>
      </c>
      <c r="T118" s="126">
        <v>4</v>
      </c>
      <c r="U118" s="126">
        <v>3</v>
      </c>
      <c r="V118" s="126">
        <v>3</v>
      </c>
      <c r="W118" s="126">
        <v>1</v>
      </c>
      <c r="X118" s="126">
        <v>3</v>
      </c>
      <c r="Y118" s="126">
        <v>1</v>
      </c>
      <c r="Z118" s="126">
        <v>1</v>
      </c>
      <c r="AA118" s="126">
        <v>2</v>
      </c>
      <c r="AB118" s="126">
        <v>3</v>
      </c>
      <c r="AC118" s="126">
        <v>1</v>
      </c>
      <c r="AD118" s="126">
        <v>1</v>
      </c>
      <c r="AE118" s="126">
        <v>3</v>
      </c>
      <c r="AF118" s="126">
        <v>1</v>
      </c>
      <c r="AG118" s="126">
        <v>1</v>
      </c>
      <c r="AH118" s="126">
        <v>4</v>
      </c>
      <c r="AI118" s="126">
        <v>3</v>
      </c>
      <c r="AJ118" s="126">
        <v>1</v>
      </c>
      <c r="AK118" s="126">
        <v>3</v>
      </c>
      <c r="AL118" s="126">
        <v>1</v>
      </c>
      <c r="AM118" s="126">
        <v>1</v>
      </c>
      <c r="AN118" s="126">
        <v>4</v>
      </c>
      <c r="AO118" s="126">
        <v>2</v>
      </c>
      <c r="AP118" s="126">
        <v>84</v>
      </c>
      <c r="AQ118" s="26">
        <f t="shared" si="14"/>
        <v>40</v>
      </c>
    </row>
    <row r="119" spans="1:43" ht="16" x14ac:dyDescent="0.2">
      <c r="A119" s="151" t="s">
        <v>429</v>
      </c>
      <c r="B119" s="128">
        <v>3</v>
      </c>
      <c r="C119" s="129">
        <v>3</v>
      </c>
      <c r="D119" s="129">
        <v>1</v>
      </c>
      <c r="E119" s="129">
        <v>1</v>
      </c>
      <c r="F119" s="129">
        <v>4</v>
      </c>
      <c r="G119" s="129">
        <v>1</v>
      </c>
      <c r="H119" s="129">
        <v>3</v>
      </c>
      <c r="I119" s="129">
        <v>3</v>
      </c>
      <c r="J119" s="129">
        <v>3</v>
      </c>
      <c r="K119" s="129">
        <v>1</v>
      </c>
      <c r="L119" s="129">
        <v>3</v>
      </c>
      <c r="M119" s="129">
        <v>1</v>
      </c>
      <c r="N119" s="129">
        <v>1</v>
      </c>
      <c r="O119" s="129">
        <v>3</v>
      </c>
      <c r="P119" s="129">
        <v>3</v>
      </c>
      <c r="Q119" s="129">
        <v>3</v>
      </c>
      <c r="R119" s="129">
        <v>2</v>
      </c>
      <c r="S119" s="129">
        <v>1</v>
      </c>
      <c r="T119" s="129">
        <v>3</v>
      </c>
      <c r="U119" s="129">
        <v>3</v>
      </c>
      <c r="V119" s="129">
        <v>3</v>
      </c>
      <c r="W119" s="129">
        <v>1</v>
      </c>
      <c r="X119" s="129">
        <v>3</v>
      </c>
      <c r="Y119" s="129">
        <v>2</v>
      </c>
      <c r="Z119" s="129">
        <v>1</v>
      </c>
      <c r="AA119" s="129">
        <v>2</v>
      </c>
      <c r="AB119" s="129">
        <v>3</v>
      </c>
      <c r="AC119" s="129">
        <v>1</v>
      </c>
      <c r="AD119" s="129">
        <v>1</v>
      </c>
      <c r="AE119" s="129">
        <v>3</v>
      </c>
      <c r="AF119" s="129">
        <v>1</v>
      </c>
      <c r="AG119" s="129">
        <v>1</v>
      </c>
      <c r="AH119" s="129">
        <v>3</v>
      </c>
      <c r="AI119" s="129">
        <v>3</v>
      </c>
      <c r="AJ119" s="129">
        <v>1</v>
      </c>
      <c r="AK119" s="129">
        <v>4</v>
      </c>
      <c r="AL119" s="129">
        <v>1</v>
      </c>
      <c r="AM119" s="129">
        <v>1</v>
      </c>
      <c r="AN119" s="129">
        <v>3</v>
      </c>
      <c r="AO119" s="129">
        <v>3</v>
      </c>
      <c r="AP119" s="129">
        <v>87</v>
      </c>
      <c r="AQ119" s="26">
        <f t="shared" si="14"/>
        <v>41</v>
      </c>
    </row>
    <row r="120" spans="1:43" ht="16" x14ac:dyDescent="0.2">
      <c r="A120" s="152" t="s">
        <v>430</v>
      </c>
      <c r="B120" s="153">
        <v>2</v>
      </c>
      <c r="C120" s="154">
        <v>3</v>
      </c>
      <c r="D120" s="154">
        <v>1</v>
      </c>
      <c r="E120" s="154">
        <v>1</v>
      </c>
      <c r="F120" s="154">
        <v>3</v>
      </c>
      <c r="G120" s="154">
        <v>1</v>
      </c>
      <c r="H120" s="154">
        <v>3</v>
      </c>
      <c r="I120" s="154">
        <v>3</v>
      </c>
      <c r="J120" s="154">
        <v>2</v>
      </c>
      <c r="K120" s="154">
        <v>1</v>
      </c>
      <c r="L120" s="154">
        <v>3</v>
      </c>
      <c r="M120" s="154">
        <v>2</v>
      </c>
      <c r="N120" s="154">
        <v>2</v>
      </c>
      <c r="O120" s="154">
        <v>2</v>
      </c>
      <c r="P120" s="154">
        <v>2</v>
      </c>
      <c r="Q120" s="154">
        <v>3</v>
      </c>
      <c r="R120" s="154">
        <v>2</v>
      </c>
      <c r="S120" s="154">
        <v>1</v>
      </c>
      <c r="T120" s="154">
        <v>3</v>
      </c>
      <c r="U120" s="154">
        <v>3</v>
      </c>
      <c r="V120" s="154">
        <v>3</v>
      </c>
      <c r="W120" s="154">
        <v>2</v>
      </c>
      <c r="X120" s="154">
        <v>3</v>
      </c>
      <c r="Y120" s="154">
        <v>2</v>
      </c>
      <c r="Z120" s="154">
        <v>1</v>
      </c>
      <c r="AA120" s="154">
        <v>2</v>
      </c>
      <c r="AB120" s="154">
        <v>2</v>
      </c>
      <c r="AC120" s="154">
        <v>2</v>
      </c>
      <c r="AD120" s="154">
        <v>1</v>
      </c>
      <c r="AE120" s="154">
        <v>3</v>
      </c>
      <c r="AF120" s="154">
        <v>1</v>
      </c>
      <c r="AG120" s="154">
        <v>2</v>
      </c>
      <c r="AH120" s="154">
        <v>3</v>
      </c>
      <c r="AI120" s="154">
        <v>2</v>
      </c>
      <c r="AJ120" s="154">
        <v>1</v>
      </c>
      <c r="AK120" s="154">
        <v>3</v>
      </c>
      <c r="AL120" s="154">
        <v>1</v>
      </c>
      <c r="AM120" s="154">
        <v>2</v>
      </c>
      <c r="AN120" s="154">
        <v>3</v>
      </c>
      <c r="AO120" s="154">
        <v>2</v>
      </c>
      <c r="AP120" s="154">
        <v>84</v>
      </c>
      <c r="AQ120" s="26">
        <f t="shared" si="14"/>
        <v>41</v>
      </c>
    </row>
    <row r="121" spans="1:43" ht="16" x14ac:dyDescent="0.2">
      <c r="A121" s="152" t="s">
        <v>431</v>
      </c>
      <c r="B121" s="143">
        <v>2</v>
      </c>
      <c r="C121" s="143">
        <v>3</v>
      </c>
      <c r="D121" s="143">
        <v>1</v>
      </c>
      <c r="E121" s="143">
        <v>1</v>
      </c>
      <c r="F121" s="143">
        <v>4</v>
      </c>
      <c r="G121" s="143">
        <v>1</v>
      </c>
      <c r="H121" s="143">
        <v>3</v>
      </c>
      <c r="I121" s="143">
        <v>3</v>
      </c>
      <c r="J121" s="143">
        <v>3</v>
      </c>
      <c r="K121" s="143">
        <v>1</v>
      </c>
      <c r="L121" s="143">
        <v>3</v>
      </c>
      <c r="M121" s="143">
        <v>2</v>
      </c>
      <c r="N121" s="143">
        <v>2</v>
      </c>
      <c r="O121" s="143">
        <v>3</v>
      </c>
      <c r="P121" s="143">
        <v>2</v>
      </c>
      <c r="Q121" s="143">
        <v>3</v>
      </c>
      <c r="R121" s="143">
        <v>2</v>
      </c>
      <c r="S121" s="143">
        <v>1</v>
      </c>
      <c r="T121" s="143">
        <v>3</v>
      </c>
      <c r="U121" s="143">
        <v>3</v>
      </c>
      <c r="V121" s="143">
        <v>3</v>
      </c>
      <c r="W121" s="143">
        <v>2</v>
      </c>
      <c r="X121" s="143">
        <v>3</v>
      </c>
      <c r="Y121" s="143">
        <v>2</v>
      </c>
      <c r="Z121" s="143">
        <v>1</v>
      </c>
      <c r="AA121" s="143">
        <v>2</v>
      </c>
      <c r="AB121" s="143">
        <v>2</v>
      </c>
      <c r="AC121" s="143">
        <v>2</v>
      </c>
      <c r="AD121" s="143">
        <v>1</v>
      </c>
      <c r="AE121" s="143">
        <v>3</v>
      </c>
      <c r="AF121" s="143">
        <v>1</v>
      </c>
      <c r="AG121" s="143">
        <v>2</v>
      </c>
      <c r="AH121" s="143">
        <v>3</v>
      </c>
      <c r="AI121" s="143">
        <v>2</v>
      </c>
      <c r="AJ121" s="143">
        <v>1</v>
      </c>
      <c r="AK121" s="143">
        <v>4</v>
      </c>
      <c r="AL121" s="143">
        <v>1</v>
      </c>
      <c r="AM121" s="143">
        <v>2</v>
      </c>
      <c r="AN121" s="143">
        <v>3</v>
      </c>
      <c r="AO121" s="143">
        <v>3</v>
      </c>
      <c r="AP121" s="143">
        <v>89</v>
      </c>
      <c r="AQ121" s="26">
        <f t="shared" si="14"/>
        <v>43</v>
      </c>
    </row>
    <row r="122" spans="1:43" x14ac:dyDescent="0.2">
      <c r="A122" s="136" t="s">
        <v>432</v>
      </c>
      <c r="B122" s="125">
        <v>3</v>
      </c>
      <c r="C122" s="126">
        <v>1</v>
      </c>
      <c r="D122" s="126">
        <v>1</v>
      </c>
      <c r="E122" s="126">
        <v>2</v>
      </c>
      <c r="F122" s="126">
        <v>3</v>
      </c>
      <c r="G122" s="126">
        <v>1</v>
      </c>
      <c r="H122" s="126">
        <v>2</v>
      </c>
      <c r="I122" s="126">
        <v>3</v>
      </c>
      <c r="J122" s="126">
        <v>2</v>
      </c>
      <c r="K122" s="126">
        <v>1</v>
      </c>
      <c r="L122" s="126">
        <v>2</v>
      </c>
      <c r="M122" s="126">
        <v>2</v>
      </c>
      <c r="N122" s="126">
        <v>2</v>
      </c>
      <c r="O122" s="126">
        <v>3</v>
      </c>
      <c r="P122" s="126">
        <v>3</v>
      </c>
      <c r="Q122" s="126">
        <v>3</v>
      </c>
      <c r="R122" s="126">
        <v>2</v>
      </c>
      <c r="S122" s="126">
        <v>2</v>
      </c>
      <c r="T122" s="126">
        <v>1</v>
      </c>
      <c r="U122" s="126">
        <v>3</v>
      </c>
      <c r="V122" s="126">
        <v>3</v>
      </c>
      <c r="W122" s="126">
        <v>2</v>
      </c>
      <c r="X122" s="126">
        <v>3</v>
      </c>
      <c r="Y122" s="126">
        <v>3</v>
      </c>
      <c r="Z122" s="126">
        <v>1</v>
      </c>
      <c r="AA122" s="126">
        <v>2</v>
      </c>
      <c r="AB122" s="126">
        <v>3</v>
      </c>
      <c r="AC122" s="126">
        <v>2</v>
      </c>
      <c r="AD122" s="126">
        <v>1</v>
      </c>
      <c r="AE122" s="126">
        <v>3</v>
      </c>
      <c r="AF122" s="126">
        <v>1</v>
      </c>
      <c r="AG122" s="126">
        <v>2</v>
      </c>
      <c r="AH122" s="126">
        <v>1</v>
      </c>
      <c r="AI122" s="126">
        <v>2</v>
      </c>
      <c r="AJ122" s="126">
        <v>1</v>
      </c>
      <c r="AK122" s="126">
        <v>3</v>
      </c>
      <c r="AL122" s="126">
        <v>1</v>
      </c>
      <c r="AM122" s="126">
        <v>2</v>
      </c>
      <c r="AN122" s="126">
        <v>1</v>
      </c>
      <c r="AO122" s="126">
        <v>1</v>
      </c>
      <c r="AP122" s="126">
        <v>80</v>
      </c>
      <c r="AQ122" s="26">
        <f t="shared" si="14"/>
        <v>38</v>
      </c>
    </row>
    <row r="123" spans="1:43" x14ac:dyDescent="0.2">
      <c r="A123" s="136" t="s">
        <v>433</v>
      </c>
      <c r="B123" s="28">
        <v>3</v>
      </c>
      <c r="C123" s="28">
        <v>1</v>
      </c>
      <c r="D123" s="28">
        <v>2</v>
      </c>
      <c r="E123" s="28">
        <v>2</v>
      </c>
      <c r="F123" s="28">
        <v>3</v>
      </c>
      <c r="G123" s="28">
        <v>1</v>
      </c>
      <c r="H123" s="28">
        <v>2</v>
      </c>
      <c r="I123" s="28">
        <v>2</v>
      </c>
      <c r="J123" s="28">
        <v>1</v>
      </c>
      <c r="K123" s="28">
        <v>1</v>
      </c>
      <c r="L123" s="28">
        <v>2</v>
      </c>
      <c r="M123" s="28">
        <v>3</v>
      </c>
      <c r="N123" s="28">
        <v>3</v>
      </c>
      <c r="O123" s="28">
        <v>3</v>
      </c>
      <c r="P123" s="28">
        <v>3</v>
      </c>
      <c r="Q123" s="28">
        <v>2</v>
      </c>
      <c r="R123" s="28">
        <v>2</v>
      </c>
      <c r="S123" s="28">
        <v>2</v>
      </c>
      <c r="T123" s="28">
        <v>1</v>
      </c>
      <c r="U123" s="28">
        <v>2</v>
      </c>
      <c r="V123" s="28">
        <v>2</v>
      </c>
      <c r="W123" s="28">
        <v>3</v>
      </c>
      <c r="X123" s="28">
        <v>2</v>
      </c>
      <c r="Y123" s="28">
        <v>3</v>
      </c>
      <c r="Z123" s="28">
        <v>1</v>
      </c>
      <c r="AA123" s="28">
        <v>2</v>
      </c>
      <c r="AB123" s="28">
        <v>3</v>
      </c>
      <c r="AC123" s="28">
        <v>1</v>
      </c>
      <c r="AD123" s="28">
        <v>1</v>
      </c>
      <c r="AE123" s="28">
        <v>2</v>
      </c>
      <c r="AF123" s="28">
        <v>1</v>
      </c>
      <c r="AG123" s="28">
        <v>3</v>
      </c>
      <c r="AH123" s="28">
        <v>1</v>
      </c>
      <c r="AI123" s="28">
        <v>1</v>
      </c>
      <c r="AJ123" s="28">
        <v>1</v>
      </c>
      <c r="AK123" s="28">
        <v>3</v>
      </c>
      <c r="AL123" s="28">
        <v>1</v>
      </c>
      <c r="AM123" s="28">
        <v>1</v>
      </c>
      <c r="AN123" s="28">
        <v>1</v>
      </c>
      <c r="AO123" s="28">
        <v>1</v>
      </c>
      <c r="AP123" s="28">
        <v>75</v>
      </c>
      <c r="AQ123" s="26">
        <f t="shared" si="14"/>
        <v>34</v>
      </c>
    </row>
    <row r="124" spans="1:43" x14ac:dyDescent="0.2">
      <c r="A124" s="136" t="s">
        <v>434</v>
      </c>
      <c r="B124" s="125">
        <v>3</v>
      </c>
      <c r="C124" s="126">
        <v>1</v>
      </c>
      <c r="D124" s="126">
        <v>2</v>
      </c>
      <c r="E124" s="126">
        <v>2</v>
      </c>
      <c r="F124" s="126">
        <v>3</v>
      </c>
      <c r="G124" s="126">
        <v>1</v>
      </c>
      <c r="H124" s="126">
        <v>2</v>
      </c>
      <c r="I124" s="126">
        <v>2</v>
      </c>
      <c r="J124" s="126">
        <v>1</v>
      </c>
      <c r="K124" s="126">
        <v>1</v>
      </c>
      <c r="L124" s="126">
        <v>2</v>
      </c>
      <c r="M124" s="126">
        <v>3</v>
      </c>
      <c r="N124" s="126">
        <v>3</v>
      </c>
      <c r="O124" s="126">
        <v>3</v>
      </c>
      <c r="P124" s="126">
        <v>3</v>
      </c>
      <c r="Q124" s="126">
        <v>2</v>
      </c>
      <c r="R124" s="126">
        <v>2</v>
      </c>
      <c r="S124" s="126">
        <v>2</v>
      </c>
      <c r="T124" s="126">
        <v>1</v>
      </c>
      <c r="U124" s="126">
        <v>2</v>
      </c>
      <c r="V124" s="126">
        <v>2</v>
      </c>
      <c r="W124" s="126">
        <v>3</v>
      </c>
      <c r="X124" s="126">
        <v>2</v>
      </c>
      <c r="Y124" s="126">
        <v>3</v>
      </c>
      <c r="Z124" s="126">
        <v>1</v>
      </c>
      <c r="AA124" s="126">
        <v>2</v>
      </c>
      <c r="AB124" s="126">
        <v>3</v>
      </c>
      <c r="AC124" s="126">
        <v>1</v>
      </c>
      <c r="AD124" s="126">
        <v>1</v>
      </c>
      <c r="AE124" s="126">
        <v>2</v>
      </c>
      <c r="AF124" s="126">
        <v>1</v>
      </c>
      <c r="AG124" s="126">
        <v>3</v>
      </c>
      <c r="AH124" s="126">
        <v>1</v>
      </c>
      <c r="AI124" s="126">
        <v>1</v>
      </c>
      <c r="AJ124" s="126">
        <v>1</v>
      </c>
      <c r="AK124" s="126">
        <v>3</v>
      </c>
      <c r="AL124" s="126">
        <v>1</v>
      </c>
      <c r="AM124" s="126">
        <v>1</v>
      </c>
      <c r="AN124" s="126">
        <v>1</v>
      </c>
      <c r="AO124" s="126">
        <v>1</v>
      </c>
      <c r="AP124" s="126">
        <v>75</v>
      </c>
      <c r="AQ124" s="26">
        <f t="shared" si="14"/>
        <v>34</v>
      </c>
    </row>
    <row r="125" spans="1:43" x14ac:dyDescent="0.2">
      <c r="A125" s="136" t="s">
        <v>435</v>
      </c>
      <c r="B125" s="28">
        <v>3</v>
      </c>
      <c r="C125" s="28">
        <v>1</v>
      </c>
      <c r="D125" s="28">
        <v>1</v>
      </c>
      <c r="E125" s="28">
        <v>2</v>
      </c>
      <c r="F125" s="28">
        <v>3</v>
      </c>
      <c r="G125" s="28">
        <v>1</v>
      </c>
      <c r="H125" s="28">
        <v>2</v>
      </c>
      <c r="I125" s="28">
        <v>3</v>
      </c>
      <c r="J125" s="28">
        <v>1</v>
      </c>
      <c r="K125" s="28">
        <v>1</v>
      </c>
      <c r="L125" s="28">
        <v>2</v>
      </c>
      <c r="M125" s="28">
        <v>2</v>
      </c>
      <c r="N125" s="28">
        <v>2</v>
      </c>
      <c r="O125" s="28">
        <v>3</v>
      </c>
      <c r="P125" s="28">
        <v>3</v>
      </c>
      <c r="Q125" s="28">
        <v>3</v>
      </c>
      <c r="R125" s="28">
        <v>2</v>
      </c>
      <c r="S125" s="28">
        <v>2</v>
      </c>
      <c r="T125" s="28">
        <v>1</v>
      </c>
      <c r="U125" s="28">
        <v>3</v>
      </c>
      <c r="V125" s="28">
        <v>3</v>
      </c>
      <c r="W125" s="28">
        <v>2</v>
      </c>
      <c r="X125" s="28">
        <v>3</v>
      </c>
      <c r="Y125" s="28">
        <v>3</v>
      </c>
      <c r="Z125" s="28">
        <v>1</v>
      </c>
      <c r="AA125" s="28">
        <v>2</v>
      </c>
      <c r="AB125" s="28">
        <v>3</v>
      </c>
      <c r="AC125" s="28">
        <v>1</v>
      </c>
      <c r="AD125" s="28">
        <v>1</v>
      </c>
      <c r="AE125" s="28">
        <v>2</v>
      </c>
      <c r="AF125" s="28">
        <v>1</v>
      </c>
      <c r="AG125" s="28">
        <v>3</v>
      </c>
      <c r="AH125" s="28">
        <v>1</v>
      </c>
      <c r="AI125" s="28">
        <v>1</v>
      </c>
      <c r="AJ125" s="28">
        <v>1</v>
      </c>
      <c r="AK125" s="28">
        <v>3</v>
      </c>
      <c r="AL125" s="28">
        <v>1</v>
      </c>
      <c r="AM125" s="28">
        <v>1</v>
      </c>
      <c r="AN125" s="28">
        <v>1</v>
      </c>
      <c r="AO125" s="28">
        <v>1</v>
      </c>
      <c r="AP125" s="28">
        <v>76</v>
      </c>
      <c r="AQ125" s="26">
        <f t="shared" si="14"/>
        <v>35</v>
      </c>
    </row>
    <row r="126" spans="1:43" x14ac:dyDescent="0.2">
      <c r="A126" s="136" t="s">
        <v>436</v>
      </c>
      <c r="B126" s="28">
        <v>3</v>
      </c>
      <c r="C126" s="28">
        <v>2</v>
      </c>
      <c r="D126" s="28">
        <v>1</v>
      </c>
      <c r="E126" s="28">
        <v>2</v>
      </c>
      <c r="F126" s="28">
        <v>3</v>
      </c>
      <c r="G126" s="28">
        <v>1</v>
      </c>
      <c r="H126" s="28">
        <v>2</v>
      </c>
      <c r="I126" s="28">
        <v>3</v>
      </c>
      <c r="J126" s="28">
        <v>2</v>
      </c>
      <c r="K126" s="28">
        <v>1</v>
      </c>
      <c r="L126" s="28">
        <v>3</v>
      </c>
      <c r="M126" s="28">
        <v>1</v>
      </c>
      <c r="N126" s="28">
        <v>1</v>
      </c>
      <c r="O126" s="28">
        <v>2</v>
      </c>
      <c r="P126" s="28">
        <v>3</v>
      </c>
      <c r="Q126" s="28">
        <v>3</v>
      </c>
      <c r="R126" s="28">
        <v>2</v>
      </c>
      <c r="S126" s="28">
        <v>2</v>
      </c>
      <c r="T126" s="28">
        <v>2</v>
      </c>
      <c r="U126" s="28">
        <v>3</v>
      </c>
      <c r="V126" s="28">
        <v>3</v>
      </c>
      <c r="W126" s="28">
        <v>1</v>
      </c>
      <c r="X126" s="28">
        <v>3</v>
      </c>
      <c r="Y126" s="28">
        <v>2</v>
      </c>
      <c r="Z126" s="28">
        <v>1</v>
      </c>
      <c r="AA126" s="28">
        <v>2</v>
      </c>
      <c r="AB126" s="28">
        <v>3</v>
      </c>
      <c r="AC126" s="28">
        <v>2</v>
      </c>
      <c r="AD126" s="28">
        <v>1</v>
      </c>
      <c r="AE126" s="28">
        <v>3</v>
      </c>
      <c r="AF126" s="28">
        <v>1</v>
      </c>
      <c r="AG126" s="28">
        <v>2</v>
      </c>
      <c r="AH126" s="28">
        <v>2</v>
      </c>
      <c r="AI126" s="28">
        <v>2</v>
      </c>
      <c r="AJ126" s="28">
        <v>1</v>
      </c>
      <c r="AK126" s="28">
        <v>3</v>
      </c>
      <c r="AL126" s="28">
        <v>1</v>
      </c>
      <c r="AM126" s="28">
        <v>2</v>
      </c>
      <c r="AN126" s="28">
        <v>2</v>
      </c>
      <c r="AO126" s="28">
        <v>2</v>
      </c>
      <c r="AP126" s="28">
        <v>81</v>
      </c>
      <c r="AQ126" s="26">
        <f t="shared" si="14"/>
        <v>39</v>
      </c>
    </row>
    <row r="127" spans="1:43" x14ac:dyDescent="0.2">
      <c r="A127" s="136" t="s">
        <v>437</v>
      </c>
      <c r="B127" s="28">
        <v>2</v>
      </c>
      <c r="C127" s="28">
        <v>1</v>
      </c>
      <c r="D127" s="28">
        <v>2</v>
      </c>
      <c r="E127" s="28">
        <v>2</v>
      </c>
      <c r="F127" s="28">
        <v>3</v>
      </c>
      <c r="G127" s="28">
        <v>1</v>
      </c>
      <c r="H127" s="28">
        <v>2</v>
      </c>
      <c r="I127" s="28">
        <v>3</v>
      </c>
      <c r="J127" s="28">
        <v>2</v>
      </c>
      <c r="K127" s="28">
        <v>1</v>
      </c>
      <c r="L127" s="28">
        <v>3</v>
      </c>
      <c r="M127" s="28">
        <v>2</v>
      </c>
      <c r="N127" s="28">
        <v>2</v>
      </c>
      <c r="O127" s="28">
        <v>2</v>
      </c>
      <c r="P127" s="28">
        <v>2</v>
      </c>
      <c r="Q127" s="28">
        <v>3</v>
      </c>
      <c r="R127" s="28">
        <v>2</v>
      </c>
      <c r="S127" s="28">
        <v>2</v>
      </c>
      <c r="T127" s="28">
        <v>1</v>
      </c>
      <c r="U127" s="28">
        <v>3</v>
      </c>
      <c r="V127" s="28">
        <v>3</v>
      </c>
      <c r="W127" s="28">
        <v>2</v>
      </c>
      <c r="X127" s="28">
        <v>3</v>
      </c>
      <c r="Y127" s="28">
        <v>2</v>
      </c>
      <c r="Z127" s="28">
        <v>1</v>
      </c>
      <c r="AA127" s="28">
        <v>2</v>
      </c>
      <c r="AB127" s="28">
        <v>2</v>
      </c>
      <c r="AC127" s="28">
        <v>2</v>
      </c>
      <c r="AD127" s="28">
        <v>1</v>
      </c>
      <c r="AE127" s="28">
        <v>3</v>
      </c>
      <c r="AF127" s="28">
        <v>1</v>
      </c>
      <c r="AG127" s="28">
        <v>2</v>
      </c>
      <c r="AH127" s="28">
        <v>1</v>
      </c>
      <c r="AI127" s="28">
        <v>2</v>
      </c>
      <c r="AJ127" s="28">
        <v>1</v>
      </c>
      <c r="AK127" s="28">
        <v>3</v>
      </c>
      <c r="AL127" s="28">
        <v>1</v>
      </c>
      <c r="AM127" s="28">
        <v>2</v>
      </c>
      <c r="AN127" s="28">
        <v>1</v>
      </c>
      <c r="AO127" s="28">
        <v>2</v>
      </c>
      <c r="AP127" s="28">
        <v>78</v>
      </c>
      <c r="AQ127" s="26">
        <f t="shared" si="14"/>
        <v>37</v>
      </c>
    </row>
    <row r="128" spans="1:43" x14ac:dyDescent="0.2">
      <c r="A128" s="136" t="s">
        <v>438</v>
      </c>
      <c r="B128" s="130">
        <v>3</v>
      </c>
      <c r="C128" s="131">
        <v>1</v>
      </c>
      <c r="D128" s="131">
        <v>1</v>
      </c>
      <c r="E128" s="131">
        <v>1</v>
      </c>
      <c r="F128" s="131">
        <v>3</v>
      </c>
      <c r="G128" s="131">
        <v>1</v>
      </c>
      <c r="H128" s="131">
        <v>2</v>
      </c>
      <c r="I128" s="131">
        <v>2</v>
      </c>
      <c r="J128" s="131">
        <v>1</v>
      </c>
      <c r="K128" s="131">
        <v>1</v>
      </c>
      <c r="L128" s="131">
        <v>2</v>
      </c>
      <c r="M128" s="131">
        <v>2</v>
      </c>
      <c r="N128" s="131">
        <v>2</v>
      </c>
      <c r="O128" s="131">
        <v>3</v>
      </c>
      <c r="P128" s="131">
        <v>3</v>
      </c>
      <c r="Q128" s="131">
        <v>2</v>
      </c>
      <c r="R128" s="131">
        <v>2</v>
      </c>
      <c r="S128" s="131">
        <v>1</v>
      </c>
      <c r="T128" s="131">
        <v>1</v>
      </c>
      <c r="U128" s="131">
        <v>2</v>
      </c>
      <c r="V128" s="131">
        <v>2</v>
      </c>
      <c r="W128" s="131">
        <v>2</v>
      </c>
      <c r="X128" s="131">
        <v>2</v>
      </c>
      <c r="Y128" s="131">
        <v>3</v>
      </c>
      <c r="Z128" s="131">
        <v>1</v>
      </c>
      <c r="AA128" s="131">
        <v>2</v>
      </c>
      <c r="AB128" s="131">
        <v>3</v>
      </c>
      <c r="AC128" s="131">
        <v>1</v>
      </c>
      <c r="AD128" s="131">
        <v>1</v>
      </c>
      <c r="AE128" s="131">
        <v>2</v>
      </c>
      <c r="AF128" s="131">
        <v>1</v>
      </c>
      <c r="AG128" s="131">
        <v>3</v>
      </c>
      <c r="AH128" s="131">
        <v>1</v>
      </c>
      <c r="AI128" s="131">
        <v>1</v>
      </c>
      <c r="AJ128" s="131">
        <v>1</v>
      </c>
      <c r="AK128" s="131">
        <v>3</v>
      </c>
      <c r="AL128" s="131">
        <v>1</v>
      </c>
      <c r="AM128" s="131">
        <v>1</v>
      </c>
      <c r="AN128" s="131">
        <v>1</v>
      </c>
      <c r="AO128" s="131">
        <v>1</v>
      </c>
      <c r="AP128" s="131">
        <v>69</v>
      </c>
      <c r="AQ128" s="26">
        <f t="shared" si="14"/>
        <v>33</v>
      </c>
    </row>
    <row r="129" spans="1:43" ht="16" x14ac:dyDescent="0.2">
      <c r="A129" s="157" t="s">
        <v>439</v>
      </c>
      <c r="B129" s="125">
        <v>4</v>
      </c>
      <c r="C129" s="126">
        <v>4</v>
      </c>
      <c r="D129" s="126">
        <v>1</v>
      </c>
      <c r="E129" s="126">
        <v>1</v>
      </c>
      <c r="F129" s="126">
        <v>4</v>
      </c>
      <c r="G129" s="126">
        <v>1</v>
      </c>
      <c r="H129" s="126">
        <v>1</v>
      </c>
      <c r="I129" s="126">
        <v>4</v>
      </c>
      <c r="J129" s="126">
        <v>1</v>
      </c>
      <c r="K129" s="126">
        <v>1</v>
      </c>
      <c r="L129" s="126">
        <v>3</v>
      </c>
      <c r="M129" s="126">
        <v>1</v>
      </c>
      <c r="N129" s="126">
        <v>1</v>
      </c>
      <c r="O129" s="126">
        <v>2</v>
      </c>
      <c r="P129" s="126">
        <v>3</v>
      </c>
      <c r="Q129" s="126">
        <v>4</v>
      </c>
      <c r="R129" s="126">
        <v>1</v>
      </c>
      <c r="S129" s="126">
        <v>1</v>
      </c>
      <c r="T129" s="126">
        <v>3</v>
      </c>
      <c r="U129" s="126">
        <v>3</v>
      </c>
      <c r="V129" s="126">
        <v>3</v>
      </c>
      <c r="W129" s="126">
        <v>2</v>
      </c>
      <c r="X129" s="126">
        <v>3</v>
      </c>
      <c r="Y129" s="126">
        <v>1</v>
      </c>
      <c r="Z129" s="126">
        <v>1</v>
      </c>
      <c r="AA129" s="126">
        <v>3</v>
      </c>
      <c r="AB129" s="126">
        <v>4</v>
      </c>
      <c r="AC129" s="126">
        <v>1</v>
      </c>
      <c r="AD129" s="126">
        <v>2</v>
      </c>
      <c r="AE129" s="126">
        <v>4</v>
      </c>
      <c r="AF129" s="126">
        <v>1</v>
      </c>
      <c r="AG129" s="126">
        <v>1</v>
      </c>
      <c r="AH129" s="126">
        <v>3</v>
      </c>
      <c r="AI129" s="126">
        <v>3</v>
      </c>
      <c r="AJ129" s="126">
        <v>1</v>
      </c>
      <c r="AK129" s="126">
        <v>3</v>
      </c>
      <c r="AL129" s="126">
        <v>2</v>
      </c>
      <c r="AM129" s="126">
        <v>1</v>
      </c>
      <c r="AN129" s="126">
        <v>3</v>
      </c>
      <c r="AO129" s="126">
        <v>2</v>
      </c>
      <c r="AP129" s="203">
        <v>88</v>
      </c>
      <c r="AQ129" s="26">
        <f t="shared" si="14"/>
        <v>44</v>
      </c>
    </row>
    <row r="130" spans="1:43" ht="16" x14ac:dyDescent="0.2">
      <c r="A130" s="132" t="s">
        <v>440</v>
      </c>
      <c r="B130" s="128">
        <v>3</v>
      </c>
      <c r="C130" s="129">
        <v>3</v>
      </c>
      <c r="D130" s="129">
        <v>1</v>
      </c>
      <c r="E130" s="129">
        <v>1</v>
      </c>
      <c r="F130" s="129">
        <v>3</v>
      </c>
      <c r="G130" s="129">
        <v>1</v>
      </c>
      <c r="H130" s="129">
        <v>1</v>
      </c>
      <c r="I130" s="129">
        <v>3</v>
      </c>
      <c r="J130" s="129">
        <v>1</v>
      </c>
      <c r="K130" s="129">
        <v>1</v>
      </c>
      <c r="L130" s="129">
        <v>3</v>
      </c>
      <c r="M130" s="129">
        <v>1</v>
      </c>
      <c r="N130" s="129">
        <v>1</v>
      </c>
      <c r="O130" s="129">
        <v>1</v>
      </c>
      <c r="P130" s="129">
        <v>3</v>
      </c>
      <c r="Q130" s="129">
        <v>3</v>
      </c>
      <c r="R130" s="129">
        <v>2</v>
      </c>
      <c r="S130" s="129">
        <v>1</v>
      </c>
      <c r="T130" s="129">
        <v>3</v>
      </c>
      <c r="U130" s="129">
        <v>3</v>
      </c>
      <c r="V130" s="129">
        <v>3</v>
      </c>
      <c r="W130" s="129">
        <v>2</v>
      </c>
      <c r="X130" s="129">
        <v>3</v>
      </c>
      <c r="Y130" s="129">
        <v>1</v>
      </c>
      <c r="Z130" s="129">
        <v>1</v>
      </c>
      <c r="AA130" s="129">
        <v>3</v>
      </c>
      <c r="AB130" s="129">
        <v>2</v>
      </c>
      <c r="AC130" s="129">
        <v>2</v>
      </c>
      <c r="AD130" s="129">
        <v>2</v>
      </c>
      <c r="AE130" s="129">
        <v>3</v>
      </c>
      <c r="AF130" s="129">
        <v>1</v>
      </c>
      <c r="AG130" s="129">
        <v>2</v>
      </c>
      <c r="AH130" s="129">
        <v>3</v>
      </c>
      <c r="AI130" s="129">
        <v>2</v>
      </c>
      <c r="AJ130" s="129">
        <v>1</v>
      </c>
      <c r="AK130" s="129">
        <v>3</v>
      </c>
      <c r="AL130" s="129">
        <v>1</v>
      </c>
      <c r="AM130" s="129">
        <v>2</v>
      </c>
      <c r="AN130" s="129">
        <v>3</v>
      </c>
      <c r="AO130" s="129">
        <v>3</v>
      </c>
      <c r="AP130" s="274">
        <v>82</v>
      </c>
      <c r="AQ130" s="26">
        <f t="shared" si="14"/>
        <v>43</v>
      </c>
    </row>
    <row r="131" spans="1:43" x14ac:dyDescent="0.2">
      <c r="A131" s="136" t="s">
        <v>441</v>
      </c>
      <c r="B131" s="128">
        <v>4</v>
      </c>
      <c r="C131" s="129">
        <v>4</v>
      </c>
      <c r="D131" s="129">
        <v>1</v>
      </c>
      <c r="E131" s="129">
        <v>1</v>
      </c>
      <c r="F131" s="129">
        <v>4</v>
      </c>
      <c r="G131" s="129">
        <v>1</v>
      </c>
      <c r="H131" s="129">
        <v>1</v>
      </c>
      <c r="I131" s="129">
        <v>4</v>
      </c>
      <c r="J131" s="129">
        <v>1</v>
      </c>
      <c r="K131" s="129">
        <v>1</v>
      </c>
      <c r="L131" s="129">
        <v>4</v>
      </c>
      <c r="M131" s="129">
        <v>1</v>
      </c>
      <c r="N131" s="129">
        <v>1</v>
      </c>
      <c r="O131" s="129">
        <v>1</v>
      </c>
      <c r="P131" s="129">
        <v>4</v>
      </c>
      <c r="Q131" s="129">
        <v>4</v>
      </c>
      <c r="R131" s="129">
        <v>1</v>
      </c>
      <c r="S131" s="129">
        <v>1</v>
      </c>
      <c r="T131" s="129">
        <v>3</v>
      </c>
      <c r="U131" s="129">
        <v>4</v>
      </c>
      <c r="V131" s="129">
        <v>3</v>
      </c>
      <c r="W131" s="129">
        <v>1</v>
      </c>
      <c r="X131" s="129">
        <v>3</v>
      </c>
      <c r="Y131" s="129">
        <v>1</v>
      </c>
      <c r="Z131" s="129">
        <v>1</v>
      </c>
      <c r="AA131" s="129">
        <v>3</v>
      </c>
      <c r="AB131" s="129">
        <v>3</v>
      </c>
      <c r="AC131" s="129">
        <v>1</v>
      </c>
      <c r="AD131" s="129">
        <v>2</v>
      </c>
      <c r="AE131" s="129">
        <v>3</v>
      </c>
      <c r="AF131" s="129">
        <v>1</v>
      </c>
      <c r="AG131" s="129">
        <v>2</v>
      </c>
      <c r="AH131" s="129">
        <v>3</v>
      </c>
      <c r="AI131" s="129">
        <v>2</v>
      </c>
      <c r="AJ131" s="129">
        <v>1</v>
      </c>
      <c r="AK131" s="129">
        <v>3</v>
      </c>
      <c r="AL131" s="129">
        <v>1</v>
      </c>
      <c r="AM131" s="129">
        <v>2</v>
      </c>
      <c r="AN131" s="129">
        <v>3</v>
      </c>
      <c r="AO131" s="129">
        <v>2</v>
      </c>
      <c r="AP131" s="274">
        <v>87</v>
      </c>
      <c r="AQ131" s="26">
        <f t="shared" si="14"/>
        <v>41</v>
      </c>
    </row>
    <row r="132" spans="1:43" x14ac:dyDescent="0.2">
      <c r="A132" s="136" t="s">
        <v>442</v>
      </c>
      <c r="B132" s="128">
        <v>2</v>
      </c>
      <c r="C132" s="129">
        <v>2</v>
      </c>
      <c r="D132" s="129">
        <v>2</v>
      </c>
      <c r="E132" s="129">
        <v>1</v>
      </c>
      <c r="F132" s="129">
        <v>3</v>
      </c>
      <c r="G132" s="129">
        <v>1</v>
      </c>
      <c r="H132" s="129">
        <v>3</v>
      </c>
      <c r="I132" s="129">
        <v>4</v>
      </c>
      <c r="J132" s="129">
        <v>3</v>
      </c>
      <c r="K132" s="129">
        <v>1</v>
      </c>
      <c r="L132" s="129">
        <v>2</v>
      </c>
      <c r="M132" s="129">
        <v>3</v>
      </c>
      <c r="N132" s="129">
        <v>2</v>
      </c>
      <c r="O132" s="129">
        <v>2</v>
      </c>
      <c r="P132" s="129">
        <v>2</v>
      </c>
      <c r="Q132" s="129">
        <v>4</v>
      </c>
      <c r="R132" s="129">
        <v>3</v>
      </c>
      <c r="S132" s="129">
        <v>1</v>
      </c>
      <c r="T132" s="129">
        <v>3</v>
      </c>
      <c r="U132" s="129">
        <v>3</v>
      </c>
      <c r="V132" s="129">
        <v>3</v>
      </c>
      <c r="W132" s="129">
        <v>3</v>
      </c>
      <c r="X132" s="129">
        <v>3</v>
      </c>
      <c r="Y132" s="129">
        <v>2</v>
      </c>
      <c r="Z132" s="129">
        <v>1</v>
      </c>
      <c r="AA132" s="129">
        <v>2</v>
      </c>
      <c r="AB132" s="129">
        <v>2</v>
      </c>
      <c r="AC132" s="129">
        <v>1</v>
      </c>
      <c r="AD132" s="129">
        <v>3</v>
      </c>
      <c r="AE132" s="129">
        <v>2</v>
      </c>
      <c r="AF132" s="129">
        <v>1</v>
      </c>
      <c r="AG132" s="129">
        <v>2</v>
      </c>
      <c r="AH132" s="129">
        <v>2</v>
      </c>
      <c r="AI132" s="129">
        <v>2</v>
      </c>
      <c r="AJ132" s="129">
        <v>1</v>
      </c>
      <c r="AK132" s="129">
        <v>3</v>
      </c>
      <c r="AL132" s="129">
        <v>1</v>
      </c>
      <c r="AM132" s="129">
        <v>2</v>
      </c>
      <c r="AN132" s="129">
        <v>3</v>
      </c>
      <c r="AO132" s="129">
        <v>3</v>
      </c>
      <c r="AP132" s="274">
        <v>89</v>
      </c>
      <c r="AQ132" s="26">
        <f t="shared" si="14"/>
        <v>42</v>
      </c>
    </row>
    <row r="133" spans="1:43" x14ac:dyDescent="0.2">
      <c r="A133" s="136" t="s">
        <v>443</v>
      </c>
      <c r="B133" s="128">
        <v>3</v>
      </c>
      <c r="C133" s="129">
        <v>3</v>
      </c>
      <c r="D133" s="129">
        <v>1</v>
      </c>
      <c r="E133" s="129">
        <v>1</v>
      </c>
      <c r="F133" s="129">
        <v>3</v>
      </c>
      <c r="G133" s="129">
        <v>1</v>
      </c>
      <c r="H133" s="129">
        <v>2</v>
      </c>
      <c r="I133" s="129">
        <v>3</v>
      </c>
      <c r="J133" s="129">
        <v>1</v>
      </c>
      <c r="K133" s="129">
        <v>1</v>
      </c>
      <c r="L133" s="129">
        <v>4</v>
      </c>
      <c r="M133" s="129">
        <v>2</v>
      </c>
      <c r="N133" s="129">
        <v>1</v>
      </c>
      <c r="O133" s="129">
        <v>2</v>
      </c>
      <c r="P133" s="129">
        <v>3</v>
      </c>
      <c r="Q133" s="129">
        <v>3</v>
      </c>
      <c r="R133" s="129">
        <v>1</v>
      </c>
      <c r="S133" s="129">
        <v>1</v>
      </c>
      <c r="T133" s="129">
        <v>3</v>
      </c>
      <c r="U133" s="129">
        <v>3</v>
      </c>
      <c r="V133" s="129">
        <v>3</v>
      </c>
      <c r="W133" s="129">
        <v>2</v>
      </c>
      <c r="X133" s="129">
        <v>3</v>
      </c>
      <c r="Y133" s="129">
        <v>1</v>
      </c>
      <c r="Z133" s="129">
        <v>1</v>
      </c>
      <c r="AA133" s="129">
        <v>2</v>
      </c>
      <c r="AB133" s="129">
        <v>3</v>
      </c>
      <c r="AC133" s="129">
        <v>1</v>
      </c>
      <c r="AD133" s="129">
        <v>1</v>
      </c>
      <c r="AE133" s="129">
        <v>3</v>
      </c>
      <c r="AF133" s="129">
        <v>1</v>
      </c>
      <c r="AG133" s="129">
        <v>1</v>
      </c>
      <c r="AH133" s="129">
        <v>3</v>
      </c>
      <c r="AI133" s="129">
        <v>2</v>
      </c>
      <c r="AJ133" s="129">
        <v>1</v>
      </c>
      <c r="AK133" s="129">
        <v>3</v>
      </c>
      <c r="AL133" s="129">
        <v>1</v>
      </c>
      <c r="AM133" s="129">
        <v>1</v>
      </c>
      <c r="AN133" s="129">
        <v>3</v>
      </c>
      <c r="AO133" s="129">
        <v>2</v>
      </c>
      <c r="AP133" s="274">
        <v>80</v>
      </c>
      <c r="AQ133" s="26">
        <f t="shared" si="14"/>
        <v>38</v>
      </c>
    </row>
    <row r="134" spans="1:43" x14ac:dyDescent="0.2">
      <c r="A134" s="136" t="s">
        <v>444</v>
      </c>
      <c r="B134" s="128">
        <v>4</v>
      </c>
      <c r="C134" s="202">
        <v>4</v>
      </c>
      <c r="D134" s="129">
        <v>1</v>
      </c>
      <c r="E134" s="129">
        <v>1</v>
      </c>
      <c r="F134" s="129">
        <v>4</v>
      </c>
      <c r="G134" s="129">
        <v>1</v>
      </c>
      <c r="H134" s="129">
        <v>1</v>
      </c>
      <c r="I134" s="129">
        <v>3</v>
      </c>
      <c r="J134" s="129">
        <v>1</v>
      </c>
      <c r="K134" s="129">
        <v>1</v>
      </c>
      <c r="L134" s="129">
        <v>3</v>
      </c>
      <c r="M134" s="129">
        <v>1</v>
      </c>
      <c r="N134" s="129">
        <v>1</v>
      </c>
      <c r="O134" s="129">
        <v>1</v>
      </c>
      <c r="P134" s="129">
        <v>4</v>
      </c>
      <c r="Q134" s="129">
        <v>3</v>
      </c>
      <c r="R134" s="129">
        <v>2</v>
      </c>
      <c r="S134" s="129">
        <v>1</v>
      </c>
      <c r="T134" s="129">
        <v>3</v>
      </c>
      <c r="U134" s="129">
        <v>3</v>
      </c>
      <c r="V134" s="129">
        <v>3</v>
      </c>
      <c r="W134" s="129">
        <v>1</v>
      </c>
      <c r="X134" s="129">
        <v>3</v>
      </c>
      <c r="Y134" s="129">
        <v>1</v>
      </c>
      <c r="Z134" s="129">
        <v>1</v>
      </c>
      <c r="AA134" s="129">
        <v>3</v>
      </c>
      <c r="AB134" s="129">
        <v>3</v>
      </c>
      <c r="AC134" s="129">
        <v>1</v>
      </c>
      <c r="AD134" s="129">
        <v>1</v>
      </c>
      <c r="AE134" s="129">
        <v>3</v>
      </c>
      <c r="AF134" s="129">
        <v>1</v>
      </c>
      <c r="AG134" s="129">
        <v>1</v>
      </c>
      <c r="AH134" s="129">
        <v>3</v>
      </c>
      <c r="AI134" s="129">
        <v>3</v>
      </c>
      <c r="AJ134" s="129">
        <v>1</v>
      </c>
      <c r="AK134" s="129">
        <v>3</v>
      </c>
      <c r="AL134" s="129">
        <v>1</v>
      </c>
      <c r="AM134" s="129">
        <v>1</v>
      </c>
      <c r="AN134" s="129">
        <v>3</v>
      </c>
      <c r="AO134" s="129">
        <v>2</v>
      </c>
      <c r="AP134" s="274">
        <v>82</v>
      </c>
      <c r="AQ134" s="26">
        <f t="shared" si="14"/>
        <v>39</v>
      </c>
    </row>
    <row r="135" spans="1:43" x14ac:dyDescent="0.2">
      <c r="A135" s="136" t="s">
        <v>445</v>
      </c>
      <c r="B135" s="128">
        <v>2</v>
      </c>
      <c r="C135" s="129">
        <v>3</v>
      </c>
      <c r="D135" s="129">
        <v>2</v>
      </c>
      <c r="E135" s="129">
        <v>1</v>
      </c>
      <c r="F135" s="129">
        <v>3</v>
      </c>
      <c r="G135" s="129">
        <v>1</v>
      </c>
      <c r="H135" s="129">
        <v>1</v>
      </c>
      <c r="I135" s="129">
        <v>3</v>
      </c>
      <c r="J135" s="129">
        <v>1</v>
      </c>
      <c r="K135" s="129">
        <v>1</v>
      </c>
      <c r="L135" s="129">
        <v>3</v>
      </c>
      <c r="M135" s="129">
        <v>3</v>
      </c>
      <c r="N135" s="129">
        <v>2</v>
      </c>
      <c r="O135" s="129">
        <v>2</v>
      </c>
      <c r="P135" s="129">
        <v>3</v>
      </c>
      <c r="Q135" s="129">
        <v>3</v>
      </c>
      <c r="R135" s="129">
        <v>2</v>
      </c>
      <c r="S135" s="129">
        <v>1</v>
      </c>
      <c r="T135" s="129">
        <v>4</v>
      </c>
      <c r="U135" s="129">
        <v>3</v>
      </c>
      <c r="V135" s="129">
        <v>3</v>
      </c>
      <c r="W135" s="129">
        <v>2</v>
      </c>
      <c r="X135" s="129">
        <v>3</v>
      </c>
      <c r="Y135" s="129">
        <v>1</v>
      </c>
      <c r="Z135" s="129">
        <v>1</v>
      </c>
      <c r="AA135" s="129">
        <v>2</v>
      </c>
      <c r="AB135" s="129">
        <v>2</v>
      </c>
      <c r="AC135" s="129">
        <v>1</v>
      </c>
      <c r="AD135" s="129">
        <v>1</v>
      </c>
      <c r="AE135" s="129">
        <v>3</v>
      </c>
      <c r="AF135" s="129">
        <v>1</v>
      </c>
      <c r="AG135" s="129">
        <v>1</v>
      </c>
      <c r="AH135" s="129">
        <v>3</v>
      </c>
      <c r="AI135" s="129">
        <v>3</v>
      </c>
      <c r="AJ135" s="129">
        <v>1</v>
      </c>
      <c r="AK135" s="129">
        <v>3</v>
      </c>
      <c r="AL135" s="129">
        <v>2</v>
      </c>
      <c r="AM135" s="129">
        <v>1</v>
      </c>
      <c r="AN135" s="129">
        <v>3</v>
      </c>
      <c r="AO135" s="129">
        <v>2</v>
      </c>
      <c r="AP135" s="274">
        <v>83</v>
      </c>
      <c r="AQ135" s="26">
        <f t="shared" si="14"/>
        <v>39</v>
      </c>
    </row>
    <row r="136" spans="1:43" ht="16" x14ac:dyDescent="0.2">
      <c r="A136" s="132" t="s">
        <v>446</v>
      </c>
      <c r="B136" s="128">
        <v>4</v>
      </c>
      <c r="C136" s="202">
        <v>3</v>
      </c>
      <c r="D136" s="129">
        <v>1</v>
      </c>
      <c r="E136" s="129">
        <v>1</v>
      </c>
      <c r="F136" s="129">
        <v>3</v>
      </c>
      <c r="G136" s="129">
        <v>1</v>
      </c>
      <c r="H136" s="129">
        <v>1</v>
      </c>
      <c r="I136" s="129">
        <v>3</v>
      </c>
      <c r="J136" s="129">
        <v>1</v>
      </c>
      <c r="K136" s="129">
        <v>1</v>
      </c>
      <c r="L136" s="129">
        <v>2</v>
      </c>
      <c r="M136" s="129">
        <v>2</v>
      </c>
      <c r="N136" s="129">
        <v>1</v>
      </c>
      <c r="O136" s="129">
        <v>2</v>
      </c>
      <c r="P136" s="129">
        <v>3</v>
      </c>
      <c r="Q136" s="129">
        <v>2</v>
      </c>
      <c r="R136" s="129">
        <v>2</v>
      </c>
      <c r="S136" s="129">
        <v>1</v>
      </c>
      <c r="T136" s="129">
        <v>2</v>
      </c>
      <c r="U136" s="129">
        <v>2</v>
      </c>
      <c r="V136" s="129">
        <v>3</v>
      </c>
      <c r="W136" s="129">
        <v>2</v>
      </c>
      <c r="X136" s="129">
        <v>4</v>
      </c>
      <c r="Y136" s="129">
        <v>1</v>
      </c>
      <c r="Z136" s="129">
        <v>1</v>
      </c>
      <c r="AA136" s="129">
        <v>2</v>
      </c>
      <c r="AB136" s="129">
        <v>2</v>
      </c>
      <c r="AC136" s="129">
        <v>1</v>
      </c>
      <c r="AD136" s="129">
        <v>2</v>
      </c>
      <c r="AE136" s="129">
        <v>3</v>
      </c>
      <c r="AF136" s="129">
        <v>1</v>
      </c>
      <c r="AG136" s="129">
        <v>2</v>
      </c>
      <c r="AH136" s="129">
        <v>3</v>
      </c>
      <c r="AI136" s="129">
        <v>2</v>
      </c>
      <c r="AJ136" s="129">
        <v>1</v>
      </c>
      <c r="AK136" s="129">
        <v>3</v>
      </c>
      <c r="AL136" s="129">
        <v>1</v>
      </c>
      <c r="AM136" s="129">
        <v>1</v>
      </c>
      <c r="AN136" s="129">
        <v>3</v>
      </c>
      <c r="AO136" s="129">
        <v>3</v>
      </c>
      <c r="AP136" s="274">
        <v>79</v>
      </c>
      <c r="AQ136" s="26">
        <f t="shared" si="14"/>
        <v>41</v>
      </c>
    </row>
    <row r="137" spans="1:43" x14ac:dyDescent="0.2">
      <c r="A137" s="127" t="s">
        <v>447</v>
      </c>
      <c r="B137" s="125">
        <v>4</v>
      </c>
      <c r="C137" s="205">
        <v>4</v>
      </c>
      <c r="D137" s="126">
        <v>1</v>
      </c>
      <c r="E137" s="126">
        <v>1</v>
      </c>
      <c r="F137" s="126">
        <v>4</v>
      </c>
      <c r="G137" s="126">
        <v>1</v>
      </c>
      <c r="H137" s="126">
        <v>1</v>
      </c>
      <c r="I137" s="126">
        <v>4</v>
      </c>
      <c r="J137" s="126">
        <v>1</v>
      </c>
      <c r="K137" s="126">
        <v>1</v>
      </c>
      <c r="L137" s="126">
        <v>3</v>
      </c>
      <c r="M137" s="126">
        <v>1</v>
      </c>
      <c r="N137" s="126">
        <v>1</v>
      </c>
      <c r="O137" s="126">
        <v>1</v>
      </c>
      <c r="P137" s="126">
        <v>4</v>
      </c>
      <c r="Q137" s="126">
        <v>4</v>
      </c>
      <c r="R137" s="126">
        <v>1</v>
      </c>
      <c r="S137" s="126">
        <v>1</v>
      </c>
      <c r="T137" s="126">
        <v>3</v>
      </c>
      <c r="U137" s="126">
        <v>4</v>
      </c>
      <c r="V137" s="126">
        <v>3</v>
      </c>
      <c r="W137" s="126">
        <v>2</v>
      </c>
      <c r="X137" s="126">
        <v>3</v>
      </c>
      <c r="Y137" s="126">
        <v>1</v>
      </c>
      <c r="Z137" s="126">
        <v>1</v>
      </c>
      <c r="AA137" s="126">
        <v>3</v>
      </c>
      <c r="AB137" s="126">
        <v>3</v>
      </c>
      <c r="AC137" s="126">
        <v>1</v>
      </c>
      <c r="AD137" s="126">
        <v>2</v>
      </c>
      <c r="AE137" s="126">
        <v>3</v>
      </c>
      <c r="AF137" s="126">
        <v>1</v>
      </c>
      <c r="AG137" s="126">
        <v>2</v>
      </c>
      <c r="AH137" s="126">
        <v>3</v>
      </c>
      <c r="AI137" s="126">
        <v>2</v>
      </c>
      <c r="AJ137" s="126">
        <v>1</v>
      </c>
      <c r="AK137" s="126">
        <v>3</v>
      </c>
      <c r="AL137" s="126">
        <v>1</v>
      </c>
      <c r="AM137" s="126">
        <v>2</v>
      </c>
      <c r="AN137" s="126">
        <v>3</v>
      </c>
      <c r="AO137" s="126">
        <v>2</v>
      </c>
      <c r="AP137" s="203">
        <v>87</v>
      </c>
      <c r="AQ137" s="26">
        <f t="shared" si="14"/>
        <v>42</v>
      </c>
    </row>
    <row r="138" spans="1:43" x14ac:dyDescent="0.2">
      <c r="A138" s="127" t="s">
        <v>448</v>
      </c>
      <c r="B138" s="125">
        <v>3</v>
      </c>
      <c r="C138" s="205">
        <v>3</v>
      </c>
      <c r="D138" s="126">
        <v>2</v>
      </c>
      <c r="E138" s="126">
        <v>1</v>
      </c>
      <c r="F138" s="126">
        <v>3</v>
      </c>
      <c r="G138" s="126">
        <v>1</v>
      </c>
      <c r="H138" s="126">
        <v>2</v>
      </c>
      <c r="I138" s="126">
        <v>2</v>
      </c>
      <c r="J138" s="126">
        <v>2</v>
      </c>
      <c r="K138" s="126">
        <v>1</v>
      </c>
      <c r="L138" s="126">
        <v>3</v>
      </c>
      <c r="M138" s="126">
        <v>1</v>
      </c>
      <c r="N138" s="126">
        <v>1</v>
      </c>
      <c r="O138" s="126">
        <v>2</v>
      </c>
      <c r="P138" s="126">
        <v>3</v>
      </c>
      <c r="Q138" s="126">
        <v>3</v>
      </c>
      <c r="R138" s="126">
        <v>2</v>
      </c>
      <c r="S138" s="126">
        <v>1</v>
      </c>
      <c r="T138" s="126">
        <v>3</v>
      </c>
      <c r="U138" s="126">
        <v>3</v>
      </c>
      <c r="V138" s="126">
        <v>3</v>
      </c>
      <c r="W138" s="126">
        <v>2</v>
      </c>
      <c r="X138" s="126">
        <v>4</v>
      </c>
      <c r="Y138" s="126">
        <v>1</v>
      </c>
      <c r="Z138" s="126">
        <v>1</v>
      </c>
      <c r="AA138" s="126">
        <v>3</v>
      </c>
      <c r="AB138" s="126">
        <v>3</v>
      </c>
      <c r="AC138" s="126">
        <v>2</v>
      </c>
      <c r="AD138" s="126">
        <v>2</v>
      </c>
      <c r="AE138" s="126">
        <v>3</v>
      </c>
      <c r="AF138" s="126">
        <v>1</v>
      </c>
      <c r="AG138" s="126">
        <v>2</v>
      </c>
      <c r="AH138" s="126">
        <v>3</v>
      </c>
      <c r="AI138" s="126">
        <v>2</v>
      </c>
      <c r="AJ138" s="126">
        <v>1</v>
      </c>
      <c r="AK138" s="126">
        <v>3</v>
      </c>
      <c r="AL138" s="126">
        <v>2</v>
      </c>
      <c r="AM138" s="126">
        <v>2</v>
      </c>
      <c r="AN138" s="126">
        <v>3</v>
      </c>
      <c r="AO138" s="126">
        <v>2</v>
      </c>
      <c r="AP138" s="203">
        <v>87</v>
      </c>
      <c r="AQ138" s="26">
        <f t="shared" si="14"/>
        <v>45</v>
      </c>
    </row>
    <row r="139" spans="1:43" x14ac:dyDescent="0.2">
      <c r="A139" s="127" t="s">
        <v>449</v>
      </c>
      <c r="B139" s="128">
        <v>2</v>
      </c>
      <c r="C139" s="129">
        <v>3</v>
      </c>
      <c r="D139" s="129">
        <v>1</v>
      </c>
      <c r="E139" s="129">
        <v>1</v>
      </c>
      <c r="F139" s="129">
        <v>4</v>
      </c>
      <c r="G139" s="129">
        <v>1</v>
      </c>
      <c r="H139" s="129">
        <v>2</v>
      </c>
      <c r="I139" s="129">
        <v>3</v>
      </c>
      <c r="J139" s="129">
        <v>1</v>
      </c>
      <c r="K139" s="129">
        <v>1</v>
      </c>
      <c r="L139" s="129">
        <v>3</v>
      </c>
      <c r="M139" s="129">
        <v>3</v>
      </c>
      <c r="N139" s="129">
        <v>1</v>
      </c>
      <c r="O139" s="129">
        <v>1</v>
      </c>
      <c r="P139" s="129">
        <v>3</v>
      </c>
      <c r="Q139" s="129">
        <v>3</v>
      </c>
      <c r="R139" s="129">
        <v>3</v>
      </c>
      <c r="S139" s="129">
        <v>1</v>
      </c>
      <c r="T139" s="129">
        <v>3</v>
      </c>
      <c r="U139" s="129">
        <v>3</v>
      </c>
      <c r="V139" s="129">
        <v>3</v>
      </c>
      <c r="W139" s="129">
        <v>3</v>
      </c>
      <c r="X139" s="129">
        <v>3</v>
      </c>
      <c r="Y139" s="129">
        <v>1</v>
      </c>
      <c r="Z139" s="129">
        <v>1</v>
      </c>
      <c r="AA139" s="129">
        <v>3</v>
      </c>
      <c r="AB139" s="129">
        <v>2</v>
      </c>
      <c r="AC139" s="129">
        <v>2</v>
      </c>
      <c r="AD139" s="129">
        <v>2</v>
      </c>
      <c r="AE139" s="129">
        <v>3</v>
      </c>
      <c r="AF139" s="129">
        <v>2</v>
      </c>
      <c r="AG139" s="129">
        <v>1</v>
      </c>
      <c r="AH139" s="129">
        <v>3</v>
      </c>
      <c r="AI139" s="129">
        <v>4</v>
      </c>
      <c r="AJ139" s="129">
        <v>1</v>
      </c>
      <c r="AK139" s="129">
        <v>4</v>
      </c>
      <c r="AL139" s="129">
        <v>2</v>
      </c>
      <c r="AM139" s="129">
        <v>2</v>
      </c>
      <c r="AN139" s="129">
        <v>3</v>
      </c>
      <c r="AO139" s="129">
        <v>3</v>
      </c>
      <c r="AP139" s="274">
        <v>91</v>
      </c>
      <c r="AQ139" s="26">
        <f t="shared" si="14"/>
        <v>48</v>
      </c>
    </row>
    <row r="140" spans="1:43" x14ac:dyDescent="0.2">
      <c r="A140" s="161" t="s">
        <v>450</v>
      </c>
      <c r="B140" s="125">
        <v>3</v>
      </c>
      <c r="C140" s="126">
        <v>3</v>
      </c>
      <c r="D140" s="126">
        <v>1</v>
      </c>
      <c r="E140" s="126">
        <v>1</v>
      </c>
      <c r="F140" s="126">
        <v>3</v>
      </c>
      <c r="G140" s="126">
        <v>1</v>
      </c>
      <c r="H140" s="126">
        <v>1</v>
      </c>
      <c r="I140" s="126">
        <v>2</v>
      </c>
      <c r="J140" s="126">
        <v>2</v>
      </c>
      <c r="K140" s="126">
        <v>1</v>
      </c>
      <c r="L140" s="126">
        <v>3</v>
      </c>
      <c r="M140" s="126">
        <v>2</v>
      </c>
      <c r="N140" s="126">
        <v>1</v>
      </c>
      <c r="O140" s="126">
        <v>1</v>
      </c>
      <c r="P140" s="126">
        <v>3</v>
      </c>
      <c r="Q140" s="126">
        <v>3</v>
      </c>
      <c r="R140" s="126">
        <v>1</v>
      </c>
      <c r="S140" s="126">
        <v>1</v>
      </c>
      <c r="T140" s="126">
        <v>3</v>
      </c>
      <c r="U140" s="126">
        <v>3</v>
      </c>
      <c r="V140" s="126">
        <v>3</v>
      </c>
      <c r="W140" s="126">
        <v>2</v>
      </c>
      <c r="X140" s="126">
        <v>3</v>
      </c>
      <c r="Y140" s="126">
        <v>1</v>
      </c>
      <c r="Z140" s="126">
        <v>1</v>
      </c>
      <c r="AA140" s="126">
        <v>3</v>
      </c>
      <c r="AB140" s="126">
        <v>3</v>
      </c>
      <c r="AC140" s="126">
        <v>1</v>
      </c>
      <c r="AD140" s="126">
        <v>1</v>
      </c>
      <c r="AE140" s="126">
        <v>3</v>
      </c>
      <c r="AF140" s="126">
        <v>1</v>
      </c>
      <c r="AG140" s="126">
        <v>1</v>
      </c>
      <c r="AH140" s="126">
        <v>3</v>
      </c>
      <c r="AI140" s="126">
        <v>4</v>
      </c>
      <c r="AJ140" s="126">
        <v>1</v>
      </c>
      <c r="AK140" s="126">
        <v>3</v>
      </c>
      <c r="AL140" s="126">
        <v>2</v>
      </c>
      <c r="AM140" s="126">
        <v>1</v>
      </c>
      <c r="AN140" s="126">
        <v>3</v>
      </c>
      <c r="AO140" s="126">
        <v>2</v>
      </c>
      <c r="AP140" s="203">
        <v>81</v>
      </c>
      <c r="AQ140" s="26">
        <f t="shared" si="14"/>
        <v>42</v>
      </c>
    </row>
    <row r="141" spans="1:43" x14ac:dyDescent="0.2">
      <c r="A141" s="161" t="s">
        <v>451</v>
      </c>
      <c r="B141" s="128">
        <v>2</v>
      </c>
      <c r="C141" s="129">
        <v>3</v>
      </c>
      <c r="D141" s="129">
        <v>1</v>
      </c>
      <c r="E141" s="129">
        <v>1</v>
      </c>
      <c r="F141" s="129">
        <v>3</v>
      </c>
      <c r="G141" s="129">
        <v>1</v>
      </c>
      <c r="H141" s="129">
        <v>2</v>
      </c>
      <c r="I141" s="129">
        <v>3</v>
      </c>
      <c r="J141" s="129">
        <v>1</v>
      </c>
      <c r="K141" s="129">
        <v>1</v>
      </c>
      <c r="L141" s="129">
        <v>2</v>
      </c>
      <c r="M141" s="129">
        <v>2</v>
      </c>
      <c r="N141" s="129">
        <v>1</v>
      </c>
      <c r="O141" s="129">
        <v>1</v>
      </c>
      <c r="P141" s="129">
        <v>3</v>
      </c>
      <c r="Q141" s="129">
        <v>3</v>
      </c>
      <c r="R141" s="129">
        <v>2</v>
      </c>
      <c r="S141" s="129">
        <v>1</v>
      </c>
      <c r="T141" s="129">
        <v>3</v>
      </c>
      <c r="U141" s="129">
        <v>3</v>
      </c>
      <c r="V141" s="129">
        <v>3</v>
      </c>
      <c r="W141" s="129">
        <v>3</v>
      </c>
      <c r="X141" s="129">
        <v>3</v>
      </c>
      <c r="Y141" s="129">
        <v>1</v>
      </c>
      <c r="Z141" s="129">
        <v>1</v>
      </c>
      <c r="AA141" s="129">
        <v>3</v>
      </c>
      <c r="AB141" s="129">
        <v>2</v>
      </c>
      <c r="AC141" s="129">
        <v>2</v>
      </c>
      <c r="AD141" s="129">
        <v>2</v>
      </c>
      <c r="AE141" s="129">
        <v>3</v>
      </c>
      <c r="AF141" s="129">
        <v>1</v>
      </c>
      <c r="AG141" s="129">
        <v>1</v>
      </c>
      <c r="AH141" s="129">
        <v>2</v>
      </c>
      <c r="AI141" s="129">
        <v>2</v>
      </c>
      <c r="AJ141" s="129">
        <v>1</v>
      </c>
      <c r="AK141" s="129">
        <v>3</v>
      </c>
      <c r="AL141" s="129">
        <v>2</v>
      </c>
      <c r="AM141" s="129">
        <v>1</v>
      </c>
      <c r="AN141" s="129">
        <v>3</v>
      </c>
      <c r="AO141" s="129">
        <v>2</v>
      </c>
      <c r="AP141" s="274">
        <v>80</v>
      </c>
      <c r="AQ141" s="26">
        <f t="shared" si="14"/>
        <v>41</v>
      </c>
    </row>
    <row r="142" spans="1:43" x14ac:dyDescent="0.2">
      <c r="A142" s="161" t="s">
        <v>452</v>
      </c>
      <c r="B142" s="125">
        <v>3</v>
      </c>
      <c r="C142" s="126">
        <v>3</v>
      </c>
      <c r="D142" s="126">
        <v>1</v>
      </c>
      <c r="E142" s="126">
        <v>1</v>
      </c>
      <c r="F142" s="126">
        <v>4</v>
      </c>
      <c r="G142" s="126">
        <v>1</v>
      </c>
      <c r="H142" s="126">
        <v>2</v>
      </c>
      <c r="I142" s="126">
        <v>3</v>
      </c>
      <c r="J142" s="126">
        <v>2</v>
      </c>
      <c r="K142" s="126">
        <v>1</v>
      </c>
      <c r="L142" s="126">
        <v>3</v>
      </c>
      <c r="M142" s="126">
        <v>1</v>
      </c>
      <c r="N142" s="126">
        <v>1</v>
      </c>
      <c r="O142" s="126">
        <v>1</v>
      </c>
      <c r="P142" s="126">
        <v>3</v>
      </c>
      <c r="Q142" s="126">
        <v>3</v>
      </c>
      <c r="R142" s="126">
        <v>2</v>
      </c>
      <c r="S142" s="126">
        <v>1</v>
      </c>
      <c r="T142" s="126">
        <v>3</v>
      </c>
      <c r="U142" s="126">
        <v>3</v>
      </c>
      <c r="V142" s="126">
        <v>3</v>
      </c>
      <c r="W142" s="126">
        <v>2</v>
      </c>
      <c r="X142" s="126">
        <v>3</v>
      </c>
      <c r="Y142" s="126">
        <v>1</v>
      </c>
      <c r="Z142" s="126">
        <v>1</v>
      </c>
      <c r="AA142" s="126">
        <v>2</v>
      </c>
      <c r="AB142" s="126">
        <v>2</v>
      </c>
      <c r="AC142" s="126">
        <v>1</v>
      </c>
      <c r="AD142" s="126">
        <v>2</v>
      </c>
      <c r="AE142" s="126">
        <v>3</v>
      </c>
      <c r="AF142" s="126">
        <v>1</v>
      </c>
      <c r="AG142" s="126">
        <v>2</v>
      </c>
      <c r="AH142" s="126">
        <v>3</v>
      </c>
      <c r="AI142" s="126">
        <v>2</v>
      </c>
      <c r="AJ142" s="126">
        <v>1</v>
      </c>
      <c r="AK142" s="126">
        <v>3</v>
      </c>
      <c r="AL142" s="126">
        <v>2</v>
      </c>
      <c r="AM142" s="126">
        <v>2</v>
      </c>
      <c r="AN142" s="126">
        <v>3</v>
      </c>
      <c r="AO142" s="126">
        <v>2</v>
      </c>
      <c r="AP142" s="203">
        <v>83</v>
      </c>
      <c r="AQ142" s="26">
        <f t="shared" si="14"/>
        <v>41</v>
      </c>
    </row>
    <row r="143" spans="1:43" x14ac:dyDescent="0.2">
      <c r="A143" s="161" t="s">
        <v>453</v>
      </c>
      <c r="B143" s="128">
        <v>2</v>
      </c>
      <c r="C143" s="129">
        <v>2</v>
      </c>
      <c r="D143" s="129">
        <v>3</v>
      </c>
      <c r="E143" s="129">
        <v>2</v>
      </c>
      <c r="F143" s="129">
        <v>2</v>
      </c>
      <c r="G143" s="129">
        <v>3</v>
      </c>
      <c r="H143" s="129">
        <v>3</v>
      </c>
      <c r="I143" s="129">
        <v>2</v>
      </c>
      <c r="J143" s="129">
        <v>2</v>
      </c>
      <c r="K143" s="129">
        <v>3</v>
      </c>
      <c r="L143" s="129">
        <v>2</v>
      </c>
      <c r="M143" s="129">
        <v>3</v>
      </c>
      <c r="N143" s="129">
        <v>2</v>
      </c>
      <c r="O143" s="129">
        <v>3</v>
      </c>
      <c r="P143" s="129">
        <v>2</v>
      </c>
      <c r="Q143" s="129">
        <v>2</v>
      </c>
      <c r="R143" s="129">
        <v>3</v>
      </c>
      <c r="S143" s="129">
        <v>2</v>
      </c>
      <c r="T143" s="129">
        <v>2</v>
      </c>
      <c r="U143" s="129">
        <v>2</v>
      </c>
      <c r="V143" s="129">
        <v>2</v>
      </c>
      <c r="W143" s="129">
        <v>3</v>
      </c>
      <c r="X143" s="129">
        <v>2</v>
      </c>
      <c r="Y143" s="129">
        <v>2</v>
      </c>
      <c r="Z143" s="129">
        <v>2</v>
      </c>
      <c r="AA143" s="129">
        <v>2</v>
      </c>
      <c r="AB143" s="129">
        <v>2</v>
      </c>
      <c r="AC143" s="129">
        <v>2</v>
      </c>
      <c r="AD143" s="129">
        <v>2</v>
      </c>
      <c r="AE143" s="129">
        <v>2</v>
      </c>
      <c r="AF143" s="129">
        <v>2</v>
      </c>
      <c r="AG143" s="129">
        <v>3</v>
      </c>
      <c r="AH143" s="129">
        <v>2</v>
      </c>
      <c r="AI143" s="129">
        <v>2</v>
      </c>
      <c r="AJ143" s="129">
        <v>2</v>
      </c>
      <c r="AK143" s="129">
        <v>2</v>
      </c>
      <c r="AL143" s="129">
        <v>3</v>
      </c>
      <c r="AM143" s="129">
        <v>2</v>
      </c>
      <c r="AN143" s="129">
        <v>2</v>
      </c>
      <c r="AO143" s="129">
        <v>3</v>
      </c>
      <c r="AP143" s="274">
        <v>91</v>
      </c>
      <c r="AQ143" s="26">
        <f t="shared" si="14"/>
        <v>44</v>
      </c>
    </row>
    <row r="144" spans="1:43" x14ac:dyDescent="0.2">
      <c r="A144" s="161" t="s">
        <v>454</v>
      </c>
      <c r="B144" s="164">
        <v>2</v>
      </c>
      <c r="C144" s="165">
        <v>3</v>
      </c>
      <c r="D144" s="165">
        <v>1</v>
      </c>
      <c r="E144" s="165">
        <v>1</v>
      </c>
      <c r="F144" s="165">
        <v>3</v>
      </c>
      <c r="G144" s="165">
        <v>1</v>
      </c>
      <c r="H144" s="165">
        <v>2</v>
      </c>
      <c r="I144" s="165">
        <v>3</v>
      </c>
      <c r="J144" s="165">
        <v>2</v>
      </c>
      <c r="K144" s="165">
        <v>1</v>
      </c>
      <c r="L144" s="165">
        <v>3</v>
      </c>
      <c r="M144" s="165">
        <v>2</v>
      </c>
      <c r="N144" s="165">
        <v>1</v>
      </c>
      <c r="O144" s="165">
        <v>2</v>
      </c>
      <c r="P144" s="165">
        <v>3</v>
      </c>
      <c r="Q144" s="165">
        <v>3</v>
      </c>
      <c r="R144" s="165">
        <v>2</v>
      </c>
      <c r="S144" s="165">
        <v>1</v>
      </c>
      <c r="T144" s="165">
        <v>3</v>
      </c>
      <c r="U144" s="165">
        <v>3</v>
      </c>
      <c r="V144" s="165">
        <v>3</v>
      </c>
      <c r="W144" s="165">
        <v>2</v>
      </c>
      <c r="X144" s="165">
        <v>3</v>
      </c>
      <c r="Y144" s="165">
        <v>1</v>
      </c>
      <c r="Z144" s="165">
        <v>1</v>
      </c>
      <c r="AA144" s="165">
        <v>3</v>
      </c>
      <c r="AB144" s="165">
        <v>3</v>
      </c>
      <c r="AC144" s="165">
        <v>2</v>
      </c>
      <c r="AD144" s="165">
        <v>2</v>
      </c>
      <c r="AE144" s="165">
        <v>3</v>
      </c>
      <c r="AF144" s="165">
        <v>2</v>
      </c>
      <c r="AG144" s="165">
        <v>3</v>
      </c>
      <c r="AH144" s="165">
        <v>3</v>
      </c>
      <c r="AI144" s="165">
        <v>3</v>
      </c>
      <c r="AJ144" s="165">
        <v>1</v>
      </c>
      <c r="AK144" s="165">
        <v>3</v>
      </c>
      <c r="AL144" s="165">
        <v>2</v>
      </c>
      <c r="AM144" s="165">
        <v>3</v>
      </c>
      <c r="AN144" s="165">
        <v>3</v>
      </c>
      <c r="AO144" s="165">
        <v>2</v>
      </c>
      <c r="AP144" s="284">
        <v>90</v>
      </c>
      <c r="AQ144" s="26">
        <f t="shared" si="14"/>
        <v>48</v>
      </c>
    </row>
    <row r="145" spans="1:43" ht="16" x14ac:dyDescent="0.2">
      <c r="A145" s="168" t="s">
        <v>455</v>
      </c>
      <c r="B145" s="128">
        <v>3</v>
      </c>
      <c r="C145" s="129">
        <v>3</v>
      </c>
      <c r="D145" s="129">
        <v>1</v>
      </c>
      <c r="E145" s="129">
        <v>1</v>
      </c>
      <c r="F145" s="129">
        <v>3</v>
      </c>
      <c r="G145" s="129">
        <v>1</v>
      </c>
      <c r="H145" s="129">
        <v>2</v>
      </c>
      <c r="I145" s="129">
        <v>3</v>
      </c>
      <c r="J145" s="129">
        <v>2</v>
      </c>
      <c r="K145" s="129">
        <v>1</v>
      </c>
      <c r="L145" s="129">
        <v>3</v>
      </c>
      <c r="M145" s="129">
        <v>2</v>
      </c>
      <c r="N145" s="129">
        <v>1</v>
      </c>
      <c r="O145" s="129">
        <v>2</v>
      </c>
      <c r="P145" s="129">
        <v>3</v>
      </c>
      <c r="Q145" s="129">
        <v>3</v>
      </c>
      <c r="R145" s="129">
        <v>2</v>
      </c>
      <c r="S145" s="129">
        <v>1</v>
      </c>
      <c r="T145" s="129">
        <v>3</v>
      </c>
      <c r="U145" s="129">
        <v>3</v>
      </c>
      <c r="V145" s="129">
        <v>3</v>
      </c>
      <c r="W145" s="129">
        <v>3</v>
      </c>
      <c r="X145" s="129">
        <v>3</v>
      </c>
      <c r="Y145" s="129">
        <v>1</v>
      </c>
      <c r="Z145" s="129">
        <v>2</v>
      </c>
      <c r="AA145" s="129">
        <v>2</v>
      </c>
      <c r="AB145" s="129">
        <v>2</v>
      </c>
      <c r="AC145" s="129">
        <v>2</v>
      </c>
      <c r="AD145" s="129">
        <v>2</v>
      </c>
      <c r="AE145" s="129">
        <v>3</v>
      </c>
      <c r="AF145" s="129">
        <v>2</v>
      </c>
      <c r="AG145" s="129">
        <v>2</v>
      </c>
      <c r="AH145" s="129">
        <v>3</v>
      </c>
      <c r="AI145" s="129">
        <v>2</v>
      </c>
      <c r="AJ145" s="129">
        <v>1</v>
      </c>
      <c r="AK145" s="129">
        <v>3</v>
      </c>
      <c r="AL145" s="129">
        <v>2</v>
      </c>
      <c r="AM145" s="129">
        <v>2</v>
      </c>
      <c r="AN145" s="129">
        <v>3</v>
      </c>
      <c r="AO145" s="129">
        <v>3</v>
      </c>
      <c r="AP145" s="274">
        <v>89</v>
      </c>
      <c r="AQ145" s="26">
        <f t="shared" si="14"/>
        <v>46</v>
      </c>
    </row>
    <row r="146" spans="1:43" ht="16" x14ac:dyDescent="0.2">
      <c r="A146" s="168" t="s">
        <v>456</v>
      </c>
      <c r="B146" s="128">
        <v>3</v>
      </c>
      <c r="C146" s="129">
        <v>3</v>
      </c>
      <c r="D146" s="129">
        <v>1</v>
      </c>
      <c r="E146" s="129">
        <v>1</v>
      </c>
      <c r="F146" s="129">
        <v>3</v>
      </c>
      <c r="G146" s="129">
        <v>1</v>
      </c>
      <c r="H146" s="129">
        <v>2</v>
      </c>
      <c r="I146" s="129">
        <v>3</v>
      </c>
      <c r="J146" s="129">
        <v>1</v>
      </c>
      <c r="K146" s="129">
        <v>1</v>
      </c>
      <c r="L146" s="129">
        <v>3</v>
      </c>
      <c r="M146" s="129">
        <v>2</v>
      </c>
      <c r="N146" s="129">
        <v>1</v>
      </c>
      <c r="O146" s="129">
        <v>1</v>
      </c>
      <c r="P146" s="129">
        <v>3</v>
      </c>
      <c r="Q146" s="129">
        <v>3</v>
      </c>
      <c r="R146" s="129">
        <v>2</v>
      </c>
      <c r="S146" s="129">
        <v>1</v>
      </c>
      <c r="T146" s="129">
        <v>3</v>
      </c>
      <c r="U146" s="129">
        <v>3</v>
      </c>
      <c r="V146" s="129">
        <v>3</v>
      </c>
      <c r="W146" s="129">
        <v>2</v>
      </c>
      <c r="X146" s="129">
        <v>3</v>
      </c>
      <c r="Y146" s="129">
        <v>1</v>
      </c>
      <c r="Z146" s="129">
        <v>1</v>
      </c>
      <c r="AA146" s="129">
        <v>3</v>
      </c>
      <c r="AB146" s="129">
        <v>3</v>
      </c>
      <c r="AC146" s="129">
        <v>1</v>
      </c>
      <c r="AD146" s="129">
        <v>1</v>
      </c>
      <c r="AE146" s="129">
        <v>3</v>
      </c>
      <c r="AF146" s="129">
        <v>1</v>
      </c>
      <c r="AG146" s="129">
        <v>1</v>
      </c>
      <c r="AH146" s="129">
        <v>3</v>
      </c>
      <c r="AI146" s="129">
        <v>2</v>
      </c>
      <c r="AJ146" s="129">
        <v>1</v>
      </c>
      <c r="AK146" s="129">
        <v>3</v>
      </c>
      <c r="AL146" s="129">
        <v>1</v>
      </c>
      <c r="AM146" s="129">
        <v>1</v>
      </c>
      <c r="AN146" s="129">
        <v>3</v>
      </c>
      <c r="AO146" s="129">
        <v>2</v>
      </c>
      <c r="AP146" s="274">
        <v>80</v>
      </c>
      <c r="AQ146" s="26">
        <f t="shared" si="14"/>
        <v>39</v>
      </c>
    </row>
    <row r="147" spans="1:43" ht="16" x14ac:dyDescent="0.2">
      <c r="A147" s="168" t="s">
        <v>457</v>
      </c>
      <c r="B147" s="164">
        <v>4</v>
      </c>
      <c r="C147" s="165">
        <v>4</v>
      </c>
      <c r="D147" s="165">
        <v>1</v>
      </c>
      <c r="E147" s="165">
        <v>1</v>
      </c>
      <c r="F147" s="165">
        <v>4</v>
      </c>
      <c r="G147" s="165">
        <v>1</v>
      </c>
      <c r="H147" s="165">
        <v>1</v>
      </c>
      <c r="I147" s="165">
        <v>4</v>
      </c>
      <c r="J147" s="165">
        <v>1</v>
      </c>
      <c r="K147" s="165">
        <v>1</v>
      </c>
      <c r="L147" s="165">
        <v>4</v>
      </c>
      <c r="M147" s="165">
        <v>1</v>
      </c>
      <c r="N147" s="165">
        <v>1</v>
      </c>
      <c r="O147" s="165">
        <v>1</v>
      </c>
      <c r="P147" s="165">
        <v>4</v>
      </c>
      <c r="Q147" s="165">
        <v>4</v>
      </c>
      <c r="R147" s="165">
        <v>1</v>
      </c>
      <c r="S147" s="165">
        <v>1</v>
      </c>
      <c r="T147" s="165">
        <v>4</v>
      </c>
      <c r="U147" s="165">
        <v>4</v>
      </c>
      <c r="V147" s="165">
        <v>4</v>
      </c>
      <c r="W147" s="165">
        <v>1</v>
      </c>
      <c r="X147" s="165">
        <v>4</v>
      </c>
      <c r="Y147" s="165">
        <v>1</v>
      </c>
      <c r="Z147" s="165">
        <v>1</v>
      </c>
      <c r="AA147" s="165">
        <v>3</v>
      </c>
      <c r="AB147" s="165">
        <v>3</v>
      </c>
      <c r="AC147" s="165">
        <v>1</v>
      </c>
      <c r="AD147" s="165">
        <v>1</v>
      </c>
      <c r="AE147" s="165">
        <v>4</v>
      </c>
      <c r="AF147" s="165">
        <v>1</v>
      </c>
      <c r="AG147" s="165">
        <v>1</v>
      </c>
      <c r="AH147" s="165">
        <v>3</v>
      </c>
      <c r="AI147" s="165">
        <v>3</v>
      </c>
      <c r="AJ147" s="165">
        <v>1</v>
      </c>
      <c r="AK147" s="165">
        <v>4</v>
      </c>
      <c r="AL147" s="165">
        <v>2</v>
      </c>
      <c r="AM147" s="165">
        <v>1</v>
      </c>
      <c r="AN147" s="165">
        <v>4</v>
      </c>
      <c r="AO147" s="165">
        <v>2</v>
      </c>
      <c r="AP147" s="284">
        <v>92</v>
      </c>
      <c r="AQ147" s="26">
        <f t="shared" si="14"/>
        <v>45</v>
      </c>
    </row>
    <row r="148" spans="1:43" ht="16" x14ac:dyDescent="0.2">
      <c r="A148" s="168" t="s">
        <v>458</v>
      </c>
      <c r="B148" s="166">
        <v>2</v>
      </c>
      <c r="C148" s="167">
        <v>3</v>
      </c>
      <c r="D148" s="167">
        <v>1</v>
      </c>
      <c r="E148" s="167">
        <v>1</v>
      </c>
      <c r="F148" s="167">
        <v>4</v>
      </c>
      <c r="G148" s="167">
        <v>1</v>
      </c>
      <c r="H148" s="167">
        <v>2</v>
      </c>
      <c r="I148" s="167">
        <v>3</v>
      </c>
      <c r="J148" s="167">
        <v>1</v>
      </c>
      <c r="K148" s="167">
        <v>1</v>
      </c>
      <c r="L148" s="167">
        <v>3</v>
      </c>
      <c r="M148" s="167">
        <v>2</v>
      </c>
      <c r="N148" s="167">
        <v>1</v>
      </c>
      <c r="O148" s="167">
        <v>2</v>
      </c>
      <c r="P148" s="167">
        <v>3</v>
      </c>
      <c r="Q148" s="167">
        <v>3</v>
      </c>
      <c r="R148" s="167">
        <v>2</v>
      </c>
      <c r="S148" s="167">
        <v>1</v>
      </c>
      <c r="T148" s="167">
        <v>3</v>
      </c>
      <c r="U148" s="167">
        <v>4</v>
      </c>
      <c r="V148" s="167">
        <v>3</v>
      </c>
      <c r="W148" s="167">
        <v>2</v>
      </c>
      <c r="X148" s="167">
        <v>3</v>
      </c>
      <c r="Y148" s="167">
        <v>1</v>
      </c>
      <c r="Z148" s="167">
        <v>1</v>
      </c>
      <c r="AA148" s="167">
        <v>3</v>
      </c>
      <c r="AB148" s="167">
        <v>3</v>
      </c>
      <c r="AC148" s="167">
        <v>2</v>
      </c>
      <c r="AD148" s="167">
        <v>2</v>
      </c>
      <c r="AE148" s="167">
        <v>3</v>
      </c>
      <c r="AF148" s="167">
        <v>1</v>
      </c>
      <c r="AG148" s="167">
        <v>2</v>
      </c>
      <c r="AH148" s="167">
        <v>3</v>
      </c>
      <c r="AI148" s="167">
        <v>3</v>
      </c>
      <c r="AJ148" s="167">
        <v>1</v>
      </c>
      <c r="AK148" s="167">
        <v>3</v>
      </c>
      <c r="AL148" s="167">
        <v>2</v>
      </c>
      <c r="AM148" s="167">
        <v>2</v>
      </c>
      <c r="AN148" s="167">
        <v>3</v>
      </c>
      <c r="AO148" s="167">
        <v>2</v>
      </c>
      <c r="AP148" s="284">
        <v>43</v>
      </c>
      <c r="AQ148" s="28">
        <v>45</v>
      </c>
    </row>
    <row r="149" spans="1:43" ht="16" x14ac:dyDescent="0.2">
      <c r="A149" s="168" t="s">
        <v>459</v>
      </c>
      <c r="B149" s="164">
        <v>3</v>
      </c>
      <c r="C149" s="165">
        <v>3</v>
      </c>
      <c r="D149" s="165">
        <v>1</v>
      </c>
      <c r="E149" s="165">
        <v>1</v>
      </c>
      <c r="F149" s="165">
        <v>3</v>
      </c>
      <c r="G149" s="165">
        <v>1</v>
      </c>
      <c r="H149" s="165">
        <v>1</v>
      </c>
      <c r="I149" s="165">
        <v>3</v>
      </c>
      <c r="J149" s="165">
        <v>1</v>
      </c>
      <c r="K149" s="165">
        <v>1</v>
      </c>
      <c r="L149" s="165">
        <v>3</v>
      </c>
      <c r="M149" s="165">
        <v>1</v>
      </c>
      <c r="N149" s="165">
        <v>1</v>
      </c>
      <c r="O149" s="165">
        <v>1</v>
      </c>
      <c r="P149" s="165">
        <v>4</v>
      </c>
      <c r="Q149" s="165">
        <v>3</v>
      </c>
      <c r="R149" s="165">
        <v>1</v>
      </c>
      <c r="S149" s="165">
        <v>1</v>
      </c>
      <c r="T149" s="165">
        <v>3</v>
      </c>
      <c r="U149" s="165">
        <v>3</v>
      </c>
      <c r="V149" s="165">
        <v>3</v>
      </c>
      <c r="W149" s="165">
        <v>2</v>
      </c>
      <c r="X149" s="165">
        <v>3</v>
      </c>
      <c r="Y149" s="165">
        <v>1</v>
      </c>
      <c r="Z149" s="165">
        <v>1</v>
      </c>
      <c r="AA149" s="165">
        <v>3</v>
      </c>
      <c r="AB149" s="165">
        <v>3</v>
      </c>
      <c r="AC149" s="165">
        <v>1</v>
      </c>
      <c r="AD149" s="165">
        <v>2</v>
      </c>
      <c r="AE149" s="165">
        <v>3</v>
      </c>
      <c r="AF149" s="165">
        <v>1</v>
      </c>
      <c r="AG149" s="165">
        <v>2</v>
      </c>
      <c r="AH149" s="165">
        <v>3</v>
      </c>
      <c r="AI149" s="165">
        <v>2</v>
      </c>
      <c r="AJ149" s="165">
        <v>1</v>
      </c>
      <c r="AK149" s="165">
        <v>3</v>
      </c>
      <c r="AL149" s="165">
        <v>2</v>
      </c>
      <c r="AM149" s="165">
        <v>2</v>
      </c>
      <c r="AN149" s="165">
        <v>3</v>
      </c>
      <c r="AO149" s="165">
        <v>2</v>
      </c>
      <c r="AP149" s="284">
        <v>82</v>
      </c>
      <c r="AQ149" s="26">
        <f t="shared" si="14"/>
        <v>43</v>
      </c>
    </row>
    <row r="150" spans="1:43" ht="16" x14ac:dyDescent="0.2">
      <c r="A150" s="168" t="s">
        <v>460</v>
      </c>
      <c r="B150" s="164">
        <v>3</v>
      </c>
      <c r="C150" s="165">
        <v>3</v>
      </c>
      <c r="D150" s="165">
        <v>1</v>
      </c>
      <c r="E150" s="165">
        <v>1</v>
      </c>
      <c r="F150" s="165">
        <v>3</v>
      </c>
      <c r="G150" s="165">
        <v>1</v>
      </c>
      <c r="H150" s="165">
        <v>2</v>
      </c>
      <c r="I150" s="165">
        <v>4</v>
      </c>
      <c r="J150" s="165">
        <v>2</v>
      </c>
      <c r="K150" s="165">
        <v>1</v>
      </c>
      <c r="L150" s="165">
        <v>3</v>
      </c>
      <c r="M150" s="165">
        <v>2</v>
      </c>
      <c r="N150" s="165">
        <v>1</v>
      </c>
      <c r="O150" s="165">
        <v>1</v>
      </c>
      <c r="P150" s="165">
        <v>3</v>
      </c>
      <c r="Q150" s="165">
        <v>4</v>
      </c>
      <c r="R150" s="165">
        <v>2</v>
      </c>
      <c r="S150" s="165">
        <v>1</v>
      </c>
      <c r="T150" s="165">
        <v>3</v>
      </c>
      <c r="U150" s="165">
        <v>4</v>
      </c>
      <c r="V150" s="165">
        <v>3</v>
      </c>
      <c r="W150" s="165">
        <v>2</v>
      </c>
      <c r="X150" s="165">
        <v>4</v>
      </c>
      <c r="Y150" s="165">
        <v>1</v>
      </c>
      <c r="Z150" s="165">
        <v>1</v>
      </c>
      <c r="AA150" s="165">
        <v>3</v>
      </c>
      <c r="AB150" s="165">
        <v>3</v>
      </c>
      <c r="AC150" s="165">
        <v>1</v>
      </c>
      <c r="AD150" s="165">
        <v>2</v>
      </c>
      <c r="AE150" s="165">
        <v>4</v>
      </c>
      <c r="AF150" s="165">
        <v>1</v>
      </c>
      <c r="AG150" s="165">
        <v>2</v>
      </c>
      <c r="AH150" s="165">
        <v>3</v>
      </c>
      <c r="AI150" s="165">
        <v>3</v>
      </c>
      <c r="AJ150" s="165">
        <v>1</v>
      </c>
      <c r="AK150" s="165">
        <v>3</v>
      </c>
      <c r="AL150" s="165">
        <v>2</v>
      </c>
      <c r="AM150" s="165">
        <v>2</v>
      </c>
      <c r="AN150" s="165">
        <v>3</v>
      </c>
      <c r="AO150" s="165">
        <v>2</v>
      </c>
      <c r="AP150" s="284">
        <v>91</v>
      </c>
      <c r="AQ150" s="26">
        <f t="shared" si="14"/>
        <v>46</v>
      </c>
    </row>
    <row r="151" spans="1:43" ht="17" thickBot="1" x14ac:dyDescent="0.25">
      <c r="A151" s="169" t="s">
        <v>461</v>
      </c>
      <c r="B151" s="170">
        <v>1</v>
      </c>
      <c r="C151" s="171">
        <v>2</v>
      </c>
      <c r="D151" s="171">
        <v>2</v>
      </c>
      <c r="E151" s="171">
        <v>1</v>
      </c>
      <c r="F151" s="171">
        <v>3</v>
      </c>
      <c r="G151" s="171">
        <v>1</v>
      </c>
      <c r="H151" s="171">
        <v>3</v>
      </c>
      <c r="I151" s="171">
        <v>3</v>
      </c>
      <c r="J151" s="171">
        <v>2</v>
      </c>
      <c r="K151" s="171">
        <v>1</v>
      </c>
      <c r="L151" s="171">
        <v>2</v>
      </c>
      <c r="M151" s="171">
        <v>2</v>
      </c>
      <c r="N151" s="171">
        <v>1</v>
      </c>
      <c r="O151" s="171">
        <v>2</v>
      </c>
      <c r="P151" s="171">
        <v>3</v>
      </c>
      <c r="Q151" s="171">
        <v>3</v>
      </c>
      <c r="R151" s="171">
        <v>3</v>
      </c>
      <c r="S151" s="171">
        <v>1</v>
      </c>
      <c r="T151" s="171">
        <v>2</v>
      </c>
      <c r="U151" s="171">
        <v>3</v>
      </c>
      <c r="V151" s="171">
        <v>3</v>
      </c>
      <c r="W151" s="171">
        <v>3</v>
      </c>
      <c r="X151" s="171">
        <v>3</v>
      </c>
      <c r="Y151" s="171">
        <v>1</v>
      </c>
      <c r="Z151" s="171">
        <v>1</v>
      </c>
      <c r="AA151" s="171">
        <v>3</v>
      </c>
      <c r="AB151" s="171">
        <v>2</v>
      </c>
      <c r="AC151" s="171">
        <v>2</v>
      </c>
      <c r="AD151" s="171">
        <v>2</v>
      </c>
      <c r="AE151" s="171">
        <v>3</v>
      </c>
      <c r="AF151" s="171">
        <v>1</v>
      </c>
      <c r="AG151" s="171">
        <v>2</v>
      </c>
      <c r="AH151" s="171">
        <v>3</v>
      </c>
      <c r="AI151" s="171">
        <v>2</v>
      </c>
      <c r="AJ151" s="171">
        <v>1</v>
      </c>
      <c r="AK151" s="171">
        <v>3</v>
      </c>
      <c r="AL151" s="171">
        <v>1</v>
      </c>
      <c r="AM151" s="171">
        <v>1</v>
      </c>
      <c r="AN151" s="171">
        <v>3</v>
      </c>
      <c r="AO151" s="171">
        <v>3</v>
      </c>
      <c r="AP151" s="221">
        <v>41</v>
      </c>
      <c r="AQ151" s="221">
        <v>43</v>
      </c>
    </row>
    <row r="152" spans="1:43" x14ac:dyDescent="0.2">
      <c r="A152" s="172" t="s">
        <v>462</v>
      </c>
      <c r="B152" s="125">
        <v>3</v>
      </c>
      <c r="C152" s="126">
        <v>3</v>
      </c>
      <c r="D152" s="126">
        <v>1</v>
      </c>
      <c r="E152" s="126">
        <v>1</v>
      </c>
      <c r="F152" s="126">
        <v>3</v>
      </c>
      <c r="G152" s="126">
        <v>1</v>
      </c>
      <c r="H152" s="126">
        <v>2</v>
      </c>
      <c r="I152" s="126">
        <v>4</v>
      </c>
      <c r="J152" s="126">
        <v>1</v>
      </c>
      <c r="K152" s="126">
        <v>1</v>
      </c>
      <c r="L152" s="126">
        <v>3</v>
      </c>
      <c r="M152" s="126">
        <v>1</v>
      </c>
      <c r="N152" s="126">
        <v>1</v>
      </c>
      <c r="O152" s="126">
        <v>1</v>
      </c>
      <c r="P152" s="126">
        <v>3</v>
      </c>
      <c r="Q152" s="126">
        <v>3</v>
      </c>
      <c r="R152" s="126">
        <v>1</v>
      </c>
      <c r="S152" s="126">
        <v>1</v>
      </c>
      <c r="T152" s="126">
        <v>3</v>
      </c>
      <c r="U152" s="126">
        <v>3</v>
      </c>
      <c r="V152" s="126">
        <v>3</v>
      </c>
      <c r="W152" s="126">
        <v>2</v>
      </c>
      <c r="X152" s="126">
        <v>3</v>
      </c>
      <c r="Y152" s="126">
        <v>1</v>
      </c>
      <c r="Z152" s="126">
        <v>1</v>
      </c>
      <c r="AA152" s="126">
        <v>2</v>
      </c>
      <c r="AB152" s="126">
        <v>2</v>
      </c>
      <c r="AC152" s="126">
        <v>2</v>
      </c>
      <c r="AD152" s="126">
        <v>3</v>
      </c>
      <c r="AE152" s="126">
        <v>3</v>
      </c>
      <c r="AF152" s="126">
        <v>1</v>
      </c>
      <c r="AG152" s="126">
        <v>2</v>
      </c>
      <c r="AH152" s="126">
        <v>3</v>
      </c>
      <c r="AI152" s="126">
        <v>3</v>
      </c>
      <c r="AJ152" s="126">
        <v>2</v>
      </c>
      <c r="AK152" s="126">
        <v>3</v>
      </c>
      <c r="AL152" s="126">
        <v>2</v>
      </c>
      <c r="AM152" s="126">
        <v>2</v>
      </c>
      <c r="AN152" s="126">
        <v>3</v>
      </c>
      <c r="AO152" s="126">
        <v>2</v>
      </c>
      <c r="AP152" s="203">
        <v>85</v>
      </c>
      <c r="AQ152" s="26">
        <f t="shared" si="14"/>
        <v>45</v>
      </c>
    </row>
    <row r="153" spans="1:43" ht="16" x14ac:dyDescent="0.2">
      <c r="A153" s="132" t="s">
        <v>463</v>
      </c>
      <c r="B153" s="166">
        <v>4</v>
      </c>
      <c r="C153" s="322">
        <v>2</v>
      </c>
      <c r="D153" s="167">
        <v>1</v>
      </c>
      <c r="E153" s="167">
        <v>1</v>
      </c>
      <c r="F153" s="167">
        <v>3</v>
      </c>
      <c r="G153" s="167">
        <v>1</v>
      </c>
      <c r="H153" s="167">
        <v>2</v>
      </c>
      <c r="I153" s="167">
        <v>3</v>
      </c>
      <c r="J153" s="167">
        <v>1</v>
      </c>
      <c r="K153" s="167">
        <v>1</v>
      </c>
      <c r="L153" s="167">
        <v>2</v>
      </c>
      <c r="M153" s="167">
        <v>1</v>
      </c>
      <c r="N153" s="167">
        <v>1</v>
      </c>
      <c r="O153" s="167">
        <v>1</v>
      </c>
      <c r="P153" s="167">
        <v>2</v>
      </c>
      <c r="Q153" s="167">
        <v>3</v>
      </c>
      <c r="R153" s="167">
        <v>1</v>
      </c>
      <c r="S153" s="167">
        <v>1</v>
      </c>
      <c r="T153" s="167">
        <v>2</v>
      </c>
      <c r="U153" s="167">
        <v>3</v>
      </c>
      <c r="V153" s="167">
        <v>3</v>
      </c>
      <c r="W153" s="167">
        <v>3</v>
      </c>
      <c r="X153" s="167">
        <v>4</v>
      </c>
      <c r="Y153" s="167">
        <v>1</v>
      </c>
      <c r="Z153" s="167">
        <v>1</v>
      </c>
      <c r="AA153" s="167">
        <v>2</v>
      </c>
      <c r="AB153" s="167">
        <v>3</v>
      </c>
      <c r="AC153" s="167">
        <v>2</v>
      </c>
      <c r="AD153" s="167">
        <v>2</v>
      </c>
      <c r="AE153" s="167">
        <v>3</v>
      </c>
      <c r="AF153" s="167">
        <v>1</v>
      </c>
      <c r="AG153" s="167">
        <v>2</v>
      </c>
      <c r="AH153" s="167">
        <v>2</v>
      </c>
      <c r="AI153" s="167">
        <v>2</v>
      </c>
      <c r="AJ153" s="167">
        <v>1</v>
      </c>
      <c r="AK153" s="167">
        <v>3</v>
      </c>
      <c r="AL153" s="167">
        <v>1</v>
      </c>
      <c r="AM153" s="167">
        <v>1</v>
      </c>
      <c r="AN153" s="167">
        <v>3</v>
      </c>
      <c r="AO153" s="167">
        <v>3</v>
      </c>
      <c r="AP153" s="225">
        <v>79</v>
      </c>
      <c r="AQ153" s="26">
        <f t="shared" si="14"/>
        <v>43</v>
      </c>
    </row>
    <row r="154" spans="1:43" ht="17" thickBot="1" x14ac:dyDescent="0.25">
      <c r="A154" s="132" t="s">
        <v>464</v>
      </c>
      <c r="B154" s="137">
        <v>4</v>
      </c>
      <c r="C154" s="138">
        <v>3</v>
      </c>
      <c r="D154" s="138">
        <v>1</v>
      </c>
      <c r="E154" s="138">
        <v>1</v>
      </c>
      <c r="F154" s="138">
        <v>3</v>
      </c>
      <c r="G154" s="138">
        <v>1</v>
      </c>
      <c r="H154" s="138">
        <v>1</v>
      </c>
      <c r="I154" s="138">
        <v>4</v>
      </c>
      <c r="J154" s="138">
        <v>1</v>
      </c>
      <c r="K154" s="138">
        <v>1</v>
      </c>
      <c r="L154" s="138">
        <v>3</v>
      </c>
      <c r="M154" s="138">
        <v>1</v>
      </c>
      <c r="N154" s="138">
        <v>1</v>
      </c>
      <c r="O154" s="138">
        <v>2</v>
      </c>
      <c r="P154" s="138">
        <v>3</v>
      </c>
      <c r="Q154" s="138">
        <v>4</v>
      </c>
      <c r="R154" s="138">
        <v>2</v>
      </c>
      <c r="S154" s="138">
        <v>1</v>
      </c>
      <c r="T154" s="138">
        <v>3</v>
      </c>
      <c r="U154" s="138">
        <v>3</v>
      </c>
      <c r="V154" s="138">
        <v>3</v>
      </c>
      <c r="W154" s="138">
        <v>1</v>
      </c>
      <c r="X154" s="138">
        <v>3</v>
      </c>
      <c r="Y154" s="138">
        <v>1</v>
      </c>
      <c r="Z154" s="138">
        <v>1</v>
      </c>
      <c r="AA154" s="138">
        <v>3</v>
      </c>
      <c r="AB154" s="138">
        <v>3</v>
      </c>
      <c r="AC154" s="138">
        <v>1</v>
      </c>
      <c r="AD154" s="138">
        <v>1</v>
      </c>
      <c r="AE154" s="138">
        <v>4</v>
      </c>
      <c r="AF154" s="138">
        <v>1</v>
      </c>
      <c r="AG154" s="138">
        <v>1</v>
      </c>
      <c r="AH154" s="138">
        <v>3</v>
      </c>
      <c r="AI154" s="138">
        <v>2</v>
      </c>
      <c r="AJ154" s="138">
        <v>1</v>
      </c>
      <c r="AK154" s="138">
        <v>4</v>
      </c>
      <c r="AL154" s="138">
        <v>1</v>
      </c>
      <c r="AM154" s="138">
        <v>1</v>
      </c>
      <c r="AN154" s="138">
        <v>3</v>
      </c>
      <c r="AO154" s="138">
        <v>2</v>
      </c>
      <c r="AP154" s="221">
        <v>43</v>
      </c>
      <c r="AQ154" s="221">
        <v>40</v>
      </c>
    </row>
    <row r="155" spans="1:43" x14ac:dyDescent="0.2">
      <c r="A155" s="127" t="s">
        <v>465</v>
      </c>
      <c r="B155" s="125">
        <v>4</v>
      </c>
      <c r="C155" s="126">
        <v>4</v>
      </c>
      <c r="D155" s="126">
        <v>1</v>
      </c>
      <c r="E155" s="126">
        <v>1</v>
      </c>
      <c r="F155" s="126">
        <v>4</v>
      </c>
      <c r="G155" s="126">
        <v>1</v>
      </c>
      <c r="H155" s="126">
        <v>2</v>
      </c>
      <c r="I155" s="126">
        <v>4</v>
      </c>
      <c r="J155" s="126">
        <v>1</v>
      </c>
      <c r="K155" s="126">
        <v>1</v>
      </c>
      <c r="L155" s="126">
        <v>3</v>
      </c>
      <c r="M155" s="126">
        <v>1</v>
      </c>
      <c r="N155" s="126">
        <v>1</v>
      </c>
      <c r="O155" s="126">
        <v>1</v>
      </c>
      <c r="P155" s="126">
        <v>4</v>
      </c>
      <c r="Q155" s="126">
        <v>4</v>
      </c>
      <c r="R155" s="126">
        <v>1</v>
      </c>
      <c r="S155" s="126">
        <v>1</v>
      </c>
      <c r="T155" s="126">
        <v>3</v>
      </c>
      <c r="U155" s="126">
        <v>3</v>
      </c>
      <c r="V155" s="126">
        <v>3</v>
      </c>
      <c r="W155" s="126">
        <v>3</v>
      </c>
      <c r="X155" s="126">
        <v>3</v>
      </c>
      <c r="Y155" s="126">
        <v>2</v>
      </c>
      <c r="Z155" s="126">
        <v>1</v>
      </c>
      <c r="AA155" s="126">
        <v>4</v>
      </c>
      <c r="AB155" s="126">
        <v>3</v>
      </c>
      <c r="AC155" s="126">
        <v>1</v>
      </c>
      <c r="AD155" s="126">
        <v>3</v>
      </c>
      <c r="AE155" s="126">
        <v>3</v>
      </c>
      <c r="AF155" s="126">
        <v>1</v>
      </c>
      <c r="AG155" s="126">
        <v>2</v>
      </c>
      <c r="AH155" s="126">
        <v>3</v>
      </c>
      <c r="AI155" s="126">
        <v>3</v>
      </c>
      <c r="AJ155" s="126">
        <v>1</v>
      </c>
      <c r="AK155" s="126">
        <v>3</v>
      </c>
      <c r="AL155" s="126">
        <v>2</v>
      </c>
      <c r="AM155" s="126">
        <v>2</v>
      </c>
      <c r="AN155" s="126">
        <v>3</v>
      </c>
      <c r="AO155" s="126">
        <v>3</v>
      </c>
      <c r="AP155" s="203">
        <v>94</v>
      </c>
      <c r="AQ155" s="26">
        <f t="shared" si="14"/>
        <v>49</v>
      </c>
    </row>
    <row r="156" spans="1:43" x14ac:dyDescent="0.2">
      <c r="A156" s="127" t="s">
        <v>466</v>
      </c>
      <c r="B156" s="128">
        <v>3</v>
      </c>
      <c r="C156" s="129">
        <v>4</v>
      </c>
      <c r="D156" s="129">
        <v>1</v>
      </c>
      <c r="E156" s="129">
        <v>1</v>
      </c>
      <c r="F156" s="129">
        <v>4</v>
      </c>
      <c r="G156" s="129">
        <v>1</v>
      </c>
      <c r="H156" s="129">
        <v>4</v>
      </c>
      <c r="I156" s="129">
        <v>3</v>
      </c>
      <c r="J156" s="129">
        <v>3</v>
      </c>
      <c r="K156" s="129">
        <v>1</v>
      </c>
      <c r="L156" s="129">
        <v>4</v>
      </c>
      <c r="M156" s="129">
        <v>2</v>
      </c>
      <c r="N156" s="129">
        <v>1</v>
      </c>
      <c r="O156" s="129">
        <v>1</v>
      </c>
      <c r="P156" s="129">
        <v>3</v>
      </c>
      <c r="Q156" s="129">
        <v>3</v>
      </c>
      <c r="R156" s="129">
        <v>4</v>
      </c>
      <c r="S156" s="129">
        <v>1</v>
      </c>
      <c r="T156" s="129">
        <v>3</v>
      </c>
      <c r="U156" s="129">
        <v>3</v>
      </c>
      <c r="V156" s="129">
        <v>3</v>
      </c>
      <c r="W156" s="129">
        <v>4</v>
      </c>
      <c r="X156" s="129">
        <v>3</v>
      </c>
      <c r="Y156" s="129">
        <v>2</v>
      </c>
      <c r="Z156" s="129">
        <v>1</v>
      </c>
      <c r="AA156" s="129">
        <v>2</v>
      </c>
      <c r="AB156" s="129">
        <v>2</v>
      </c>
      <c r="AC156" s="129">
        <v>3</v>
      </c>
      <c r="AD156" s="129">
        <v>2</v>
      </c>
      <c r="AE156" s="129">
        <v>3</v>
      </c>
      <c r="AF156" s="129">
        <v>1</v>
      </c>
      <c r="AG156" s="129">
        <v>1</v>
      </c>
      <c r="AH156" s="129">
        <v>3</v>
      </c>
      <c r="AI156" s="129">
        <v>2</v>
      </c>
      <c r="AJ156" s="129">
        <v>1</v>
      </c>
      <c r="AK156" s="129">
        <v>3</v>
      </c>
      <c r="AL156" s="129">
        <v>2</v>
      </c>
      <c r="AM156" s="129">
        <v>3</v>
      </c>
      <c r="AN156" s="129">
        <v>3</v>
      </c>
      <c r="AO156" s="129">
        <v>4</v>
      </c>
      <c r="AP156" s="274">
        <v>98</v>
      </c>
      <c r="AQ156" s="26">
        <f t="shared" si="14"/>
        <v>48</v>
      </c>
    </row>
    <row r="157" spans="1:43" ht="16" x14ac:dyDescent="0.2">
      <c r="A157" s="132" t="s">
        <v>467</v>
      </c>
      <c r="B157" s="125">
        <v>3</v>
      </c>
      <c r="C157" s="126">
        <v>3</v>
      </c>
      <c r="D157" s="126">
        <v>1</v>
      </c>
      <c r="E157" s="126">
        <v>1</v>
      </c>
      <c r="F157" s="126">
        <v>3</v>
      </c>
      <c r="G157" s="126">
        <v>1</v>
      </c>
      <c r="H157" s="126">
        <v>2</v>
      </c>
      <c r="I157" s="126">
        <v>3</v>
      </c>
      <c r="J157" s="126">
        <v>1</v>
      </c>
      <c r="K157" s="126">
        <v>1</v>
      </c>
      <c r="L157" s="126">
        <v>3</v>
      </c>
      <c r="M157" s="126">
        <v>1</v>
      </c>
      <c r="N157" s="126">
        <v>1</v>
      </c>
      <c r="O157" s="126">
        <v>1</v>
      </c>
      <c r="P157" s="126">
        <v>3</v>
      </c>
      <c r="Q157" s="126">
        <v>3</v>
      </c>
      <c r="R157" s="126">
        <v>2</v>
      </c>
      <c r="S157" s="126">
        <v>1</v>
      </c>
      <c r="T157" s="126">
        <v>3</v>
      </c>
      <c r="U157" s="126">
        <v>3</v>
      </c>
      <c r="V157" s="126">
        <v>3</v>
      </c>
      <c r="W157" s="126">
        <v>3</v>
      </c>
      <c r="X157" s="126">
        <v>3</v>
      </c>
      <c r="Y157" s="126">
        <v>1</v>
      </c>
      <c r="Z157" s="126">
        <v>1</v>
      </c>
      <c r="AA157" s="126">
        <v>3</v>
      </c>
      <c r="AB157" s="126">
        <v>3</v>
      </c>
      <c r="AC157" s="126">
        <v>1</v>
      </c>
      <c r="AD157" s="126">
        <v>3</v>
      </c>
      <c r="AE157" s="126">
        <v>3</v>
      </c>
      <c r="AF157" s="126">
        <v>1</v>
      </c>
      <c r="AG157" s="126">
        <v>2</v>
      </c>
      <c r="AH157" s="126">
        <v>3</v>
      </c>
      <c r="AI157" s="126">
        <v>2</v>
      </c>
      <c r="AJ157" s="126">
        <v>1</v>
      </c>
      <c r="AK157" s="126">
        <v>3</v>
      </c>
      <c r="AL157" s="126">
        <v>1</v>
      </c>
      <c r="AM157" s="126">
        <v>1</v>
      </c>
      <c r="AN157" s="126">
        <v>3</v>
      </c>
      <c r="AO157" s="126">
        <v>3</v>
      </c>
      <c r="AP157" s="203">
        <v>84</v>
      </c>
      <c r="AQ157" s="26">
        <f t="shared" si="14"/>
        <v>44</v>
      </c>
    </row>
    <row r="158" spans="1:43" ht="16" x14ac:dyDescent="0.2">
      <c r="A158" s="132" t="s">
        <v>468</v>
      </c>
      <c r="B158" s="125">
        <v>2</v>
      </c>
      <c r="C158" s="126">
        <v>2</v>
      </c>
      <c r="D158" s="126">
        <v>1</v>
      </c>
      <c r="E158" s="126">
        <v>1</v>
      </c>
      <c r="F158" s="126">
        <v>3</v>
      </c>
      <c r="G158" s="126">
        <v>1</v>
      </c>
      <c r="H158" s="126">
        <v>3</v>
      </c>
      <c r="I158" s="126">
        <v>2</v>
      </c>
      <c r="J158" s="126">
        <v>1</v>
      </c>
      <c r="K158" s="126">
        <v>2</v>
      </c>
      <c r="L158" s="126">
        <v>2</v>
      </c>
      <c r="M158" s="126">
        <v>2</v>
      </c>
      <c r="N158" s="126">
        <v>1</v>
      </c>
      <c r="O158" s="126">
        <v>2</v>
      </c>
      <c r="P158" s="126">
        <v>3</v>
      </c>
      <c r="Q158" s="126">
        <v>3</v>
      </c>
      <c r="R158" s="126">
        <v>2</v>
      </c>
      <c r="S158" s="126">
        <v>1</v>
      </c>
      <c r="T158" s="126">
        <v>2</v>
      </c>
      <c r="U158" s="126">
        <v>3</v>
      </c>
      <c r="V158" s="126">
        <v>2</v>
      </c>
      <c r="W158" s="126">
        <v>3</v>
      </c>
      <c r="X158" s="126">
        <v>2</v>
      </c>
      <c r="Y158" s="126">
        <v>2</v>
      </c>
      <c r="Z158" s="126">
        <v>2</v>
      </c>
      <c r="AA158" s="126">
        <v>2</v>
      </c>
      <c r="AB158" s="126">
        <v>2</v>
      </c>
      <c r="AC158" s="126">
        <v>3</v>
      </c>
      <c r="AD158" s="126">
        <v>2</v>
      </c>
      <c r="AE158" s="126">
        <v>2</v>
      </c>
      <c r="AF158" s="126">
        <v>1</v>
      </c>
      <c r="AG158" s="126">
        <v>3</v>
      </c>
      <c r="AH158" s="126">
        <v>3</v>
      </c>
      <c r="AI158" s="126">
        <v>3</v>
      </c>
      <c r="AJ158" s="126">
        <v>2</v>
      </c>
      <c r="AK158" s="126">
        <v>3</v>
      </c>
      <c r="AL158" s="126">
        <v>2</v>
      </c>
      <c r="AM158" s="126">
        <v>2</v>
      </c>
      <c r="AN158" s="126">
        <v>3</v>
      </c>
      <c r="AO158" s="126">
        <v>3</v>
      </c>
      <c r="AP158" s="203">
        <v>86</v>
      </c>
      <c r="AQ158" s="26">
        <f t="shared" si="14"/>
        <v>47</v>
      </c>
    </row>
    <row r="159" spans="1:43" ht="16" x14ac:dyDescent="0.2">
      <c r="A159" s="132" t="s">
        <v>469</v>
      </c>
      <c r="B159" s="125">
        <v>2</v>
      </c>
      <c r="C159" s="126">
        <v>2</v>
      </c>
      <c r="D159" s="126">
        <v>2</v>
      </c>
      <c r="E159" s="126">
        <v>2</v>
      </c>
      <c r="F159" s="126">
        <v>2</v>
      </c>
      <c r="G159" s="126">
        <v>2</v>
      </c>
      <c r="H159" s="126">
        <v>2</v>
      </c>
      <c r="I159" s="126">
        <v>2</v>
      </c>
      <c r="J159" s="126">
        <v>2</v>
      </c>
      <c r="K159" s="126">
        <v>2</v>
      </c>
      <c r="L159" s="126">
        <v>2</v>
      </c>
      <c r="M159" s="126">
        <v>2</v>
      </c>
      <c r="N159" s="126">
        <v>1</v>
      </c>
      <c r="O159" s="126">
        <v>2</v>
      </c>
      <c r="P159" s="126">
        <v>2</v>
      </c>
      <c r="Q159" s="126">
        <v>2</v>
      </c>
      <c r="R159" s="126">
        <v>2</v>
      </c>
      <c r="S159" s="126">
        <v>1</v>
      </c>
      <c r="T159" s="126">
        <v>2</v>
      </c>
      <c r="U159" s="126">
        <v>2</v>
      </c>
      <c r="V159" s="126">
        <v>2</v>
      </c>
      <c r="W159" s="126">
        <v>2</v>
      </c>
      <c r="X159" s="126">
        <v>2</v>
      </c>
      <c r="Y159" s="126">
        <v>2</v>
      </c>
      <c r="Z159" s="126">
        <v>1</v>
      </c>
      <c r="AA159" s="126">
        <v>2</v>
      </c>
      <c r="AB159" s="126">
        <v>2</v>
      </c>
      <c r="AC159" s="126">
        <v>1</v>
      </c>
      <c r="AD159" s="126">
        <v>2</v>
      </c>
      <c r="AE159" s="126">
        <v>2</v>
      </c>
      <c r="AF159" s="126">
        <v>2</v>
      </c>
      <c r="AG159" s="126">
        <v>2</v>
      </c>
      <c r="AH159" s="126">
        <v>2</v>
      </c>
      <c r="AI159" s="126">
        <v>3</v>
      </c>
      <c r="AJ159" s="126">
        <v>2</v>
      </c>
      <c r="AK159" s="126">
        <v>2</v>
      </c>
      <c r="AL159" s="126">
        <v>2</v>
      </c>
      <c r="AM159" s="126">
        <v>1</v>
      </c>
      <c r="AN159" s="126">
        <v>2</v>
      </c>
      <c r="AO159" s="126">
        <v>2</v>
      </c>
      <c r="AP159" s="203">
        <v>76</v>
      </c>
      <c r="AQ159" s="26">
        <f t="shared" si="14"/>
        <v>38</v>
      </c>
    </row>
    <row r="160" spans="1:43" ht="16" x14ac:dyDescent="0.2">
      <c r="A160" s="132" t="s">
        <v>470</v>
      </c>
      <c r="B160" s="128">
        <v>2</v>
      </c>
      <c r="C160" s="129">
        <v>2</v>
      </c>
      <c r="D160" s="129">
        <v>1</v>
      </c>
      <c r="E160" s="129">
        <v>1</v>
      </c>
      <c r="F160" s="129">
        <v>2</v>
      </c>
      <c r="G160" s="129">
        <v>1</v>
      </c>
      <c r="H160" s="129">
        <v>2</v>
      </c>
      <c r="I160" s="129">
        <v>2</v>
      </c>
      <c r="J160" s="129">
        <v>2</v>
      </c>
      <c r="K160" s="129">
        <v>1</v>
      </c>
      <c r="L160" s="129">
        <v>2</v>
      </c>
      <c r="M160" s="129">
        <v>2</v>
      </c>
      <c r="N160" s="129">
        <v>1</v>
      </c>
      <c r="O160" s="129">
        <v>2</v>
      </c>
      <c r="P160" s="129">
        <v>2</v>
      </c>
      <c r="Q160" s="129">
        <v>2</v>
      </c>
      <c r="R160" s="129">
        <v>2</v>
      </c>
      <c r="S160" s="129">
        <v>1</v>
      </c>
      <c r="T160" s="129">
        <v>2</v>
      </c>
      <c r="U160" s="129">
        <v>3</v>
      </c>
      <c r="V160" s="129">
        <v>2</v>
      </c>
      <c r="W160" s="129">
        <v>2</v>
      </c>
      <c r="X160" s="129">
        <v>3</v>
      </c>
      <c r="Y160" s="129">
        <v>1</v>
      </c>
      <c r="Z160" s="129">
        <v>1</v>
      </c>
      <c r="AA160" s="129">
        <v>2</v>
      </c>
      <c r="AB160" s="129">
        <v>2</v>
      </c>
      <c r="AC160" s="129">
        <v>1</v>
      </c>
      <c r="AD160" s="129">
        <v>2</v>
      </c>
      <c r="AE160" s="129">
        <v>3</v>
      </c>
      <c r="AF160" s="129">
        <v>1</v>
      </c>
      <c r="AG160" s="129">
        <v>2</v>
      </c>
      <c r="AH160" s="129">
        <v>2</v>
      </c>
      <c r="AI160" s="129">
        <v>2</v>
      </c>
      <c r="AJ160" s="129">
        <v>2</v>
      </c>
      <c r="AK160" s="129">
        <v>2</v>
      </c>
      <c r="AL160" s="129">
        <v>1</v>
      </c>
      <c r="AM160" s="129">
        <v>2</v>
      </c>
      <c r="AN160" s="129">
        <v>2</v>
      </c>
      <c r="AO160" s="129">
        <v>2</v>
      </c>
      <c r="AP160" s="274">
        <v>72</v>
      </c>
      <c r="AQ160" s="26">
        <f t="shared" si="14"/>
        <v>37</v>
      </c>
    </row>
    <row r="161" spans="1:43" ht="16" x14ac:dyDescent="0.2">
      <c r="A161" s="132" t="s">
        <v>471</v>
      </c>
      <c r="B161" s="128">
        <v>2</v>
      </c>
      <c r="C161" s="129">
        <v>2</v>
      </c>
      <c r="D161" s="129">
        <v>1</v>
      </c>
      <c r="E161" s="129">
        <v>1</v>
      </c>
      <c r="F161" s="129">
        <v>3</v>
      </c>
      <c r="G161" s="129">
        <v>1</v>
      </c>
      <c r="H161" s="129">
        <v>1</v>
      </c>
      <c r="I161" s="129">
        <v>3</v>
      </c>
      <c r="J161" s="129">
        <v>1</v>
      </c>
      <c r="K161" s="129">
        <v>1</v>
      </c>
      <c r="L161" s="129">
        <v>3</v>
      </c>
      <c r="M161" s="129">
        <v>2</v>
      </c>
      <c r="N161" s="129">
        <v>1</v>
      </c>
      <c r="O161" s="129">
        <v>1</v>
      </c>
      <c r="P161" s="129">
        <v>3</v>
      </c>
      <c r="Q161" s="129">
        <v>3</v>
      </c>
      <c r="R161" s="129">
        <v>1</v>
      </c>
      <c r="S161" s="129">
        <v>1</v>
      </c>
      <c r="T161" s="129">
        <v>3</v>
      </c>
      <c r="U161" s="129">
        <v>3</v>
      </c>
      <c r="V161" s="129">
        <v>3</v>
      </c>
      <c r="W161" s="129">
        <v>2</v>
      </c>
      <c r="X161" s="129">
        <v>3</v>
      </c>
      <c r="Y161" s="129">
        <v>1</v>
      </c>
      <c r="Z161" s="129">
        <v>1</v>
      </c>
      <c r="AA161" s="129">
        <v>3</v>
      </c>
      <c r="AB161" s="129">
        <v>3</v>
      </c>
      <c r="AC161" s="129">
        <v>1</v>
      </c>
      <c r="AD161" s="129">
        <v>1</v>
      </c>
      <c r="AE161" s="129">
        <v>3</v>
      </c>
      <c r="AF161" s="129">
        <v>1</v>
      </c>
      <c r="AG161" s="129">
        <v>2</v>
      </c>
      <c r="AH161" s="129">
        <v>3</v>
      </c>
      <c r="AI161" s="129">
        <v>3</v>
      </c>
      <c r="AJ161" s="129">
        <v>1</v>
      </c>
      <c r="AK161" s="129">
        <v>3</v>
      </c>
      <c r="AL161" s="129">
        <v>1</v>
      </c>
      <c r="AM161" s="129">
        <v>1</v>
      </c>
      <c r="AN161" s="129">
        <v>3</v>
      </c>
      <c r="AO161" s="129">
        <v>2</v>
      </c>
      <c r="AP161" s="274">
        <v>78</v>
      </c>
      <c r="AQ161" s="26">
        <f t="shared" si="14"/>
        <v>41</v>
      </c>
    </row>
    <row r="162" spans="1:43" ht="16" x14ac:dyDescent="0.2">
      <c r="A162" s="132" t="s">
        <v>472</v>
      </c>
      <c r="B162" s="128">
        <v>3</v>
      </c>
      <c r="C162" s="129">
        <v>3</v>
      </c>
      <c r="D162" s="129">
        <v>1</v>
      </c>
      <c r="E162" s="129">
        <v>1</v>
      </c>
      <c r="F162" s="129">
        <v>4</v>
      </c>
      <c r="G162" s="129">
        <v>1</v>
      </c>
      <c r="H162" s="129">
        <v>1</v>
      </c>
      <c r="I162" s="129">
        <v>4</v>
      </c>
      <c r="J162" s="129">
        <v>1</v>
      </c>
      <c r="K162" s="129">
        <v>1</v>
      </c>
      <c r="L162" s="129">
        <v>3</v>
      </c>
      <c r="M162" s="129">
        <v>1</v>
      </c>
      <c r="N162" s="129">
        <v>1</v>
      </c>
      <c r="O162" s="129">
        <v>1</v>
      </c>
      <c r="P162" s="129">
        <v>3</v>
      </c>
      <c r="Q162" s="129">
        <v>3</v>
      </c>
      <c r="R162" s="129">
        <v>1</v>
      </c>
      <c r="S162" s="129">
        <v>1</v>
      </c>
      <c r="T162" s="129">
        <v>3</v>
      </c>
      <c r="U162" s="129">
        <v>3</v>
      </c>
      <c r="V162" s="129">
        <v>4</v>
      </c>
      <c r="W162" s="129">
        <v>2</v>
      </c>
      <c r="X162" s="129">
        <v>3</v>
      </c>
      <c r="Y162" s="129">
        <v>1</v>
      </c>
      <c r="Z162" s="129">
        <v>1</v>
      </c>
      <c r="AA162" s="129">
        <v>3</v>
      </c>
      <c r="AB162" s="129">
        <v>2</v>
      </c>
      <c r="AC162" s="129">
        <v>1</v>
      </c>
      <c r="AD162" s="129">
        <v>1</v>
      </c>
      <c r="AE162" s="129">
        <v>3</v>
      </c>
      <c r="AF162" s="129">
        <v>1</v>
      </c>
      <c r="AG162" s="129">
        <v>1</v>
      </c>
      <c r="AH162" s="129">
        <v>3</v>
      </c>
      <c r="AI162" s="129">
        <v>3</v>
      </c>
      <c r="AJ162" s="129">
        <v>1</v>
      </c>
      <c r="AK162" s="129">
        <v>3</v>
      </c>
      <c r="AL162" s="129">
        <v>1</v>
      </c>
      <c r="AM162" s="129">
        <v>1</v>
      </c>
      <c r="AN162" s="129">
        <v>3</v>
      </c>
      <c r="AO162" s="129">
        <v>1</v>
      </c>
      <c r="AP162" s="274">
        <v>79</v>
      </c>
      <c r="AQ162" s="26">
        <f t="shared" si="14"/>
        <v>39</v>
      </c>
    </row>
    <row r="163" spans="1:43" ht="16" x14ac:dyDescent="0.2">
      <c r="A163" s="132" t="s">
        <v>473</v>
      </c>
      <c r="B163" s="128">
        <v>4</v>
      </c>
      <c r="C163" s="129">
        <v>4</v>
      </c>
      <c r="D163" s="129">
        <v>1</v>
      </c>
      <c r="E163" s="129">
        <v>1</v>
      </c>
      <c r="F163" s="129">
        <v>4</v>
      </c>
      <c r="G163" s="129">
        <v>1</v>
      </c>
      <c r="H163" s="129">
        <v>1</v>
      </c>
      <c r="I163" s="129">
        <v>4</v>
      </c>
      <c r="J163" s="129">
        <v>1</v>
      </c>
      <c r="K163" s="129">
        <v>1</v>
      </c>
      <c r="L163" s="129">
        <v>4</v>
      </c>
      <c r="M163" s="129">
        <v>1</v>
      </c>
      <c r="N163" s="129">
        <v>1</v>
      </c>
      <c r="O163" s="129">
        <v>1</v>
      </c>
      <c r="P163" s="129">
        <v>4</v>
      </c>
      <c r="Q163" s="129">
        <v>4</v>
      </c>
      <c r="R163" s="129">
        <v>1</v>
      </c>
      <c r="S163" s="129">
        <v>1</v>
      </c>
      <c r="T163" s="129">
        <v>3</v>
      </c>
      <c r="U163" s="129">
        <v>4</v>
      </c>
      <c r="V163" s="129">
        <v>3</v>
      </c>
      <c r="W163" s="129">
        <v>2</v>
      </c>
      <c r="X163" s="129">
        <v>3</v>
      </c>
      <c r="Y163" s="129">
        <v>1</v>
      </c>
      <c r="Z163" s="129">
        <v>1</v>
      </c>
      <c r="AA163" s="129">
        <v>3</v>
      </c>
      <c r="AB163" s="129">
        <v>3</v>
      </c>
      <c r="AC163" s="129">
        <v>1</v>
      </c>
      <c r="AD163" s="129">
        <v>1</v>
      </c>
      <c r="AE163" s="129">
        <v>3</v>
      </c>
      <c r="AF163" s="129">
        <v>1</v>
      </c>
      <c r="AG163" s="129">
        <v>2</v>
      </c>
      <c r="AH163" s="129">
        <v>3</v>
      </c>
      <c r="AI163" s="129">
        <v>3</v>
      </c>
      <c r="AJ163" s="129">
        <v>1</v>
      </c>
      <c r="AK163" s="129">
        <v>3</v>
      </c>
      <c r="AL163" s="129">
        <v>1</v>
      </c>
      <c r="AM163" s="129">
        <v>1</v>
      </c>
      <c r="AN163" s="129">
        <v>3</v>
      </c>
      <c r="AO163" s="129">
        <v>1</v>
      </c>
      <c r="AP163" s="274">
        <v>86</v>
      </c>
      <c r="AQ163" s="26">
        <f t="shared" si="14"/>
        <v>40</v>
      </c>
    </row>
    <row r="164" spans="1:43" ht="16" x14ac:dyDescent="0.2">
      <c r="A164" s="132" t="s">
        <v>474</v>
      </c>
      <c r="B164" s="128">
        <v>3</v>
      </c>
      <c r="C164" s="129">
        <v>2</v>
      </c>
      <c r="D164" s="129">
        <v>1</v>
      </c>
      <c r="E164" s="129">
        <v>1</v>
      </c>
      <c r="F164" s="129">
        <v>3</v>
      </c>
      <c r="G164" s="129">
        <v>1</v>
      </c>
      <c r="H164" s="129">
        <v>2</v>
      </c>
      <c r="I164" s="129">
        <v>2</v>
      </c>
      <c r="J164" s="129">
        <v>1</v>
      </c>
      <c r="K164" s="129">
        <v>1</v>
      </c>
      <c r="L164" s="129">
        <v>3</v>
      </c>
      <c r="M164" s="129">
        <v>2</v>
      </c>
      <c r="N164" s="129">
        <v>1</v>
      </c>
      <c r="O164" s="129">
        <v>2</v>
      </c>
      <c r="P164" s="129">
        <v>3</v>
      </c>
      <c r="Q164" s="129">
        <v>3</v>
      </c>
      <c r="R164" s="129">
        <v>3</v>
      </c>
      <c r="S164" s="129">
        <v>1</v>
      </c>
      <c r="T164" s="129">
        <v>3</v>
      </c>
      <c r="U164" s="129">
        <v>3</v>
      </c>
      <c r="V164" s="129">
        <v>2</v>
      </c>
      <c r="W164" s="129">
        <v>3</v>
      </c>
      <c r="X164" s="129">
        <v>3</v>
      </c>
      <c r="Y164" s="129">
        <v>1</v>
      </c>
      <c r="Z164" s="129">
        <v>1</v>
      </c>
      <c r="AA164" s="129">
        <v>3</v>
      </c>
      <c r="AB164" s="129">
        <v>2</v>
      </c>
      <c r="AC164" s="129">
        <v>2</v>
      </c>
      <c r="AD164" s="129">
        <v>2</v>
      </c>
      <c r="AE164" s="129">
        <v>3</v>
      </c>
      <c r="AF164" s="129">
        <v>2</v>
      </c>
      <c r="AG164" s="129">
        <v>2</v>
      </c>
      <c r="AH164" s="129">
        <v>3</v>
      </c>
      <c r="AI164" s="129">
        <v>2</v>
      </c>
      <c r="AJ164" s="129">
        <v>1</v>
      </c>
      <c r="AK164" s="129">
        <v>3</v>
      </c>
      <c r="AL164" s="129">
        <v>2</v>
      </c>
      <c r="AM164" s="129">
        <v>3</v>
      </c>
      <c r="AN164" s="129">
        <v>3</v>
      </c>
      <c r="AO164" s="129">
        <v>4</v>
      </c>
      <c r="AP164" s="274">
        <v>88</v>
      </c>
      <c r="AQ164" s="26">
        <f t="shared" si="14"/>
        <v>47</v>
      </c>
    </row>
    <row r="165" spans="1:43" ht="16" x14ac:dyDescent="0.2">
      <c r="A165" s="175" t="s">
        <v>475</v>
      </c>
      <c r="B165" s="128">
        <v>3</v>
      </c>
      <c r="C165" s="129">
        <v>2</v>
      </c>
      <c r="D165" s="129">
        <v>1</v>
      </c>
      <c r="E165" s="129">
        <v>1</v>
      </c>
      <c r="F165" s="129">
        <v>3</v>
      </c>
      <c r="G165" s="129">
        <v>1</v>
      </c>
      <c r="H165" s="129">
        <v>1</v>
      </c>
      <c r="I165" s="129">
        <v>3</v>
      </c>
      <c r="J165" s="129">
        <v>2</v>
      </c>
      <c r="K165" s="129">
        <v>1</v>
      </c>
      <c r="L165" s="129">
        <v>2</v>
      </c>
      <c r="M165" s="129">
        <v>2</v>
      </c>
      <c r="N165" s="129">
        <v>1</v>
      </c>
      <c r="O165" s="129">
        <v>1</v>
      </c>
      <c r="P165" s="129">
        <v>3</v>
      </c>
      <c r="Q165" s="129">
        <v>3</v>
      </c>
      <c r="R165" s="129">
        <v>1</v>
      </c>
      <c r="S165" s="129">
        <v>1</v>
      </c>
      <c r="T165" s="129">
        <v>3</v>
      </c>
      <c r="U165" s="129">
        <v>2</v>
      </c>
      <c r="V165" s="129">
        <v>3</v>
      </c>
      <c r="W165" s="129">
        <v>2</v>
      </c>
      <c r="X165" s="129">
        <v>2</v>
      </c>
      <c r="Y165" s="129">
        <v>3</v>
      </c>
      <c r="Z165" s="129">
        <v>1</v>
      </c>
      <c r="AA165" s="129">
        <v>2</v>
      </c>
      <c r="AB165" s="129">
        <v>2</v>
      </c>
      <c r="AC165" s="129">
        <v>1</v>
      </c>
      <c r="AD165" s="129">
        <v>3</v>
      </c>
      <c r="AE165" s="129">
        <v>2</v>
      </c>
      <c r="AF165" s="129">
        <v>1</v>
      </c>
      <c r="AG165" s="129">
        <v>3</v>
      </c>
      <c r="AH165" s="129">
        <v>2</v>
      </c>
      <c r="AI165" s="129">
        <v>2</v>
      </c>
      <c r="AJ165" s="129">
        <v>1</v>
      </c>
      <c r="AK165" s="129">
        <v>2</v>
      </c>
      <c r="AL165" s="129">
        <v>2</v>
      </c>
      <c r="AM165" s="129">
        <v>2</v>
      </c>
      <c r="AN165" s="129">
        <v>2</v>
      </c>
      <c r="AO165" s="129">
        <v>3</v>
      </c>
      <c r="AP165" s="274">
        <v>78</v>
      </c>
      <c r="AQ165" s="26">
        <f t="shared" si="14"/>
        <v>41</v>
      </c>
    </row>
    <row r="166" spans="1:43" ht="16" x14ac:dyDescent="0.2">
      <c r="A166" s="168" t="s">
        <v>476</v>
      </c>
      <c r="B166" s="128">
        <v>4</v>
      </c>
      <c r="C166" s="129">
        <v>4</v>
      </c>
      <c r="D166" s="129">
        <v>1</v>
      </c>
      <c r="E166" s="129">
        <v>1</v>
      </c>
      <c r="F166" s="129">
        <v>4</v>
      </c>
      <c r="G166" s="129">
        <v>1</v>
      </c>
      <c r="H166" s="129">
        <v>1</v>
      </c>
      <c r="I166" s="129">
        <v>4</v>
      </c>
      <c r="J166" s="129">
        <v>1</v>
      </c>
      <c r="K166" s="129">
        <v>1</v>
      </c>
      <c r="L166" s="129">
        <v>3</v>
      </c>
      <c r="M166" s="129">
        <v>1</v>
      </c>
      <c r="N166" s="129">
        <v>1</v>
      </c>
      <c r="O166" s="129">
        <v>1</v>
      </c>
      <c r="P166" s="129">
        <v>4</v>
      </c>
      <c r="Q166" s="129">
        <v>4</v>
      </c>
      <c r="R166" s="129">
        <v>1</v>
      </c>
      <c r="S166" s="129">
        <v>1</v>
      </c>
      <c r="T166" s="129">
        <v>4</v>
      </c>
      <c r="U166" s="129">
        <v>3</v>
      </c>
      <c r="V166" s="129">
        <v>3</v>
      </c>
      <c r="W166" s="129">
        <v>1</v>
      </c>
      <c r="X166" s="129">
        <v>3</v>
      </c>
      <c r="Y166" s="129">
        <v>1</v>
      </c>
      <c r="Z166" s="129">
        <v>1</v>
      </c>
      <c r="AA166" s="129">
        <v>3</v>
      </c>
      <c r="AB166" s="129">
        <v>3</v>
      </c>
      <c r="AC166" s="129">
        <v>1</v>
      </c>
      <c r="AD166" s="129">
        <v>1</v>
      </c>
      <c r="AE166" s="129">
        <v>3</v>
      </c>
      <c r="AF166" s="129">
        <v>1</v>
      </c>
      <c r="AG166" s="129">
        <v>1</v>
      </c>
      <c r="AH166" s="129">
        <v>4</v>
      </c>
      <c r="AI166" s="129">
        <v>3</v>
      </c>
      <c r="AJ166" s="129">
        <v>1</v>
      </c>
      <c r="AK166" s="129">
        <v>4</v>
      </c>
      <c r="AL166" s="129">
        <v>2</v>
      </c>
      <c r="AM166" s="129">
        <v>1</v>
      </c>
      <c r="AN166" s="129">
        <v>4</v>
      </c>
      <c r="AO166" s="129">
        <v>1</v>
      </c>
      <c r="AP166" s="274">
        <v>87</v>
      </c>
      <c r="AQ166" s="26">
        <f t="shared" si="14"/>
        <v>42</v>
      </c>
    </row>
    <row r="167" spans="1:43" ht="16" x14ac:dyDescent="0.2">
      <c r="A167" s="168" t="s">
        <v>477</v>
      </c>
      <c r="B167" s="128">
        <v>4</v>
      </c>
      <c r="C167" s="129">
        <v>4</v>
      </c>
      <c r="D167" s="129">
        <v>1</v>
      </c>
      <c r="E167" s="129">
        <v>1</v>
      </c>
      <c r="F167" s="129">
        <v>4</v>
      </c>
      <c r="G167" s="129">
        <v>1</v>
      </c>
      <c r="H167" s="129">
        <v>1</v>
      </c>
      <c r="I167" s="129">
        <v>4</v>
      </c>
      <c r="J167" s="129">
        <v>1</v>
      </c>
      <c r="K167" s="129">
        <v>1</v>
      </c>
      <c r="L167" s="129">
        <v>4</v>
      </c>
      <c r="M167" s="129">
        <v>1</v>
      </c>
      <c r="N167" s="129">
        <v>1</v>
      </c>
      <c r="O167" s="129">
        <v>1</v>
      </c>
      <c r="P167" s="129">
        <v>4</v>
      </c>
      <c r="Q167" s="129">
        <v>4</v>
      </c>
      <c r="R167" s="129">
        <v>1</v>
      </c>
      <c r="S167" s="129">
        <v>1</v>
      </c>
      <c r="T167" s="129">
        <v>4</v>
      </c>
      <c r="U167" s="129">
        <v>4</v>
      </c>
      <c r="V167" s="129">
        <v>4</v>
      </c>
      <c r="W167" s="129">
        <v>1</v>
      </c>
      <c r="X167" s="129">
        <v>4</v>
      </c>
      <c r="Y167" s="129">
        <v>1</v>
      </c>
      <c r="Z167" s="129">
        <v>1</v>
      </c>
      <c r="AA167" s="129">
        <v>4</v>
      </c>
      <c r="AB167" s="129">
        <v>4</v>
      </c>
      <c r="AC167" s="129">
        <v>1</v>
      </c>
      <c r="AD167" s="129">
        <v>1</v>
      </c>
      <c r="AE167" s="129">
        <v>4</v>
      </c>
      <c r="AF167" s="129">
        <v>1</v>
      </c>
      <c r="AG167" s="129">
        <v>2</v>
      </c>
      <c r="AH167" s="129">
        <v>4</v>
      </c>
      <c r="AI167" s="129">
        <v>3</v>
      </c>
      <c r="AJ167" s="129">
        <v>1</v>
      </c>
      <c r="AK167" s="129">
        <v>4</v>
      </c>
      <c r="AL167" s="129">
        <v>1</v>
      </c>
      <c r="AM167" s="129">
        <v>1</v>
      </c>
      <c r="AN167" s="129">
        <v>4</v>
      </c>
      <c r="AO167" s="129">
        <v>2</v>
      </c>
      <c r="AP167" s="274">
        <v>95</v>
      </c>
      <c r="AQ167" s="26">
        <f t="shared" si="14"/>
        <v>48</v>
      </c>
    </row>
    <row r="168" spans="1:43" ht="16" x14ac:dyDescent="0.2">
      <c r="A168" s="168" t="s">
        <v>478</v>
      </c>
      <c r="B168" s="128">
        <v>3</v>
      </c>
      <c r="C168" s="129">
        <v>3</v>
      </c>
      <c r="D168" s="129">
        <v>1</v>
      </c>
      <c r="E168" s="129">
        <v>1</v>
      </c>
      <c r="F168" s="129">
        <v>3</v>
      </c>
      <c r="G168" s="129">
        <v>2</v>
      </c>
      <c r="H168" s="129">
        <v>2</v>
      </c>
      <c r="I168" s="129">
        <v>3</v>
      </c>
      <c r="J168" s="129">
        <v>1</v>
      </c>
      <c r="K168" s="129">
        <v>2</v>
      </c>
      <c r="L168" s="129">
        <v>3</v>
      </c>
      <c r="M168" s="129">
        <v>1</v>
      </c>
      <c r="N168" s="129">
        <v>1</v>
      </c>
      <c r="O168" s="129">
        <v>1</v>
      </c>
      <c r="P168" s="129">
        <v>2</v>
      </c>
      <c r="Q168" s="129">
        <v>3</v>
      </c>
      <c r="R168" s="129">
        <v>1</v>
      </c>
      <c r="S168" s="129">
        <v>1</v>
      </c>
      <c r="T168" s="129">
        <v>2</v>
      </c>
      <c r="U168" s="129">
        <v>2</v>
      </c>
      <c r="V168" s="129">
        <v>3</v>
      </c>
      <c r="W168" s="129">
        <v>1</v>
      </c>
      <c r="X168" s="129">
        <v>3</v>
      </c>
      <c r="Y168" s="129">
        <v>2</v>
      </c>
      <c r="Z168" s="129">
        <v>1</v>
      </c>
      <c r="AA168" s="129">
        <v>2</v>
      </c>
      <c r="AB168" s="129">
        <v>3</v>
      </c>
      <c r="AC168" s="129">
        <v>1</v>
      </c>
      <c r="AD168" s="129">
        <v>2</v>
      </c>
      <c r="AE168" s="129">
        <v>2</v>
      </c>
      <c r="AF168" s="129">
        <v>1</v>
      </c>
      <c r="AG168" s="129">
        <v>2</v>
      </c>
      <c r="AH168" s="129">
        <v>3</v>
      </c>
      <c r="AI168" s="129">
        <v>2</v>
      </c>
      <c r="AJ168" s="129">
        <v>1</v>
      </c>
      <c r="AK168" s="129">
        <v>3</v>
      </c>
      <c r="AL168" s="129">
        <v>2</v>
      </c>
      <c r="AM168" s="129">
        <v>2</v>
      </c>
      <c r="AN168" s="129">
        <v>3</v>
      </c>
      <c r="AO168" s="129">
        <v>2</v>
      </c>
      <c r="AP168" s="274">
        <v>79</v>
      </c>
      <c r="AQ168" s="26">
        <f t="shared" si="14"/>
        <v>41</v>
      </c>
    </row>
    <row r="169" spans="1:43" ht="16" x14ac:dyDescent="0.2">
      <c r="A169" s="168" t="s">
        <v>479</v>
      </c>
      <c r="B169" s="128">
        <v>2</v>
      </c>
      <c r="C169" s="129">
        <v>2</v>
      </c>
      <c r="D169" s="129">
        <v>2</v>
      </c>
      <c r="E169" s="129">
        <v>2</v>
      </c>
      <c r="F169" s="129">
        <v>2</v>
      </c>
      <c r="G169" s="129">
        <v>1</v>
      </c>
      <c r="H169" s="129">
        <v>3</v>
      </c>
      <c r="I169" s="129">
        <v>2</v>
      </c>
      <c r="J169" s="129">
        <v>1</v>
      </c>
      <c r="K169" s="129">
        <v>2</v>
      </c>
      <c r="L169" s="129">
        <v>2</v>
      </c>
      <c r="M169" s="129">
        <v>2</v>
      </c>
      <c r="N169" s="129">
        <v>1</v>
      </c>
      <c r="O169" s="129">
        <v>2</v>
      </c>
      <c r="P169" s="129">
        <v>2</v>
      </c>
      <c r="Q169" s="129">
        <v>2</v>
      </c>
      <c r="R169" s="129">
        <v>3</v>
      </c>
      <c r="S169" s="129">
        <v>2</v>
      </c>
      <c r="T169" s="129">
        <v>2</v>
      </c>
      <c r="U169" s="129">
        <v>2</v>
      </c>
      <c r="V169" s="129">
        <v>2</v>
      </c>
      <c r="W169" s="129">
        <v>3</v>
      </c>
      <c r="X169" s="129">
        <v>3</v>
      </c>
      <c r="Y169" s="129">
        <v>3</v>
      </c>
      <c r="Z169" s="129">
        <v>1</v>
      </c>
      <c r="AA169" s="129">
        <v>3</v>
      </c>
      <c r="AB169" s="129">
        <v>2</v>
      </c>
      <c r="AC169" s="129">
        <v>2</v>
      </c>
      <c r="AD169" s="129">
        <v>3</v>
      </c>
      <c r="AE169" s="129">
        <v>2</v>
      </c>
      <c r="AF169" s="129">
        <v>1</v>
      </c>
      <c r="AG169" s="129">
        <v>2</v>
      </c>
      <c r="AH169" s="129">
        <v>2</v>
      </c>
      <c r="AI169" s="129">
        <v>2</v>
      </c>
      <c r="AJ169" s="129">
        <v>1</v>
      </c>
      <c r="AK169" s="129">
        <v>2</v>
      </c>
      <c r="AL169" s="129">
        <v>1</v>
      </c>
      <c r="AM169" s="129">
        <v>2</v>
      </c>
      <c r="AN169" s="129">
        <v>2</v>
      </c>
      <c r="AO169" s="129">
        <v>3</v>
      </c>
      <c r="AP169" s="274">
        <v>81</v>
      </c>
      <c r="AQ169" s="26">
        <f t="shared" si="14"/>
        <v>42</v>
      </c>
    </row>
    <row r="170" spans="1:43" ht="16" x14ac:dyDescent="0.2">
      <c r="A170" s="168" t="s">
        <v>480</v>
      </c>
      <c r="B170" s="128">
        <v>4</v>
      </c>
      <c r="C170" s="129">
        <v>3</v>
      </c>
      <c r="D170" s="129">
        <v>1</v>
      </c>
      <c r="E170" s="129">
        <v>1</v>
      </c>
      <c r="F170" s="129">
        <v>3</v>
      </c>
      <c r="G170" s="129">
        <v>1</v>
      </c>
      <c r="H170" s="129">
        <v>2</v>
      </c>
      <c r="I170" s="129">
        <v>3</v>
      </c>
      <c r="J170" s="129">
        <v>1</v>
      </c>
      <c r="K170" s="129">
        <v>1</v>
      </c>
      <c r="L170" s="129">
        <v>3</v>
      </c>
      <c r="M170" s="129">
        <v>1</v>
      </c>
      <c r="N170" s="129">
        <v>1</v>
      </c>
      <c r="O170" s="129">
        <v>2</v>
      </c>
      <c r="P170" s="129">
        <v>3</v>
      </c>
      <c r="Q170" s="129">
        <v>3</v>
      </c>
      <c r="R170" s="129">
        <v>2</v>
      </c>
      <c r="S170" s="129">
        <v>1</v>
      </c>
      <c r="T170" s="129">
        <v>3</v>
      </c>
      <c r="U170" s="129">
        <v>3</v>
      </c>
      <c r="V170" s="129">
        <v>3</v>
      </c>
      <c r="W170" s="129">
        <v>2</v>
      </c>
      <c r="X170" s="129">
        <v>3</v>
      </c>
      <c r="Y170" s="129">
        <v>2</v>
      </c>
      <c r="Z170" s="129">
        <v>1</v>
      </c>
      <c r="AA170" s="129">
        <v>3</v>
      </c>
      <c r="AB170" s="129">
        <v>2</v>
      </c>
      <c r="AC170" s="129">
        <v>1</v>
      </c>
      <c r="AD170" s="129">
        <v>1</v>
      </c>
      <c r="AE170" s="129">
        <v>3</v>
      </c>
      <c r="AF170" s="129">
        <v>1</v>
      </c>
      <c r="AG170" s="129">
        <v>2</v>
      </c>
      <c r="AH170" s="129">
        <v>3</v>
      </c>
      <c r="AI170" s="129">
        <v>2</v>
      </c>
      <c r="AJ170" s="129">
        <v>1</v>
      </c>
      <c r="AK170" s="129">
        <v>3</v>
      </c>
      <c r="AL170" s="129">
        <v>1</v>
      </c>
      <c r="AM170" s="129">
        <v>1</v>
      </c>
      <c r="AN170" s="129">
        <v>3</v>
      </c>
      <c r="AO170" s="129">
        <v>2</v>
      </c>
      <c r="AP170" s="274">
        <v>82</v>
      </c>
      <c r="AQ170" s="26">
        <f t="shared" si="14"/>
        <v>40</v>
      </c>
    </row>
    <row r="171" spans="1:43" ht="16" x14ac:dyDescent="0.2">
      <c r="A171" s="168" t="s">
        <v>481</v>
      </c>
      <c r="B171" s="128">
        <v>3</v>
      </c>
      <c r="C171" s="129">
        <v>2</v>
      </c>
      <c r="D171" s="129">
        <v>1</v>
      </c>
      <c r="E171" s="129">
        <v>1</v>
      </c>
      <c r="F171" s="129">
        <v>3</v>
      </c>
      <c r="G171" s="129">
        <v>1</v>
      </c>
      <c r="H171" s="129">
        <v>3</v>
      </c>
      <c r="I171" s="129">
        <v>3</v>
      </c>
      <c r="J171" s="129">
        <v>2</v>
      </c>
      <c r="K171" s="129">
        <v>1</v>
      </c>
      <c r="L171" s="129">
        <v>2</v>
      </c>
      <c r="M171" s="129">
        <v>3</v>
      </c>
      <c r="N171" s="129">
        <v>1</v>
      </c>
      <c r="O171" s="129">
        <v>2</v>
      </c>
      <c r="P171" s="129">
        <v>3</v>
      </c>
      <c r="Q171" s="129">
        <v>3</v>
      </c>
      <c r="R171" s="129">
        <v>3</v>
      </c>
      <c r="S171" s="129">
        <v>1</v>
      </c>
      <c r="T171" s="129">
        <v>2</v>
      </c>
      <c r="U171" s="129">
        <v>3</v>
      </c>
      <c r="V171" s="129">
        <v>3</v>
      </c>
      <c r="W171" s="129">
        <v>3</v>
      </c>
      <c r="X171" s="129">
        <v>3</v>
      </c>
      <c r="Y171" s="129">
        <v>1</v>
      </c>
      <c r="Z171" s="129">
        <v>1</v>
      </c>
      <c r="AA171" s="129">
        <v>2</v>
      </c>
      <c r="AB171" s="129">
        <v>2</v>
      </c>
      <c r="AC171" s="129">
        <v>2</v>
      </c>
      <c r="AD171" s="129">
        <v>3</v>
      </c>
      <c r="AE171" s="129">
        <v>3</v>
      </c>
      <c r="AF171" s="129">
        <v>1</v>
      </c>
      <c r="AG171" s="129">
        <v>2</v>
      </c>
      <c r="AH171" s="129">
        <v>3</v>
      </c>
      <c r="AI171" s="129">
        <v>2</v>
      </c>
      <c r="AJ171" s="129">
        <v>1</v>
      </c>
      <c r="AK171" s="129">
        <v>3</v>
      </c>
      <c r="AL171" s="129">
        <v>2</v>
      </c>
      <c r="AM171" s="129">
        <v>2</v>
      </c>
      <c r="AN171" s="129">
        <v>3</v>
      </c>
      <c r="AO171" s="129">
        <v>3</v>
      </c>
      <c r="AP171" s="274">
        <v>88</v>
      </c>
      <c r="AQ171" s="26">
        <f t="shared" si="14"/>
        <v>45</v>
      </c>
    </row>
    <row r="172" spans="1:43" ht="16" x14ac:dyDescent="0.2">
      <c r="A172" s="168" t="s">
        <v>482</v>
      </c>
      <c r="B172" s="128">
        <v>2</v>
      </c>
      <c r="C172" s="129">
        <v>3</v>
      </c>
      <c r="D172" s="129">
        <v>1</v>
      </c>
      <c r="E172" s="129">
        <v>1</v>
      </c>
      <c r="F172" s="129">
        <v>2</v>
      </c>
      <c r="G172" s="129">
        <v>1</v>
      </c>
      <c r="H172" s="129">
        <v>3</v>
      </c>
      <c r="I172" s="129">
        <v>3</v>
      </c>
      <c r="J172" s="129">
        <v>1</v>
      </c>
      <c r="K172" s="129">
        <v>1</v>
      </c>
      <c r="L172" s="129">
        <v>3</v>
      </c>
      <c r="M172" s="129">
        <v>1</v>
      </c>
      <c r="N172" s="129">
        <v>1</v>
      </c>
      <c r="O172" s="129">
        <v>1</v>
      </c>
      <c r="P172" s="129">
        <v>3</v>
      </c>
      <c r="Q172" s="129">
        <v>3</v>
      </c>
      <c r="R172" s="129">
        <v>2</v>
      </c>
      <c r="S172" s="129">
        <v>1</v>
      </c>
      <c r="T172" s="129">
        <v>3</v>
      </c>
      <c r="U172" s="129">
        <v>3</v>
      </c>
      <c r="V172" s="129">
        <v>3</v>
      </c>
      <c r="W172" s="129">
        <v>2</v>
      </c>
      <c r="X172" s="129">
        <v>3</v>
      </c>
      <c r="Y172" s="129">
        <v>2</v>
      </c>
      <c r="Z172" s="129">
        <v>1</v>
      </c>
      <c r="AA172" s="129">
        <v>2</v>
      </c>
      <c r="AB172" s="129">
        <v>2</v>
      </c>
      <c r="AC172" s="129">
        <v>1</v>
      </c>
      <c r="AD172" s="129">
        <v>1</v>
      </c>
      <c r="AE172" s="129">
        <v>3</v>
      </c>
      <c r="AF172" s="129">
        <v>1</v>
      </c>
      <c r="AG172" s="129">
        <v>2</v>
      </c>
      <c r="AH172" s="129">
        <v>2</v>
      </c>
      <c r="AI172" s="129">
        <v>2</v>
      </c>
      <c r="AJ172" s="129">
        <v>1</v>
      </c>
      <c r="AK172" s="129">
        <v>3</v>
      </c>
      <c r="AL172" s="129">
        <v>1</v>
      </c>
      <c r="AM172" s="129">
        <v>1</v>
      </c>
      <c r="AN172" s="129">
        <v>3</v>
      </c>
      <c r="AO172" s="129">
        <v>2</v>
      </c>
      <c r="AP172" s="129">
        <v>77</v>
      </c>
      <c r="AQ172" s="26">
        <f t="shared" si="14"/>
        <v>38</v>
      </c>
    </row>
    <row r="173" spans="1:43" ht="16" x14ac:dyDescent="0.2">
      <c r="A173" s="168" t="s">
        <v>483</v>
      </c>
      <c r="B173" s="128">
        <v>4</v>
      </c>
      <c r="C173" s="129">
        <v>4</v>
      </c>
      <c r="D173" s="129">
        <v>1</v>
      </c>
      <c r="E173" s="129">
        <v>1</v>
      </c>
      <c r="F173" s="129">
        <v>3</v>
      </c>
      <c r="G173" s="129">
        <v>1</v>
      </c>
      <c r="H173" s="129">
        <v>1</v>
      </c>
      <c r="I173" s="129">
        <v>4</v>
      </c>
      <c r="J173" s="129">
        <v>1</v>
      </c>
      <c r="K173" s="129">
        <v>1</v>
      </c>
      <c r="L173" s="129">
        <v>3</v>
      </c>
      <c r="M173" s="129">
        <v>1</v>
      </c>
      <c r="N173" s="129">
        <v>1</v>
      </c>
      <c r="O173" s="129">
        <v>1</v>
      </c>
      <c r="P173" s="129">
        <v>3</v>
      </c>
      <c r="Q173" s="129">
        <v>3</v>
      </c>
      <c r="R173" s="129">
        <v>1</v>
      </c>
      <c r="S173" s="129">
        <v>1</v>
      </c>
      <c r="T173" s="129">
        <v>3</v>
      </c>
      <c r="U173" s="129">
        <v>3</v>
      </c>
      <c r="V173" s="129">
        <v>3</v>
      </c>
      <c r="W173" s="129">
        <v>2</v>
      </c>
      <c r="X173" s="129">
        <v>3</v>
      </c>
      <c r="Y173" s="129">
        <v>1</v>
      </c>
      <c r="Z173" s="129">
        <v>1</v>
      </c>
      <c r="AA173" s="129">
        <v>2</v>
      </c>
      <c r="AB173" s="129">
        <v>2</v>
      </c>
      <c r="AC173" s="129">
        <v>1</v>
      </c>
      <c r="AD173" s="129">
        <v>2</v>
      </c>
      <c r="AE173" s="129">
        <v>3</v>
      </c>
      <c r="AF173" s="129">
        <v>1</v>
      </c>
      <c r="AG173" s="129">
        <v>2</v>
      </c>
      <c r="AH173" s="129">
        <v>3</v>
      </c>
      <c r="AI173" s="129">
        <v>3</v>
      </c>
      <c r="AJ173" s="129">
        <v>1</v>
      </c>
      <c r="AK173" s="129">
        <v>3</v>
      </c>
      <c r="AL173" s="129">
        <v>2</v>
      </c>
      <c r="AM173" s="129">
        <v>2</v>
      </c>
      <c r="AN173" s="129">
        <v>3</v>
      </c>
      <c r="AO173" s="129">
        <v>2</v>
      </c>
      <c r="AP173" s="274">
        <v>83</v>
      </c>
      <c r="AQ173" s="26">
        <f t="shared" si="14"/>
        <v>42</v>
      </c>
    </row>
    <row r="174" spans="1:43" ht="16" x14ac:dyDescent="0.2">
      <c r="A174" s="168" t="s">
        <v>484</v>
      </c>
      <c r="B174" s="128">
        <v>2</v>
      </c>
      <c r="C174" s="129">
        <v>3</v>
      </c>
      <c r="D174" s="129">
        <v>1</v>
      </c>
      <c r="E174" s="129">
        <v>1</v>
      </c>
      <c r="F174" s="129">
        <v>3</v>
      </c>
      <c r="G174" s="129">
        <v>1</v>
      </c>
      <c r="H174" s="129">
        <v>3</v>
      </c>
      <c r="I174" s="129">
        <v>3</v>
      </c>
      <c r="J174" s="129">
        <v>3</v>
      </c>
      <c r="K174" s="129">
        <v>1</v>
      </c>
      <c r="L174" s="129">
        <v>2</v>
      </c>
      <c r="M174" s="129">
        <v>3</v>
      </c>
      <c r="N174" s="129">
        <v>1</v>
      </c>
      <c r="O174" s="129">
        <v>2</v>
      </c>
      <c r="P174" s="129">
        <v>2</v>
      </c>
      <c r="Q174" s="129">
        <v>3</v>
      </c>
      <c r="R174" s="129">
        <v>3</v>
      </c>
      <c r="S174" s="129">
        <v>1</v>
      </c>
      <c r="T174" s="129">
        <v>2</v>
      </c>
      <c r="U174" s="129">
        <v>3</v>
      </c>
      <c r="V174" s="129">
        <v>3</v>
      </c>
      <c r="W174" s="129">
        <v>3</v>
      </c>
      <c r="X174" s="129">
        <v>2</v>
      </c>
      <c r="Y174" s="129">
        <v>1</v>
      </c>
      <c r="Z174" s="129">
        <v>1</v>
      </c>
      <c r="AA174" s="129">
        <v>3</v>
      </c>
      <c r="AB174" s="129">
        <v>2</v>
      </c>
      <c r="AC174" s="129">
        <v>2</v>
      </c>
      <c r="AD174" s="129">
        <v>2</v>
      </c>
      <c r="AE174" s="129">
        <v>3</v>
      </c>
      <c r="AF174" s="129">
        <v>2</v>
      </c>
      <c r="AG174" s="129">
        <v>3</v>
      </c>
      <c r="AH174" s="129">
        <v>2</v>
      </c>
      <c r="AI174" s="129">
        <v>3</v>
      </c>
      <c r="AJ174" s="129">
        <v>1</v>
      </c>
      <c r="AK174" s="129">
        <v>3</v>
      </c>
      <c r="AL174" s="129">
        <v>3</v>
      </c>
      <c r="AM174" s="129">
        <v>2</v>
      </c>
      <c r="AN174" s="129">
        <v>3</v>
      </c>
      <c r="AO174" s="129">
        <v>3</v>
      </c>
      <c r="AP174" s="274">
        <v>90</v>
      </c>
      <c r="AQ174" s="26">
        <f t="shared" si="14"/>
        <v>47</v>
      </c>
    </row>
    <row r="175" spans="1:43" ht="16" x14ac:dyDescent="0.2">
      <c r="A175" s="168" t="s">
        <v>485</v>
      </c>
      <c r="B175" s="128">
        <v>4</v>
      </c>
      <c r="C175" s="129">
        <v>4</v>
      </c>
      <c r="D175" s="129">
        <v>1</v>
      </c>
      <c r="E175" s="129">
        <v>1</v>
      </c>
      <c r="F175" s="129">
        <v>4</v>
      </c>
      <c r="G175" s="129">
        <v>1</v>
      </c>
      <c r="H175" s="129">
        <v>1</v>
      </c>
      <c r="I175" s="129">
        <v>3</v>
      </c>
      <c r="J175" s="129">
        <v>1</v>
      </c>
      <c r="K175" s="129">
        <v>1</v>
      </c>
      <c r="L175" s="129">
        <v>3</v>
      </c>
      <c r="M175" s="129">
        <v>1</v>
      </c>
      <c r="N175" s="129">
        <v>1</v>
      </c>
      <c r="O175" s="129">
        <v>1</v>
      </c>
      <c r="P175" s="129">
        <v>3</v>
      </c>
      <c r="Q175" s="129">
        <v>3</v>
      </c>
      <c r="R175" s="129">
        <v>1</v>
      </c>
      <c r="S175" s="129">
        <v>1</v>
      </c>
      <c r="T175" s="129">
        <v>3</v>
      </c>
      <c r="U175" s="129">
        <v>3</v>
      </c>
      <c r="V175" s="129">
        <v>3</v>
      </c>
      <c r="W175" s="129">
        <v>1</v>
      </c>
      <c r="X175" s="129">
        <v>3</v>
      </c>
      <c r="Y175" s="129">
        <v>1</v>
      </c>
      <c r="Z175" s="129">
        <v>1</v>
      </c>
      <c r="AA175" s="129">
        <v>4</v>
      </c>
      <c r="AB175" s="129">
        <v>3</v>
      </c>
      <c r="AC175" s="129">
        <v>1</v>
      </c>
      <c r="AD175" s="129">
        <v>1</v>
      </c>
      <c r="AE175" s="129">
        <v>3</v>
      </c>
      <c r="AF175" s="129">
        <v>1</v>
      </c>
      <c r="AG175" s="129">
        <v>1</v>
      </c>
      <c r="AH175" s="129">
        <v>3</v>
      </c>
      <c r="AI175" s="129">
        <v>3</v>
      </c>
      <c r="AJ175" s="129">
        <v>1</v>
      </c>
      <c r="AK175" s="129">
        <v>4</v>
      </c>
      <c r="AL175" s="129">
        <v>1</v>
      </c>
      <c r="AM175" s="129">
        <v>1</v>
      </c>
      <c r="AN175" s="129">
        <v>3</v>
      </c>
      <c r="AO175" s="129">
        <v>1</v>
      </c>
      <c r="AP175" s="274">
        <v>81</v>
      </c>
      <c r="AQ175" s="26">
        <f t="shared" si="14"/>
        <v>40</v>
      </c>
    </row>
    <row r="176" spans="1:43" ht="16" x14ac:dyDescent="0.2">
      <c r="A176" s="168" t="s">
        <v>486</v>
      </c>
      <c r="B176" s="128">
        <v>3</v>
      </c>
      <c r="C176" s="129">
        <v>3</v>
      </c>
      <c r="D176" s="129">
        <v>1</v>
      </c>
      <c r="E176" s="129">
        <v>1</v>
      </c>
      <c r="F176" s="129">
        <v>3</v>
      </c>
      <c r="G176" s="129">
        <v>1</v>
      </c>
      <c r="H176" s="129">
        <v>2</v>
      </c>
      <c r="I176" s="129">
        <v>3</v>
      </c>
      <c r="J176" s="129">
        <v>1</v>
      </c>
      <c r="K176" s="129">
        <v>1</v>
      </c>
      <c r="L176" s="129">
        <v>3</v>
      </c>
      <c r="M176" s="129">
        <v>1</v>
      </c>
      <c r="N176" s="129">
        <v>1</v>
      </c>
      <c r="O176" s="129">
        <v>2</v>
      </c>
      <c r="P176" s="129">
        <v>3</v>
      </c>
      <c r="Q176" s="129">
        <v>3</v>
      </c>
      <c r="R176" s="129">
        <v>1</v>
      </c>
      <c r="S176" s="129">
        <v>1</v>
      </c>
      <c r="T176" s="129">
        <v>3</v>
      </c>
      <c r="U176" s="129">
        <v>3</v>
      </c>
      <c r="V176" s="129">
        <v>3</v>
      </c>
      <c r="W176" s="129">
        <v>2</v>
      </c>
      <c r="X176" s="129">
        <v>3</v>
      </c>
      <c r="Y176" s="129">
        <v>1</v>
      </c>
      <c r="Z176" s="129">
        <v>1</v>
      </c>
      <c r="AA176" s="129">
        <v>3</v>
      </c>
      <c r="AB176" s="129">
        <v>2</v>
      </c>
      <c r="AC176" s="129">
        <v>1</v>
      </c>
      <c r="AD176" s="129">
        <v>2</v>
      </c>
      <c r="AE176" s="129">
        <v>3</v>
      </c>
      <c r="AF176" s="129">
        <v>1</v>
      </c>
      <c r="AG176" s="129">
        <v>2</v>
      </c>
      <c r="AH176" s="129">
        <v>3</v>
      </c>
      <c r="AI176" s="129">
        <v>2</v>
      </c>
      <c r="AJ176" s="129">
        <v>1</v>
      </c>
      <c r="AK176" s="129">
        <v>3</v>
      </c>
      <c r="AL176" s="129">
        <v>2</v>
      </c>
      <c r="AM176" s="129">
        <v>1</v>
      </c>
      <c r="AN176" s="129">
        <v>3</v>
      </c>
      <c r="AO176" s="129">
        <v>2</v>
      </c>
      <c r="AP176" s="274">
        <v>81</v>
      </c>
      <c r="AQ176" s="26">
        <f t="shared" si="14"/>
        <v>41</v>
      </c>
    </row>
    <row r="177" spans="1:43" ht="16" x14ac:dyDescent="0.2">
      <c r="A177" s="168" t="s">
        <v>487</v>
      </c>
      <c r="B177" s="128">
        <v>2</v>
      </c>
      <c r="C177" s="129">
        <v>2</v>
      </c>
      <c r="D177" s="129">
        <v>1</v>
      </c>
      <c r="E177" s="129">
        <v>1</v>
      </c>
      <c r="F177" s="129">
        <v>3</v>
      </c>
      <c r="G177" s="129">
        <v>1</v>
      </c>
      <c r="H177" s="129">
        <v>2</v>
      </c>
      <c r="I177" s="129">
        <v>3</v>
      </c>
      <c r="J177" s="129">
        <v>2</v>
      </c>
      <c r="K177" s="129">
        <v>1</v>
      </c>
      <c r="L177" s="129">
        <v>2</v>
      </c>
      <c r="M177" s="129">
        <v>2</v>
      </c>
      <c r="N177" s="129">
        <v>1</v>
      </c>
      <c r="O177" s="129">
        <v>2</v>
      </c>
      <c r="P177" s="129">
        <v>2</v>
      </c>
      <c r="Q177" s="129">
        <v>2</v>
      </c>
      <c r="R177" s="129">
        <v>2</v>
      </c>
      <c r="S177" s="129">
        <v>1</v>
      </c>
      <c r="T177" s="129">
        <v>3</v>
      </c>
      <c r="U177" s="129">
        <v>3</v>
      </c>
      <c r="V177" s="129">
        <v>3</v>
      </c>
      <c r="W177" s="129">
        <v>2</v>
      </c>
      <c r="X177" s="129">
        <v>2</v>
      </c>
      <c r="Y177" s="129">
        <v>2</v>
      </c>
      <c r="Z177" s="129">
        <v>2</v>
      </c>
      <c r="AA177" s="129">
        <v>2</v>
      </c>
      <c r="AB177" s="129">
        <v>2</v>
      </c>
      <c r="AC177" s="129">
        <v>2</v>
      </c>
      <c r="AD177" s="129">
        <v>2</v>
      </c>
      <c r="AE177" s="129">
        <v>3</v>
      </c>
      <c r="AF177" s="129">
        <v>1</v>
      </c>
      <c r="AG177" s="129">
        <v>2</v>
      </c>
      <c r="AH177" s="129">
        <v>2</v>
      </c>
      <c r="AI177" s="129">
        <v>2</v>
      </c>
      <c r="AJ177" s="129">
        <v>1</v>
      </c>
      <c r="AK177" s="129">
        <v>2</v>
      </c>
      <c r="AL177" s="129">
        <v>2</v>
      </c>
      <c r="AM177" s="129">
        <v>2</v>
      </c>
      <c r="AN177" s="129">
        <v>3</v>
      </c>
      <c r="AO177" s="129">
        <v>2</v>
      </c>
      <c r="AP177" s="274">
        <v>79</v>
      </c>
      <c r="AQ177" s="26">
        <f t="shared" si="14"/>
        <v>41</v>
      </c>
    </row>
    <row r="178" spans="1:43" ht="16" x14ac:dyDescent="0.2">
      <c r="A178" s="168" t="s">
        <v>488</v>
      </c>
      <c r="B178" s="167">
        <v>2</v>
      </c>
      <c r="C178" s="167">
        <v>3</v>
      </c>
      <c r="D178" s="167">
        <v>1</v>
      </c>
      <c r="E178" s="167">
        <v>1</v>
      </c>
      <c r="F178" s="167">
        <v>3</v>
      </c>
      <c r="G178" s="167">
        <v>1</v>
      </c>
      <c r="H178" s="167">
        <v>3</v>
      </c>
      <c r="I178" s="167">
        <v>3</v>
      </c>
      <c r="J178" s="167">
        <v>2</v>
      </c>
      <c r="K178" s="167">
        <v>1</v>
      </c>
      <c r="L178" s="167">
        <v>3</v>
      </c>
      <c r="M178" s="167">
        <v>2</v>
      </c>
      <c r="N178" s="167">
        <v>1</v>
      </c>
      <c r="O178" s="167">
        <v>2</v>
      </c>
      <c r="P178" s="167">
        <v>2</v>
      </c>
      <c r="Q178" s="167">
        <v>3</v>
      </c>
      <c r="R178" s="167">
        <v>3</v>
      </c>
      <c r="S178" s="167">
        <v>1</v>
      </c>
      <c r="T178" s="167">
        <v>3</v>
      </c>
      <c r="U178" s="167">
        <v>3</v>
      </c>
      <c r="V178" s="167">
        <v>3</v>
      </c>
      <c r="W178" s="167">
        <v>3</v>
      </c>
      <c r="X178" s="167">
        <v>3</v>
      </c>
      <c r="Y178" s="167">
        <v>1</v>
      </c>
      <c r="Z178" s="167">
        <v>1</v>
      </c>
      <c r="AA178" s="167">
        <v>3</v>
      </c>
      <c r="AB178" s="167">
        <v>2</v>
      </c>
      <c r="AC178" s="167">
        <v>3</v>
      </c>
      <c r="AD178" s="167">
        <v>3</v>
      </c>
      <c r="AE178" s="167">
        <v>3</v>
      </c>
      <c r="AF178" s="167">
        <v>2</v>
      </c>
      <c r="AG178" s="167">
        <v>2</v>
      </c>
      <c r="AH178" s="167">
        <v>3</v>
      </c>
      <c r="AI178" s="167">
        <v>3</v>
      </c>
      <c r="AJ178" s="167">
        <v>1</v>
      </c>
      <c r="AK178" s="167">
        <v>3</v>
      </c>
      <c r="AL178" s="167">
        <v>3</v>
      </c>
      <c r="AM178" s="167">
        <v>3</v>
      </c>
      <c r="AN178" s="167">
        <v>3</v>
      </c>
      <c r="AO178" s="167">
        <v>3</v>
      </c>
      <c r="AP178" s="221">
        <v>43</v>
      </c>
      <c r="AQ178" s="221">
        <v>51</v>
      </c>
    </row>
  </sheetData>
  <pageMargins left="0.7" right="0.7" top="0.75" bottom="0.75" header="0.3" footer="0.3"/>
  <pageSetup paperSize="9" orientation="portrait" r:id="rId1"/>
  <headerFooter>
    <oddFooter>&amp;C_x000D_&amp;1#&amp;"Calibri"&amp;10&amp;K000000 Uso Interno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E00DA-2C8D-7042-9740-E806D628101E}">
  <dimension ref="A1:W45"/>
  <sheetViews>
    <sheetView topLeftCell="A27" zoomScale="140" zoomScaleNormal="140" workbookViewId="0">
      <selection activeCell="X1" sqref="X1:AC1048576"/>
    </sheetView>
  </sheetViews>
  <sheetFormatPr baseColWidth="10" defaultRowHeight="15" x14ac:dyDescent="0.2"/>
  <cols>
    <col min="1" max="1" width="24" bestFit="1" customWidth="1"/>
    <col min="2" max="2" width="20.83203125" bestFit="1" customWidth="1"/>
    <col min="4" max="4" width="49.83203125" customWidth="1"/>
    <col min="5" max="5" width="34.6640625" bestFit="1" customWidth="1"/>
    <col min="7" max="7" width="20" customWidth="1"/>
    <col min="8" max="8" width="16.6640625" bestFit="1" customWidth="1"/>
    <col min="11" max="11" width="12.5" bestFit="1" customWidth="1"/>
    <col min="14" max="14" width="13.6640625" bestFit="1" customWidth="1"/>
    <col min="17" max="17" width="12.5" bestFit="1" customWidth="1"/>
    <col min="19" max="19" width="16.5" customWidth="1"/>
    <col min="20" max="20" width="21.83203125" bestFit="1" customWidth="1"/>
    <col min="22" max="22" width="41.33203125" customWidth="1"/>
    <col min="23" max="23" width="11" customWidth="1"/>
  </cols>
  <sheetData>
    <row r="1" spans="1:23" x14ac:dyDescent="0.2">
      <c r="A1" s="412" t="s">
        <v>563</v>
      </c>
      <c r="B1" s="412"/>
      <c r="D1" s="412" t="s">
        <v>564</v>
      </c>
      <c r="E1" s="412"/>
      <c r="G1" s="412" t="s">
        <v>592</v>
      </c>
      <c r="H1" s="412"/>
      <c r="J1" s="412" t="s">
        <v>595</v>
      </c>
      <c r="K1" s="412"/>
      <c r="M1" s="412" t="s">
        <v>594</v>
      </c>
      <c r="N1" s="412"/>
      <c r="P1" s="412" t="s">
        <v>593</v>
      </c>
      <c r="Q1" s="412"/>
      <c r="S1" s="412" t="s">
        <v>683</v>
      </c>
      <c r="T1" s="412"/>
      <c r="V1" s="412" t="s">
        <v>720</v>
      </c>
      <c r="W1" s="412"/>
    </row>
    <row r="2" spans="1:23" x14ac:dyDescent="0.2">
      <c r="A2" t="s">
        <v>546</v>
      </c>
      <c r="B2" t="s">
        <v>547</v>
      </c>
      <c r="D2" s="331" t="s">
        <v>546</v>
      </c>
      <c r="E2" s="332" t="s">
        <v>547</v>
      </c>
      <c r="G2" s="334" t="s">
        <v>546</v>
      </c>
      <c r="H2" s="335" t="s">
        <v>547</v>
      </c>
      <c r="J2" s="334" t="s">
        <v>546</v>
      </c>
      <c r="K2" s="335" t="s">
        <v>547</v>
      </c>
      <c r="M2" s="334" t="s">
        <v>546</v>
      </c>
      <c r="N2" s="335" t="s">
        <v>547</v>
      </c>
      <c r="P2" s="334" t="s">
        <v>546</v>
      </c>
      <c r="Q2" s="335" t="s">
        <v>547</v>
      </c>
      <c r="S2" s="334" t="s">
        <v>546</v>
      </c>
      <c r="T2" s="335" t="s">
        <v>547</v>
      </c>
      <c r="V2" s="334" t="s">
        <v>546</v>
      </c>
      <c r="W2" s="335" t="s">
        <v>547</v>
      </c>
    </row>
    <row r="3" spans="1:23" ht="48" customHeight="1" x14ac:dyDescent="0.2">
      <c r="A3" t="s">
        <v>12</v>
      </c>
      <c r="B3" t="s">
        <v>548</v>
      </c>
      <c r="D3" s="373" t="s">
        <v>27</v>
      </c>
      <c r="E3" t="s">
        <v>722</v>
      </c>
      <c r="G3" t="s">
        <v>74</v>
      </c>
      <c r="H3" t="s">
        <v>596</v>
      </c>
      <c r="J3" t="s">
        <v>89</v>
      </c>
      <c r="K3" t="s">
        <v>612</v>
      </c>
      <c r="M3" t="s">
        <v>102</v>
      </c>
      <c r="N3" t="s">
        <v>626</v>
      </c>
      <c r="P3" t="s">
        <v>139</v>
      </c>
      <c r="Q3" t="s">
        <v>669</v>
      </c>
      <c r="S3">
        <v>1</v>
      </c>
      <c r="T3" t="s">
        <v>684</v>
      </c>
      <c r="V3" s="333" t="s">
        <v>246</v>
      </c>
      <c r="W3" t="s">
        <v>737</v>
      </c>
    </row>
    <row r="4" spans="1:23" ht="32" customHeight="1" x14ac:dyDescent="0.2">
      <c r="A4" t="s">
        <v>13</v>
      </c>
      <c r="B4" t="s">
        <v>549</v>
      </c>
      <c r="D4" s="373" t="s">
        <v>28</v>
      </c>
      <c r="E4" t="s">
        <v>723</v>
      </c>
      <c r="G4" t="s">
        <v>75</v>
      </c>
      <c r="H4" t="s">
        <v>597</v>
      </c>
      <c r="J4" t="s">
        <v>90</v>
      </c>
      <c r="K4" t="s">
        <v>613</v>
      </c>
      <c r="M4" t="s">
        <v>103</v>
      </c>
      <c r="N4" t="s">
        <v>627</v>
      </c>
      <c r="P4" t="s">
        <v>140</v>
      </c>
      <c r="Q4" t="s">
        <v>670</v>
      </c>
      <c r="S4" t="s">
        <v>146</v>
      </c>
      <c r="T4" t="s">
        <v>685</v>
      </c>
      <c r="V4" s="333" t="s">
        <v>247</v>
      </c>
      <c r="W4" t="s">
        <v>738</v>
      </c>
    </row>
    <row r="5" spans="1:23" ht="32" x14ac:dyDescent="0.2">
      <c r="A5" t="s">
        <v>14</v>
      </c>
      <c r="B5" t="s">
        <v>550</v>
      </c>
      <c r="D5" s="373" t="s">
        <v>29</v>
      </c>
      <c r="E5" t="s">
        <v>724</v>
      </c>
      <c r="G5" t="s">
        <v>76</v>
      </c>
      <c r="H5" t="s">
        <v>598</v>
      </c>
      <c r="J5" t="s">
        <v>91</v>
      </c>
      <c r="K5" t="s">
        <v>614</v>
      </c>
      <c r="M5" t="s">
        <v>104</v>
      </c>
      <c r="N5" t="s">
        <v>628</v>
      </c>
      <c r="P5" t="s">
        <v>141</v>
      </c>
      <c r="Q5" t="s">
        <v>671</v>
      </c>
      <c r="S5">
        <v>3</v>
      </c>
      <c r="T5" t="s">
        <v>686</v>
      </c>
      <c r="V5" s="333" t="s">
        <v>248</v>
      </c>
      <c r="W5" t="s">
        <v>739</v>
      </c>
    </row>
    <row r="6" spans="1:23" ht="32" x14ac:dyDescent="0.2">
      <c r="A6" t="s">
        <v>15</v>
      </c>
      <c r="B6" t="s">
        <v>551</v>
      </c>
      <c r="D6" s="373" t="s">
        <v>30</v>
      </c>
      <c r="E6" t="s">
        <v>725</v>
      </c>
      <c r="G6" t="s">
        <v>77</v>
      </c>
      <c r="H6" t="s">
        <v>599</v>
      </c>
      <c r="J6" t="s">
        <v>92</v>
      </c>
      <c r="K6" t="s">
        <v>615</v>
      </c>
      <c r="M6" t="s">
        <v>105</v>
      </c>
      <c r="N6" t="s">
        <v>629</v>
      </c>
      <c r="P6" t="s">
        <v>142</v>
      </c>
      <c r="Q6" t="s">
        <v>672</v>
      </c>
      <c r="S6" t="s">
        <v>147</v>
      </c>
      <c r="T6" t="s">
        <v>687</v>
      </c>
      <c r="V6" s="333" t="s">
        <v>249</v>
      </c>
      <c r="W6" t="s">
        <v>740</v>
      </c>
    </row>
    <row r="7" spans="1:23" ht="32" x14ac:dyDescent="0.2">
      <c r="A7" t="s">
        <v>16</v>
      </c>
      <c r="B7" t="s">
        <v>552</v>
      </c>
      <c r="D7" s="373" t="s">
        <v>31</v>
      </c>
      <c r="E7" t="s">
        <v>726</v>
      </c>
      <c r="G7" t="s">
        <v>78</v>
      </c>
      <c r="H7" t="s">
        <v>600</v>
      </c>
      <c r="J7" t="s">
        <v>93</v>
      </c>
      <c r="K7" t="s">
        <v>616</v>
      </c>
      <c r="M7" t="s">
        <v>106</v>
      </c>
      <c r="N7" t="s">
        <v>630</v>
      </c>
      <c r="P7" t="s">
        <v>143</v>
      </c>
      <c r="Q7" t="s">
        <v>673</v>
      </c>
      <c r="S7" t="s">
        <v>148</v>
      </c>
      <c r="V7" s="333" t="s">
        <v>250</v>
      </c>
      <c r="W7" t="s">
        <v>741</v>
      </c>
    </row>
    <row r="8" spans="1:23" ht="32" customHeight="1" x14ac:dyDescent="0.2">
      <c r="A8" t="s">
        <v>17</v>
      </c>
      <c r="B8" t="s">
        <v>553</v>
      </c>
      <c r="D8" s="373" t="s">
        <v>32</v>
      </c>
      <c r="E8" t="s">
        <v>727</v>
      </c>
      <c r="G8" t="s">
        <v>79</v>
      </c>
      <c r="H8" t="s">
        <v>601</v>
      </c>
      <c r="J8" t="s">
        <v>94</v>
      </c>
      <c r="K8" t="s">
        <v>617</v>
      </c>
      <c r="M8" t="s">
        <v>107</v>
      </c>
      <c r="N8" t="s">
        <v>631</v>
      </c>
      <c r="P8" t="s">
        <v>144</v>
      </c>
      <c r="Q8" t="s">
        <v>674</v>
      </c>
      <c r="S8" t="s">
        <v>149</v>
      </c>
      <c r="T8" t="s">
        <v>688</v>
      </c>
      <c r="V8" s="333" t="s">
        <v>251</v>
      </c>
      <c r="W8" t="s">
        <v>742</v>
      </c>
    </row>
    <row r="9" spans="1:23" ht="48" x14ac:dyDescent="0.2">
      <c r="A9" t="s">
        <v>18</v>
      </c>
      <c r="B9" t="s">
        <v>554</v>
      </c>
      <c r="D9" s="373" t="s">
        <v>33</v>
      </c>
      <c r="E9" t="s">
        <v>575</v>
      </c>
      <c r="G9" t="s">
        <v>80</v>
      </c>
      <c r="H9" t="s">
        <v>602</v>
      </c>
      <c r="J9" t="s">
        <v>95</v>
      </c>
      <c r="K9" t="s">
        <v>618</v>
      </c>
      <c r="M9" t="s">
        <v>108</v>
      </c>
      <c r="N9" t="s">
        <v>632</v>
      </c>
      <c r="P9" t="s">
        <v>73</v>
      </c>
      <c r="Q9" t="s">
        <v>675</v>
      </c>
      <c r="S9" t="s">
        <v>150</v>
      </c>
      <c r="T9" t="s">
        <v>689</v>
      </c>
      <c r="V9" s="333" t="s">
        <v>252</v>
      </c>
      <c r="W9" t="s">
        <v>743</v>
      </c>
    </row>
    <row r="10" spans="1:23" ht="32" customHeight="1" x14ac:dyDescent="0.2">
      <c r="A10" t="s">
        <v>19</v>
      </c>
      <c r="B10" t="s">
        <v>555</v>
      </c>
      <c r="D10" s="373" t="s">
        <v>34</v>
      </c>
      <c r="E10" t="s">
        <v>728</v>
      </c>
      <c r="G10" t="s">
        <v>81</v>
      </c>
      <c r="H10" t="s">
        <v>603</v>
      </c>
      <c r="J10" t="s">
        <v>96</v>
      </c>
      <c r="K10" t="s">
        <v>619</v>
      </c>
      <c r="M10" t="s">
        <v>109</v>
      </c>
      <c r="N10" t="s">
        <v>633</v>
      </c>
      <c r="S10" t="s">
        <v>151</v>
      </c>
      <c r="T10" t="s">
        <v>690</v>
      </c>
      <c r="V10" s="373" t="s">
        <v>253</v>
      </c>
      <c r="W10" s="375" t="s">
        <v>744</v>
      </c>
    </row>
    <row r="11" spans="1:23" ht="32" customHeight="1" x14ac:dyDescent="0.2">
      <c r="A11" t="s">
        <v>20</v>
      </c>
      <c r="B11" t="s">
        <v>556</v>
      </c>
      <c r="D11" s="373" t="s">
        <v>35</v>
      </c>
      <c r="E11" t="s">
        <v>729</v>
      </c>
      <c r="G11" t="s">
        <v>82</v>
      </c>
      <c r="H11" t="s">
        <v>604</v>
      </c>
      <c r="J11" t="s">
        <v>97</v>
      </c>
      <c r="K11" t="s">
        <v>620</v>
      </c>
      <c r="M11" t="s">
        <v>110</v>
      </c>
      <c r="N11" t="s">
        <v>634</v>
      </c>
      <c r="S11" t="s">
        <v>152</v>
      </c>
      <c r="T11" t="s">
        <v>691</v>
      </c>
      <c r="V11" s="373" t="s">
        <v>254</v>
      </c>
      <c r="W11" s="375" t="s">
        <v>745</v>
      </c>
    </row>
    <row r="12" spans="1:23" ht="32" customHeight="1" x14ac:dyDescent="0.2">
      <c r="A12" t="s">
        <v>21</v>
      </c>
      <c r="B12" t="s">
        <v>557</v>
      </c>
      <c r="D12" s="373" t="s">
        <v>36</v>
      </c>
      <c r="E12" t="s">
        <v>730</v>
      </c>
      <c r="G12" t="s">
        <v>83</v>
      </c>
      <c r="H12" t="s">
        <v>605</v>
      </c>
      <c r="J12" t="s">
        <v>98</v>
      </c>
      <c r="K12" t="s">
        <v>621</v>
      </c>
      <c r="M12" t="s">
        <v>111</v>
      </c>
      <c r="N12" t="s">
        <v>635</v>
      </c>
      <c r="S12" t="s">
        <v>153</v>
      </c>
      <c r="T12" t="s">
        <v>692</v>
      </c>
      <c r="V12" s="373" t="s">
        <v>255</v>
      </c>
      <c r="W12" s="375" t="s">
        <v>746</v>
      </c>
    </row>
    <row r="13" spans="1:23" ht="32" customHeight="1" x14ac:dyDescent="0.2">
      <c r="A13" t="s">
        <v>22</v>
      </c>
      <c r="B13" t="s">
        <v>558</v>
      </c>
      <c r="D13" s="373" t="s">
        <v>37</v>
      </c>
      <c r="E13" t="s">
        <v>731</v>
      </c>
      <c r="G13" t="s">
        <v>84</v>
      </c>
      <c r="H13" t="s">
        <v>606</v>
      </c>
      <c r="J13" t="s">
        <v>99</v>
      </c>
      <c r="K13" t="s">
        <v>622</v>
      </c>
      <c r="M13" t="s">
        <v>112</v>
      </c>
      <c r="N13" t="s">
        <v>636</v>
      </c>
      <c r="S13" t="s">
        <v>154</v>
      </c>
      <c r="T13" t="s">
        <v>693</v>
      </c>
      <c r="V13" s="373" t="s">
        <v>256</v>
      </c>
      <c r="W13" s="375" t="s">
        <v>747</v>
      </c>
    </row>
    <row r="14" spans="1:23" ht="32" customHeight="1" x14ac:dyDescent="0.2">
      <c r="A14" t="s">
        <v>23</v>
      </c>
      <c r="B14" t="s">
        <v>559</v>
      </c>
      <c r="D14" s="373" t="s">
        <v>38</v>
      </c>
      <c r="E14" t="s">
        <v>732</v>
      </c>
      <c r="G14" t="s">
        <v>85</v>
      </c>
      <c r="H14" t="s">
        <v>607</v>
      </c>
      <c r="J14" t="s">
        <v>100</v>
      </c>
      <c r="K14" t="s">
        <v>623</v>
      </c>
      <c r="M14" t="s">
        <v>113</v>
      </c>
      <c r="N14" t="s">
        <v>637</v>
      </c>
      <c r="S14" t="s">
        <v>155</v>
      </c>
      <c r="T14" t="s">
        <v>694</v>
      </c>
      <c r="V14" s="373" t="s">
        <v>257</v>
      </c>
      <c r="W14" s="375" t="s">
        <v>748</v>
      </c>
    </row>
    <row r="15" spans="1:23" ht="48" x14ac:dyDescent="0.2">
      <c r="A15" t="s">
        <v>24</v>
      </c>
      <c r="B15" t="s">
        <v>560</v>
      </c>
      <c r="D15" s="373" t="s">
        <v>39</v>
      </c>
      <c r="E15" t="s">
        <v>733</v>
      </c>
      <c r="G15" t="s">
        <v>86</v>
      </c>
      <c r="H15" t="s">
        <v>608</v>
      </c>
      <c r="J15" t="s">
        <v>101</v>
      </c>
      <c r="K15" t="s">
        <v>624</v>
      </c>
      <c r="M15" t="s">
        <v>114</v>
      </c>
      <c r="N15" t="s">
        <v>638</v>
      </c>
      <c r="S15" t="s">
        <v>156</v>
      </c>
      <c r="T15" t="s">
        <v>695</v>
      </c>
      <c r="V15" s="373" t="s">
        <v>258</v>
      </c>
      <c r="W15" s="375" t="s">
        <v>749</v>
      </c>
    </row>
    <row r="16" spans="1:23" ht="48" x14ac:dyDescent="0.2">
      <c r="A16" t="s">
        <v>25</v>
      </c>
      <c r="B16" t="s">
        <v>561</v>
      </c>
      <c r="D16" s="373" t="s">
        <v>40</v>
      </c>
      <c r="E16" t="s">
        <v>734</v>
      </c>
      <c r="G16" t="s">
        <v>87</v>
      </c>
      <c r="H16" t="s">
        <v>609</v>
      </c>
      <c r="J16" t="s">
        <v>70</v>
      </c>
      <c r="K16" t="s">
        <v>625</v>
      </c>
      <c r="M16" t="s">
        <v>115</v>
      </c>
      <c r="N16" t="s">
        <v>639</v>
      </c>
      <c r="S16" t="s">
        <v>157</v>
      </c>
      <c r="T16" t="s">
        <v>680</v>
      </c>
      <c r="V16" s="373" t="s">
        <v>259</v>
      </c>
      <c r="W16" s="375" t="s">
        <v>750</v>
      </c>
    </row>
    <row r="17" spans="1:23" ht="48" x14ac:dyDescent="0.2">
      <c r="A17" t="s">
        <v>26</v>
      </c>
      <c r="B17" t="s">
        <v>562</v>
      </c>
      <c r="D17" s="373" t="s">
        <v>41</v>
      </c>
      <c r="E17" t="s">
        <v>735</v>
      </c>
      <c r="G17" t="s">
        <v>88</v>
      </c>
      <c r="H17" t="s">
        <v>610</v>
      </c>
      <c r="M17" t="s">
        <v>116</v>
      </c>
      <c r="N17" t="s">
        <v>640</v>
      </c>
      <c r="S17" t="s">
        <v>158</v>
      </c>
      <c r="T17" t="s">
        <v>696</v>
      </c>
      <c r="V17" s="373" t="s">
        <v>260</v>
      </c>
      <c r="W17" s="375" t="s">
        <v>751</v>
      </c>
    </row>
    <row r="18" spans="1:23" ht="64" x14ac:dyDescent="0.2">
      <c r="D18" s="373" t="s">
        <v>42</v>
      </c>
      <c r="E18" t="s">
        <v>736</v>
      </c>
      <c r="G18" t="s">
        <v>69</v>
      </c>
      <c r="H18" t="s">
        <v>611</v>
      </c>
      <c r="M18" t="s">
        <v>117</v>
      </c>
      <c r="N18" t="s">
        <v>641</v>
      </c>
      <c r="S18" t="s">
        <v>159</v>
      </c>
      <c r="T18" t="s">
        <v>697</v>
      </c>
      <c r="U18" t="s">
        <v>698</v>
      </c>
      <c r="V18" s="373" t="s">
        <v>261</v>
      </c>
      <c r="W18" s="375" t="s">
        <v>752</v>
      </c>
    </row>
    <row r="19" spans="1:23" ht="32" x14ac:dyDescent="0.2">
      <c r="D19" s="333" t="s">
        <v>43</v>
      </c>
      <c r="E19" t="s">
        <v>565</v>
      </c>
      <c r="M19" t="s">
        <v>118</v>
      </c>
      <c r="N19" t="s">
        <v>642</v>
      </c>
      <c r="S19" t="s">
        <v>160</v>
      </c>
      <c r="T19" t="s">
        <v>702</v>
      </c>
      <c r="V19" s="373" t="s">
        <v>262</v>
      </c>
      <c r="W19" s="375" t="s">
        <v>753</v>
      </c>
    </row>
    <row r="20" spans="1:23" ht="32" x14ac:dyDescent="0.2">
      <c r="M20" t="s">
        <v>119</v>
      </c>
      <c r="N20" t="s">
        <v>643</v>
      </c>
      <c r="S20" t="s">
        <v>161</v>
      </c>
      <c r="T20" t="s">
        <v>699</v>
      </c>
      <c r="V20" s="373" t="s">
        <v>263</v>
      </c>
      <c r="W20" s="375" t="s">
        <v>754</v>
      </c>
    </row>
    <row r="21" spans="1:23" ht="32" x14ac:dyDescent="0.2">
      <c r="D21" s="337"/>
      <c r="M21" t="s">
        <v>120</v>
      </c>
      <c r="N21" t="s">
        <v>644</v>
      </c>
      <c r="S21" t="s">
        <v>162</v>
      </c>
      <c r="T21" t="s">
        <v>700</v>
      </c>
      <c r="V21" s="373" t="s">
        <v>264</v>
      </c>
      <c r="W21" s="375" t="s">
        <v>755</v>
      </c>
    </row>
    <row r="22" spans="1:23" ht="32" x14ac:dyDescent="0.2">
      <c r="M22" t="s">
        <v>121</v>
      </c>
      <c r="N22" t="s">
        <v>645</v>
      </c>
      <c r="S22" t="s">
        <v>163</v>
      </c>
      <c r="T22" t="s">
        <v>701</v>
      </c>
      <c r="V22" s="373" t="s">
        <v>265</v>
      </c>
      <c r="W22" s="375" t="s">
        <v>756</v>
      </c>
    </row>
    <row r="23" spans="1:23" ht="32" x14ac:dyDescent="0.2">
      <c r="M23" t="s">
        <v>122</v>
      </c>
      <c r="N23" t="s">
        <v>646</v>
      </c>
      <c r="S23" t="s">
        <v>54</v>
      </c>
      <c r="T23" t="s">
        <v>719</v>
      </c>
      <c r="V23" s="373" t="s">
        <v>266</v>
      </c>
      <c r="W23" s="375" t="s">
        <v>757</v>
      </c>
    </row>
    <row r="24" spans="1:23" ht="32" x14ac:dyDescent="0.2">
      <c r="M24" t="s">
        <v>123</v>
      </c>
      <c r="N24" t="s">
        <v>647</v>
      </c>
      <c r="S24" s="374">
        <v>10</v>
      </c>
      <c r="T24" s="374" t="s">
        <v>703</v>
      </c>
      <c r="V24" s="373" t="s">
        <v>267</v>
      </c>
      <c r="W24" s="375" t="s">
        <v>758</v>
      </c>
    </row>
    <row r="25" spans="1:23" ht="32" x14ac:dyDescent="0.2">
      <c r="M25" t="s">
        <v>124</v>
      </c>
      <c r="N25" t="s">
        <v>648</v>
      </c>
      <c r="S25" s="337" t="s">
        <v>676</v>
      </c>
      <c r="V25" s="373" t="s">
        <v>268</v>
      </c>
      <c r="W25" s="375" t="s">
        <v>759</v>
      </c>
    </row>
    <row r="26" spans="1:23" ht="48" x14ac:dyDescent="0.2">
      <c r="M26" t="s">
        <v>125</v>
      </c>
      <c r="N26" t="s">
        <v>649</v>
      </c>
      <c r="S26" s="336" t="s">
        <v>704</v>
      </c>
      <c r="T26" s="336" t="s">
        <v>703</v>
      </c>
      <c r="V26" s="373" t="s">
        <v>269</v>
      </c>
      <c r="W26" s="375" t="s">
        <v>760</v>
      </c>
    </row>
    <row r="27" spans="1:23" ht="32" x14ac:dyDescent="0.2">
      <c r="M27" t="s">
        <v>126</v>
      </c>
      <c r="N27" t="s">
        <v>650</v>
      </c>
      <c r="S27" s="336" t="s">
        <v>706</v>
      </c>
      <c r="T27" s="336" t="s">
        <v>705</v>
      </c>
      <c r="V27" s="373" t="s">
        <v>270</v>
      </c>
      <c r="W27" s="375" t="s">
        <v>761</v>
      </c>
    </row>
    <row r="28" spans="1:23" ht="32" x14ac:dyDescent="0.2">
      <c r="M28" t="s">
        <v>127</v>
      </c>
      <c r="N28" t="s">
        <v>651</v>
      </c>
      <c r="S28" s="336" t="s">
        <v>708</v>
      </c>
      <c r="T28" s="336" t="s">
        <v>707</v>
      </c>
      <c r="V28" s="373" t="s">
        <v>271</v>
      </c>
      <c r="W28" s="375" t="s">
        <v>762</v>
      </c>
    </row>
    <row r="29" spans="1:23" ht="32" x14ac:dyDescent="0.2">
      <c r="A29" s="412" t="s">
        <v>576</v>
      </c>
      <c r="B29" s="412"/>
      <c r="D29" s="412" t="s">
        <v>577</v>
      </c>
      <c r="E29" s="412"/>
      <c r="G29" s="412" t="s">
        <v>677</v>
      </c>
      <c r="H29" s="412"/>
      <c r="M29" t="s">
        <v>128</v>
      </c>
      <c r="N29" t="s">
        <v>652</v>
      </c>
      <c r="S29" s="336" t="s">
        <v>710</v>
      </c>
      <c r="T29" s="336" t="s">
        <v>709</v>
      </c>
      <c r="V29" s="373" t="s">
        <v>272</v>
      </c>
      <c r="W29" s="375" t="s">
        <v>763</v>
      </c>
    </row>
    <row r="30" spans="1:23" ht="48" x14ac:dyDescent="0.2">
      <c r="A30" s="334" t="s">
        <v>546</v>
      </c>
      <c r="B30" s="335" t="s">
        <v>547</v>
      </c>
      <c r="D30" s="334" t="s">
        <v>546</v>
      </c>
      <c r="E30" s="335" t="s">
        <v>547</v>
      </c>
      <c r="G30" s="334" t="s">
        <v>546</v>
      </c>
      <c r="H30" s="335" t="s">
        <v>547</v>
      </c>
      <c r="M30" t="s">
        <v>129</v>
      </c>
      <c r="N30" t="s">
        <v>653</v>
      </c>
      <c r="S30" s="336" t="s">
        <v>712</v>
      </c>
      <c r="T30" s="336" t="s">
        <v>711</v>
      </c>
      <c r="V30" s="373" t="s">
        <v>273</v>
      </c>
      <c r="W30" s="375" t="s">
        <v>764</v>
      </c>
    </row>
    <row r="31" spans="1:23" ht="48" x14ac:dyDescent="0.2">
      <c r="A31" t="s">
        <v>44</v>
      </c>
      <c r="B31" t="s">
        <v>566</v>
      </c>
      <c r="D31" t="s">
        <v>55</v>
      </c>
      <c r="E31" t="s">
        <v>578</v>
      </c>
      <c r="G31" t="s">
        <v>164</v>
      </c>
      <c r="H31" t="s">
        <v>574</v>
      </c>
      <c r="M31" t="s">
        <v>130</v>
      </c>
      <c r="N31" t="s">
        <v>654</v>
      </c>
      <c r="S31" s="336" t="s">
        <v>714</v>
      </c>
      <c r="T31" s="336" t="s">
        <v>713</v>
      </c>
      <c r="V31" s="373" t="s">
        <v>274</v>
      </c>
      <c r="W31" s="375" t="s">
        <v>765</v>
      </c>
    </row>
    <row r="32" spans="1:23" ht="32" x14ac:dyDescent="0.2">
      <c r="A32" t="s">
        <v>45</v>
      </c>
      <c r="B32" t="s">
        <v>569</v>
      </c>
      <c r="D32" t="s">
        <v>56</v>
      </c>
      <c r="E32" t="s">
        <v>579</v>
      </c>
      <c r="G32" t="s">
        <v>165</v>
      </c>
      <c r="H32" t="s">
        <v>678</v>
      </c>
      <c r="M32" t="s">
        <v>131</v>
      </c>
      <c r="N32" t="s">
        <v>655</v>
      </c>
      <c r="S32" s="336" t="s">
        <v>716</v>
      </c>
      <c r="T32" s="336" t="s">
        <v>715</v>
      </c>
      <c r="V32" s="373" t="s">
        <v>275</v>
      </c>
      <c r="W32" s="375" t="s">
        <v>766</v>
      </c>
    </row>
    <row r="33" spans="1:23" ht="32" x14ac:dyDescent="0.2">
      <c r="A33" t="s">
        <v>46</v>
      </c>
      <c r="B33" t="s">
        <v>567</v>
      </c>
      <c r="D33" t="s">
        <v>57</v>
      </c>
      <c r="E33" t="s">
        <v>580</v>
      </c>
      <c r="G33" t="s">
        <v>166</v>
      </c>
      <c r="H33" t="s">
        <v>679</v>
      </c>
      <c r="M33" t="s">
        <v>132</v>
      </c>
      <c r="N33" t="s">
        <v>656</v>
      </c>
      <c r="S33" s="336" t="s">
        <v>718</v>
      </c>
      <c r="T33" s="336" t="s">
        <v>717</v>
      </c>
      <c r="V33" s="373" t="s">
        <v>276</v>
      </c>
      <c r="W33" s="375" t="s">
        <v>767</v>
      </c>
    </row>
    <row r="34" spans="1:23" ht="32" x14ac:dyDescent="0.2">
      <c r="A34" t="s">
        <v>47</v>
      </c>
      <c r="B34" t="s">
        <v>572</v>
      </c>
      <c r="D34" t="s">
        <v>58</v>
      </c>
      <c r="E34" t="s">
        <v>581</v>
      </c>
      <c r="G34" t="s">
        <v>167</v>
      </c>
      <c r="H34" t="s">
        <v>680</v>
      </c>
      <c r="M34" t="s">
        <v>133</v>
      </c>
      <c r="N34" t="s">
        <v>657</v>
      </c>
      <c r="V34" s="373" t="s">
        <v>277</v>
      </c>
      <c r="W34" s="375" t="s">
        <v>768</v>
      </c>
    </row>
    <row r="35" spans="1:23" ht="32" x14ac:dyDescent="0.2">
      <c r="A35" t="s">
        <v>48</v>
      </c>
      <c r="B35" t="s">
        <v>570</v>
      </c>
      <c r="D35" t="s">
        <v>59</v>
      </c>
      <c r="E35" t="s">
        <v>582</v>
      </c>
      <c r="G35" t="s">
        <v>168</v>
      </c>
      <c r="H35" t="s">
        <v>681</v>
      </c>
      <c r="M35" t="s">
        <v>134</v>
      </c>
      <c r="N35" t="s">
        <v>658</v>
      </c>
      <c r="V35" s="373" t="s">
        <v>278</v>
      </c>
      <c r="W35" s="375" t="s">
        <v>769</v>
      </c>
    </row>
    <row r="36" spans="1:23" ht="32" x14ac:dyDescent="0.2">
      <c r="A36" t="s">
        <v>49</v>
      </c>
      <c r="B36" t="s">
        <v>571</v>
      </c>
      <c r="D36" t="s">
        <v>60</v>
      </c>
      <c r="E36" t="s">
        <v>583</v>
      </c>
      <c r="G36" t="s">
        <v>169</v>
      </c>
      <c r="H36" t="s">
        <v>682</v>
      </c>
      <c r="M36" t="s">
        <v>135</v>
      </c>
      <c r="N36" t="s">
        <v>659</v>
      </c>
      <c r="V36" s="373" t="s">
        <v>279</v>
      </c>
      <c r="W36" s="375" t="s">
        <v>770</v>
      </c>
    </row>
    <row r="37" spans="1:23" ht="32" x14ac:dyDescent="0.2">
      <c r="A37" t="s">
        <v>50</v>
      </c>
      <c r="B37" t="s">
        <v>568</v>
      </c>
      <c r="D37" t="s">
        <v>61</v>
      </c>
      <c r="E37" t="s">
        <v>584</v>
      </c>
      <c r="M37" t="s">
        <v>136</v>
      </c>
      <c r="N37" t="s">
        <v>660</v>
      </c>
      <c r="V37" s="373" t="s">
        <v>280</v>
      </c>
      <c r="W37" s="375" t="s">
        <v>771</v>
      </c>
    </row>
    <row r="38" spans="1:23" ht="32" x14ac:dyDescent="0.2">
      <c r="A38" t="s">
        <v>51</v>
      </c>
      <c r="B38" t="s">
        <v>573</v>
      </c>
      <c r="D38" t="s">
        <v>62</v>
      </c>
      <c r="E38" t="s">
        <v>585</v>
      </c>
      <c r="M38" t="s">
        <v>137</v>
      </c>
      <c r="N38" t="s">
        <v>661</v>
      </c>
      <c r="V38" s="373" t="s">
        <v>281</v>
      </c>
      <c r="W38" s="375" t="s">
        <v>772</v>
      </c>
    </row>
    <row r="39" spans="1:23" ht="48" x14ac:dyDescent="0.2">
      <c r="A39" t="s">
        <v>52</v>
      </c>
      <c r="B39" t="s">
        <v>574</v>
      </c>
      <c r="D39" t="s">
        <v>63</v>
      </c>
      <c r="E39" t="s">
        <v>586</v>
      </c>
      <c r="M39" t="s">
        <v>138</v>
      </c>
      <c r="N39" t="s">
        <v>662</v>
      </c>
      <c r="V39" s="373" t="s">
        <v>282</v>
      </c>
      <c r="W39" s="375" t="s">
        <v>773</v>
      </c>
    </row>
    <row r="40" spans="1:23" ht="48" x14ac:dyDescent="0.2">
      <c r="A40" t="s">
        <v>53</v>
      </c>
      <c r="B40" t="s">
        <v>575</v>
      </c>
      <c r="D40" t="s">
        <v>64</v>
      </c>
      <c r="E40" t="s">
        <v>587</v>
      </c>
      <c r="M40" t="s">
        <v>71</v>
      </c>
      <c r="N40" t="s">
        <v>668</v>
      </c>
      <c r="V40" s="373" t="s">
        <v>283</v>
      </c>
      <c r="W40" s="375" t="s">
        <v>774</v>
      </c>
    </row>
    <row r="41" spans="1:23" ht="32" x14ac:dyDescent="0.2">
      <c r="A41" t="s">
        <v>54</v>
      </c>
      <c r="B41" t="s">
        <v>562</v>
      </c>
      <c r="D41" t="s">
        <v>65</v>
      </c>
      <c r="E41" t="s">
        <v>588</v>
      </c>
      <c r="M41" t="s">
        <v>72</v>
      </c>
      <c r="N41" t="s">
        <v>667</v>
      </c>
      <c r="V41" s="373" t="s">
        <v>284</v>
      </c>
      <c r="W41" s="375" t="s">
        <v>775</v>
      </c>
    </row>
    <row r="42" spans="1:23" ht="48" x14ac:dyDescent="0.2">
      <c r="D42" t="s">
        <v>66</v>
      </c>
      <c r="E42" t="s">
        <v>589</v>
      </c>
      <c r="V42" s="373" t="s">
        <v>285</v>
      </c>
      <c r="W42" s="375" t="s">
        <v>776</v>
      </c>
    </row>
    <row r="43" spans="1:23" ht="16" x14ac:dyDescent="0.2">
      <c r="D43" t="s">
        <v>67</v>
      </c>
      <c r="E43" t="s">
        <v>590</v>
      </c>
      <c r="M43" s="337" t="s">
        <v>676</v>
      </c>
      <c r="V43" s="373" t="s">
        <v>286</v>
      </c>
      <c r="W43" s="375" t="s">
        <v>777</v>
      </c>
    </row>
    <row r="44" spans="1:23" ht="16" x14ac:dyDescent="0.2">
      <c r="D44" t="s">
        <v>68</v>
      </c>
      <c r="E44" t="s">
        <v>591</v>
      </c>
      <c r="M44" s="336" t="s">
        <v>664</v>
      </c>
      <c r="N44" s="336" t="s">
        <v>663</v>
      </c>
      <c r="V44" s="333" t="s">
        <v>287</v>
      </c>
      <c r="W44" t="s">
        <v>778</v>
      </c>
    </row>
    <row r="45" spans="1:23" x14ac:dyDescent="0.2">
      <c r="D45" t="s">
        <v>54</v>
      </c>
      <c r="E45" t="s">
        <v>562</v>
      </c>
      <c r="M45" s="336" t="s">
        <v>666</v>
      </c>
      <c r="N45" s="336" t="s">
        <v>665</v>
      </c>
    </row>
  </sheetData>
  <mergeCells count="11">
    <mergeCell ref="M1:N1"/>
    <mergeCell ref="P1:Q1"/>
    <mergeCell ref="G29:H29"/>
    <mergeCell ref="S1:T1"/>
    <mergeCell ref="V1:W1"/>
    <mergeCell ref="J1:K1"/>
    <mergeCell ref="A1:B1"/>
    <mergeCell ref="D1:E1"/>
    <mergeCell ref="A29:B29"/>
    <mergeCell ref="D29:E29"/>
    <mergeCell ref="G1:H1"/>
  </mergeCells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opLeftCell="A47" workbookViewId="0">
      <selection activeCell="A84" sqref="A84:E87"/>
    </sheetView>
  </sheetViews>
  <sheetFormatPr baseColWidth="10" defaultColWidth="8.83203125" defaultRowHeight="15" x14ac:dyDescent="0.2"/>
  <cols>
    <col min="1" max="1" width="15" customWidth="1"/>
    <col min="5" max="5" width="14" customWidth="1"/>
    <col min="6" max="6" width="8" customWidth="1"/>
    <col min="8" max="8" width="9.6640625" customWidth="1"/>
    <col min="9" max="9" width="9.5" customWidth="1"/>
    <col min="10" max="10" width="10.5" customWidth="1"/>
  </cols>
  <sheetData>
    <row r="1" spans="1:2" x14ac:dyDescent="0.2">
      <c r="A1" s="13" t="s">
        <v>171</v>
      </c>
      <c r="B1" s="13"/>
    </row>
    <row r="2" spans="1:2" x14ac:dyDescent="0.2">
      <c r="A2" t="s">
        <v>170</v>
      </c>
    </row>
    <row r="4" spans="1:2" x14ac:dyDescent="0.2">
      <c r="A4" s="13" t="s">
        <v>0</v>
      </c>
      <c r="B4" s="13"/>
    </row>
    <row r="5" spans="1:2" x14ac:dyDescent="0.2">
      <c r="A5" t="s">
        <v>1</v>
      </c>
      <c r="B5" t="s">
        <v>2</v>
      </c>
    </row>
    <row r="6" spans="1:2" x14ac:dyDescent="0.2">
      <c r="A6" t="s">
        <v>3</v>
      </c>
      <c r="B6" t="s">
        <v>4</v>
      </c>
    </row>
    <row r="7" spans="1:2" x14ac:dyDescent="0.2">
      <c r="A7" t="s">
        <v>5</v>
      </c>
      <c r="B7" t="s">
        <v>6</v>
      </c>
    </row>
    <row r="8" spans="1:2" x14ac:dyDescent="0.2">
      <c r="A8" t="s">
        <v>7</v>
      </c>
      <c r="B8" t="s">
        <v>8</v>
      </c>
    </row>
    <row r="9" spans="1:2" x14ac:dyDescent="0.2">
      <c r="B9" t="s">
        <v>9</v>
      </c>
    </row>
    <row r="10" spans="1:2" x14ac:dyDescent="0.2">
      <c r="B10" t="s">
        <v>10</v>
      </c>
    </row>
    <row r="12" spans="1:2" x14ac:dyDescent="0.2">
      <c r="A12" s="13" t="s">
        <v>172</v>
      </c>
      <c r="B12" s="13"/>
    </row>
    <row r="13" spans="1:2" x14ac:dyDescent="0.2">
      <c r="A13" s="14">
        <v>0</v>
      </c>
      <c r="B13" t="s">
        <v>195</v>
      </c>
    </row>
    <row r="14" spans="1:2" x14ac:dyDescent="0.2">
      <c r="A14" s="14">
        <v>1</v>
      </c>
      <c r="B14" t="s">
        <v>181</v>
      </c>
    </row>
    <row r="15" spans="1:2" x14ac:dyDescent="0.2">
      <c r="A15" s="14">
        <v>2</v>
      </c>
      <c r="B15" t="s">
        <v>183</v>
      </c>
    </row>
    <row r="16" spans="1:2" x14ac:dyDescent="0.2">
      <c r="A16" s="14">
        <v>3</v>
      </c>
      <c r="B16" t="s">
        <v>184</v>
      </c>
    </row>
    <row r="17" spans="1:2" x14ac:dyDescent="0.2">
      <c r="A17" s="14">
        <v>4</v>
      </c>
      <c r="B17" t="s">
        <v>196</v>
      </c>
    </row>
    <row r="19" spans="1:2" x14ac:dyDescent="0.2">
      <c r="A19" s="13" t="s">
        <v>173</v>
      </c>
      <c r="B19" s="13"/>
    </row>
    <row r="20" spans="1:2" x14ac:dyDescent="0.2">
      <c r="A20" s="14">
        <v>1</v>
      </c>
      <c r="B20" t="s">
        <v>174</v>
      </c>
    </row>
    <row r="21" spans="1:2" x14ac:dyDescent="0.2">
      <c r="A21" s="14">
        <v>2</v>
      </c>
      <c r="B21" t="s">
        <v>175</v>
      </c>
    </row>
    <row r="22" spans="1:2" x14ac:dyDescent="0.2">
      <c r="A22" s="14">
        <v>3</v>
      </c>
      <c r="B22" t="s">
        <v>191</v>
      </c>
    </row>
    <row r="23" spans="1:2" x14ac:dyDescent="0.2">
      <c r="A23" s="14">
        <v>4</v>
      </c>
      <c r="B23" t="s">
        <v>176</v>
      </c>
    </row>
    <row r="25" spans="1:2" x14ac:dyDescent="0.2">
      <c r="A25" s="13" t="s">
        <v>177</v>
      </c>
      <c r="B25" s="13"/>
    </row>
    <row r="26" spans="1:2" x14ac:dyDescent="0.2">
      <c r="A26" s="14">
        <v>0</v>
      </c>
      <c r="B26" t="s">
        <v>192</v>
      </c>
    </row>
    <row r="27" spans="1:2" x14ac:dyDescent="0.2">
      <c r="A27" s="14">
        <v>5</v>
      </c>
      <c r="B27" t="s">
        <v>193</v>
      </c>
    </row>
    <row r="28" spans="1:2" x14ac:dyDescent="0.2">
      <c r="A28" s="14">
        <v>10</v>
      </c>
      <c r="B28" t="s">
        <v>194</v>
      </c>
    </row>
    <row r="30" spans="1:2" x14ac:dyDescent="0.2">
      <c r="A30" s="13" t="s">
        <v>178</v>
      </c>
      <c r="B30" s="13"/>
    </row>
    <row r="31" spans="1:2" x14ac:dyDescent="0.2">
      <c r="A31" t="s">
        <v>203</v>
      </c>
    </row>
    <row r="32" spans="1:2" x14ac:dyDescent="0.2">
      <c r="A32" s="14">
        <v>0</v>
      </c>
      <c r="B32" t="s">
        <v>201</v>
      </c>
    </row>
    <row r="33" spans="1:2" x14ac:dyDescent="0.2">
      <c r="A33" s="14">
        <v>4</v>
      </c>
      <c r="B33" t="s">
        <v>202</v>
      </c>
    </row>
    <row r="35" spans="1:2" x14ac:dyDescent="0.2">
      <c r="A35" s="13" t="s">
        <v>179</v>
      </c>
      <c r="B35" s="13"/>
    </row>
    <row r="36" spans="1:2" x14ac:dyDescent="0.2">
      <c r="A36" s="14">
        <v>0</v>
      </c>
      <c r="B36" t="s">
        <v>180</v>
      </c>
    </row>
    <row r="37" spans="1:2" x14ac:dyDescent="0.2">
      <c r="A37" s="14">
        <v>1</v>
      </c>
      <c r="B37" t="s">
        <v>181</v>
      </c>
    </row>
    <row r="38" spans="1:2" x14ac:dyDescent="0.2">
      <c r="A38" s="14">
        <v>2</v>
      </c>
      <c r="B38" t="s">
        <v>182</v>
      </c>
    </row>
    <row r="39" spans="1:2" x14ac:dyDescent="0.2">
      <c r="A39" s="14">
        <v>3</v>
      </c>
      <c r="B39" t="s">
        <v>183</v>
      </c>
    </row>
    <row r="40" spans="1:2" x14ac:dyDescent="0.2">
      <c r="A40" s="14">
        <v>4</v>
      </c>
      <c r="B40" t="s">
        <v>184</v>
      </c>
    </row>
    <row r="41" spans="1:2" x14ac:dyDescent="0.2">
      <c r="A41" s="14"/>
    </row>
    <row r="42" spans="1:2" x14ac:dyDescent="0.2">
      <c r="A42" s="15" t="s">
        <v>226</v>
      </c>
      <c r="B42" t="s">
        <v>545</v>
      </c>
    </row>
    <row r="43" spans="1:2" x14ac:dyDescent="0.2">
      <c r="A43" t="s">
        <v>227</v>
      </c>
      <c r="B43" t="s">
        <v>545</v>
      </c>
    </row>
    <row r="44" spans="1:2" x14ac:dyDescent="0.2">
      <c r="A44" s="15" t="s">
        <v>228</v>
      </c>
      <c r="B44" s="15" t="s">
        <v>541</v>
      </c>
    </row>
    <row r="45" spans="1:2" x14ac:dyDescent="0.2">
      <c r="A45" s="15" t="s">
        <v>229</v>
      </c>
      <c r="B45" s="15" t="s">
        <v>542</v>
      </c>
    </row>
    <row r="46" spans="1:2" x14ac:dyDescent="0.2">
      <c r="A46" s="15" t="s">
        <v>230</v>
      </c>
      <c r="B46" s="15" t="s">
        <v>543</v>
      </c>
    </row>
    <row r="47" spans="1:2" x14ac:dyDescent="0.2">
      <c r="A47" s="15" t="s">
        <v>231</v>
      </c>
      <c r="B47" s="15" t="s">
        <v>544</v>
      </c>
    </row>
    <row r="49" spans="1:10" x14ac:dyDescent="0.2">
      <c r="A49" s="16" t="s">
        <v>72</v>
      </c>
    </row>
    <row r="50" spans="1:10" ht="16" x14ac:dyDescent="0.2">
      <c r="A50" s="14">
        <v>1</v>
      </c>
      <c r="B50" t="s">
        <v>185</v>
      </c>
      <c r="H50" s="17"/>
      <c r="I50" s="17"/>
    </row>
    <row r="51" spans="1:10" ht="16" x14ac:dyDescent="0.2">
      <c r="A51" s="14">
        <v>2</v>
      </c>
      <c r="B51" t="s">
        <v>186</v>
      </c>
      <c r="H51" s="17"/>
      <c r="I51" s="17"/>
      <c r="J51" s="17"/>
    </row>
    <row r="52" spans="1:10" ht="16" x14ac:dyDescent="0.2">
      <c r="A52" s="14">
        <v>3</v>
      </c>
      <c r="B52" t="s">
        <v>187</v>
      </c>
      <c r="H52" s="17"/>
      <c r="I52" s="17"/>
      <c r="J52" s="17"/>
    </row>
    <row r="53" spans="1:10" ht="16" x14ac:dyDescent="0.2">
      <c r="A53" s="14">
        <v>4</v>
      </c>
      <c r="B53" t="s">
        <v>188</v>
      </c>
      <c r="H53" s="17"/>
      <c r="I53" s="17"/>
      <c r="J53" s="17"/>
    </row>
    <row r="54" spans="1:10" ht="16" x14ac:dyDescent="0.2">
      <c r="A54" s="14">
        <v>5</v>
      </c>
      <c r="B54" t="s">
        <v>189</v>
      </c>
      <c r="H54" s="17"/>
      <c r="I54" s="17"/>
      <c r="J54" s="17"/>
    </row>
    <row r="55" spans="1:10" ht="16" x14ac:dyDescent="0.2">
      <c r="H55" s="17"/>
      <c r="I55" s="17"/>
      <c r="J55" s="17"/>
    </row>
    <row r="56" spans="1:10" ht="16" x14ac:dyDescent="0.2">
      <c r="A56" s="13" t="s">
        <v>190</v>
      </c>
      <c r="B56" s="13"/>
      <c r="H56" s="17"/>
      <c r="I56" s="17"/>
    </row>
    <row r="57" spans="1:10" x14ac:dyDescent="0.2">
      <c r="A57" s="14">
        <v>0</v>
      </c>
      <c r="B57" t="s">
        <v>2</v>
      </c>
    </row>
    <row r="58" spans="1:10" x14ac:dyDescent="0.2">
      <c r="A58" s="14">
        <v>1</v>
      </c>
      <c r="B58" t="s">
        <v>197</v>
      </c>
    </row>
    <row r="59" spans="1:10" x14ac:dyDescent="0.2">
      <c r="A59" s="14">
        <v>2</v>
      </c>
      <c r="B59" t="s">
        <v>198</v>
      </c>
    </row>
    <row r="60" spans="1:10" x14ac:dyDescent="0.2">
      <c r="A60" s="14">
        <v>3</v>
      </c>
      <c r="B60" t="s">
        <v>199</v>
      </c>
    </row>
    <row r="61" spans="1:10" x14ac:dyDescent="0.2">
      <c r="A61" s="14">
        <v>4</v>
      </c>
      <c r="B61" t="s">
        <v>200</v>
      </c>
    </row>
    <row r="62" spans="1:10" x14ac:dyDescent="0.2">
      <c r="A62" s="14"/>
    </row>
    <row r="63" spans="1:10" x14ac:dyDescent="0.2">
      <c r="A63" t="s">
        <v>207</v>
      </c>
    </row>
    <row r="64" spans="1:10" x14ac:dyDescent="0.2">
      <c r="A64" s="14">
        <v>0</v>
      </c>
      <c r="B64" t="s">
        <v>205</v>
      </c>
    </row>
    <row r="65" spans="1:6" x14ac:dyDescent="0.2">
      <c r="A65" s="14">
        <v>100</v>
      </c>
      <c r="B65" t="s">
        <v>206</v>
      </c>
    </row>
    <row r="66" spans="1:6" x14ac:dyDescent="0.2">
      <c r="A66" s="14"/>
    </row>
    <row r="67" spans="1:6" x14ac:dyDescent="0.2">
      <c r="A67" s="19" t="s">
        <v>208</v>
      </c>
      <c r="B67" s="13"/>
    </row>
    <row r="68" spans="1:6" x14ac:dyDescent="0.2">
      <c r="A68" s="14">
        <v>0</v>
      </c>
      <c r="B68" t="s">
        <v>233</v>
      </c>
    </row>
    <row r="69" spans="1:6" x14ac:dyDescent="0.2">
      <c r="A69" s="14">
        <v>1</v>
      </c>
      <c r="B69" t="s">
        <v>232</v>
      </c>
    </row>
    <row r="70" spans="1:6" x14ac:dyDescent="0.2">
      <c r="A70" s="14">
        <v>2</v>
      </c>
      <c r="B70" t="s">
        <v>234</v>
      </c>
    </row>
    <row r="71" spans="1:6" x14ac:dyDescent="0.2">
      <c r="A71" s="14">
        <v>3</v>
      </c>
      <c r="B71" t="s">
        <v>235</v>
      </c>
    </row>
    <row r="72" spans="1:6" x14ac:dyDescent="0.2">
      <c r="A72" s="14"/>
    </row>
    <row r="73" spans="1:6" x14ac:dyDescent="0.2">
      <c r="A73" s="14" t="s">
        <v>209</v>
      </c>
      <c r="B73" t="s">
        <v>210</v>
      </c>
    </row>
    <row r="74" spans="1:6" x14ac:dyDescent="0.2">
      <c r="A74" t="s">
        <v>211</v>
      </c>
      <c r="B74" t="s">
        <v>215</v>
      </c>
      <c r="F74" t="s">
        <v>214</v>
      </c>
    </row>
    <row r="75" spans="1:6" x14ac:dyDescent="0.2">
      <c r="F75" t="s">
        <v>212</v>
      </c>
    </row>
    <row r="76" spans="1:6" x14ac:dyDescent="0.2">
      <c r="F76" t="s">
        <v>213</v>
      </c>
    </row>
    <row r="77" spans="1:6" x14ac:dyDescent="0.2">
      <c r="F77" t="s">
        <v>216</v>
      </c>
    </row>
    <row r="78" spans="1:6" x14ac:dyDescent="0.2">
      <c r="A78" t="s">
        <v>217</v>
      </c>
      <c r="B78" t="s">
        <v>218</v>
      </c>
    </row>
    <row r="79" spans="1:6" x14ac:dyDescent="0.2">
      <c r="A79" t="s">
        <v>219</v>
      </c>
      <c r="B79" t="s">
        <v>220</v>
      </c>
    </row>
    <row r="80" spans="1:6" x14ac:dyDescent="0.2">
      <c r="A80" t="s">
        <v>242</v>
      </c>
      <c r="B80" t="s">
        <v>221</v>
      </c>
      <c r="F80" t="s">
        <v>222</v>
      </c>
    </row>
    <row r="81" spans="1:6" x14ac:dyDescent="0.2">
      <c r="F81" t="s">
        <v>223</v>
      </c>
    </row>
    <row r="82" spans="1:6" x14ac:dyDescent="0.2">
      <c r="F82" t="s">
        <v>224</v>
      </c>
    </row>
    <row r="83" spans="1:6" x14ac:dyDescent="0.2">
      <c r="F83" t="s">
        <v>225</v>
      </c>
    </row>
    <row r="84" spans="1:6" x14ac:dyDescent="0.2">
      <c r="A84" t="s">
        <v>236</v>
      </c>
      <c r="B84" t="s">
        <v>237</v>
      </c>
      <c r="E84" t="s">
        <v>238</v>
      </c>
    </row>
    <row r="85" spans="1:6" x14ac:dyDescent="0.2">
      <c r="E85" t="s">
        <v>239</v>
      </c>
    </row>
    <row r="86" spans="1:6" x14ac:dyDescent="0.2">
      <c r="E86" t="s">
        <v>240</v>
      </c>
    </row>
    <row r="87" spans="1:6" x14ac:dyDescent="0.2">
      <c r="E87" t="s">
        <v>241</v>
      </c>
    </row>
    <row r="88" spans="1:6" x14ac:dyDescent="0.2">
      <c r="A88" t="s">
        <v>243</v>
      </c>
      <c r="B88" t="s">
        <v>244</v>
      </c>
    </row>
    <row r="90" spans="1:6" x14ac:dyDescent="0.2">
      <c r="A90" s="13" t="s">
        <v>288</v>
      </c>
      <c r="B90" s="13"/>
    </row>
    <row r="91" spans="1:6" x14ac:dyDescent="0.2">
      <c r="A91" s="14">
        <v>1</v>
      </c>
      <c r="B91" t="s">
        <v>290</v>
      </c>
    </row>
    <row r="92" spans="1:6" x14ac:dyDescent="0.2">
      <c r="A92" s="14">
        <v>2</v>
      </c>
      <c r="B92" t="s">
        <v>289</v>
      </c>
    </row>
    <row r="93" spans="1:6" x14ac:dyDescent="0.2">
      <c r="A93" s="14">
        <v>3</v>
      </c>
      <c r="B93" t="s">
        <v>291</v>
      </c>
    </row>
    <row r="94" spans="1:6" x14ac:dyDescent="0.2">
      <c r="A94" s="14">
        <v>4</v>
      </c>
      <c r="B94" t="s">
        <v>292</v>
      </c>
    </row>
    <row r="95" spans="1:6" x14ac:dyDescent="0.2">
      <c r="A95" s="14"/>
    </row>
    <row r="96" spans="1:6" x14ac:dyDescent="0.2">
      <c r="A96" t="s">
        <v>293</v>
      </c>
      <c r="C96" t="s">
        <v>294</v>
      </c>
    </row>
    <row r="97" spans="1:3" x14ac:dyDescent="0.2">
      <c r="A97" t="s">
        <v>295</v>
      </c>
      <c r="C97" t="s">
        <v>296</v>
      </c>
    </row>
    <row r="99" spans="1:3" x14ac:dyDescent="0.2">
      <c r="A99" s="13" t="s">
        <v>245</v>
      </c>
      <c r="B99" s="13"/>
    </row>
    <row r="100" spans="1:3" x14ac:dyDescent="0.2">
      <c r="A100" t="s">
        <v>204</v>
      </c>
    </row>
  </sheetData>
  <pageMargins left="0.7" right="0.7" top="0.75" bottom="0.75" header="0.3" footer="0.3"/>
  <pageSetup paperSize="9" orientation="portrait" r:id="rId1"/>
  <headerFooter>
    <oddFooter>&amp;C_x000D_&amp;1#&amp;"Calibri"&amp;10&amp;K000000 Uso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b0fdb88-34bd-4b4e-bf99-585056a3772e">
      <Terms xmlns="http://schemas.microsoft.com/office/infopath/2007/PartnerControls"/>
    </lcf76f155ced4ddcb4097134ff3c332f>
    <TaxCatchAll xmlns="7a16c577-a93b-40a5-bf5c-15134cbe0a69" xsi:nil="true"/>
    <_Flow_SignoffStatus xmlns="7b0fdb88-34bd-4b4e-bf99-585056a377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72482C5C6D1B4BA1C6AE722AAAF024" ma:contentTypeVersion="22" ma:contentTypeDescription="Create a new document." ma:contentTypeScope="" ma:versionID="7fe88bb1063743770797d55393f917d5">
  <xsd:schema xmlns:xsd="http://www.w3.org/2001/XMLSchema" xmlns:xs="http://www.w3.org/2001/XMLSchema" xmlns:p="http://schemas.microsoft.com/office/2006/metadata/properties" xmlns:ns2="7b0fdb88-34bd-4b4e-bf99-585056a3772e" xmlns:ns3="7a16c577-a93b-40a5-bf5c-15134cbe0a69" targetNamespace="http://schemas.microsoft.com/office/2006/metadata/properties" ma:root="true" ma:fieldsID="740ba585e4140ae0389f9dbbc8c5f92a" ns2:_="" ns3:_="">
    <xsd:import namespace="7b0fdb88-34bd-4b4e-bf99-585056a3772e"/>
    <xsd:import namespace="7a16c577-a93b-40a5-bf5c-15134cbe0a6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_Flow_SignoffStatus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0fdb88-34bd-4b4e-bf99-585056a377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_Flow_SignoffStatus" ma:index="21" nillable="true" ma:displayName="Estado de aprobación" ma:internalName="Estado_x0020_de_x0020_aprobaci_x00f3_n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98a9b8c0-fdda-4cb7-bd0c-5a0455a9375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16c577-a93b-40a5-bf5c-15134cbe0a6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a0a0e28-ea83-4665-ab8a-212968dd975d}" ma:internalName="TaxCatchAll" ma:showField="CatchAllData" ma:web="7a16c577-a93b-40a5-bf5c-15134cbe0a6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470506B-21AB-4214-BFF7-8FDC3DEAE8A2}">
  <ds:schemaRefs>
    <ds:schemaRef ds:uri="http://schemas.microsoft.com/office/2006/documentManagement/types"/>
    <ds:schemaRef ds:uri="http://purl.org/dc/elements/1.1/"/>
    <ds:schemaRef ds:uri="http://purl.org/dc/terms/"/>
    <ds:schemaRef ds:uri="7b0fdb88-34bd-4b4e-bf99-585056a3772e"/>
    <ds:schemaRef ds:uri="http://www.w3.org/XML/1998/namespace"/>
    <ds:schemaRef ds:uri="7a16c577-a93b-40a5-bf5c-15134cbe0a69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2D8CE4D-2811-46FB-AB3F-141005991B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BF2062-4C17-465D-897F-A54FE1F7C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0fdb88-34bd-4b4e-bf99-585056a3772e"/>
    <ds:schemaRef ds:uri="7a16c577-a93b-40a5-bf5c-15134cbe0a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72f45ba-d6f2-428d-9d97-636dd18080d7}" enabled="1" method="Privileged" siteId="{028226e0-99ea-4fab-9d1b-daa440c9e28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CIRS</vt:lpstr>
      <vt:lpstr>FALLS EFFICACY SCALE (FES)</vt:lpstr>
      <vt:lpstr>BARTHEL INDEX OF ADL (BI)</vt:lpstr>
      <vt:lpstr>Berg balance test</vt:lpstr>
      <vt:lpstr>MDS-UPDRS-1</vt:lpstr>
      <vt:lpstr>MDS-UPDRS-2</vt:lpstr>
      <vt:lpstr>MDS-UPDRS-3</vt:lpstr>
      <vt:lpstr>MDS-UPDRS-4</vt:lpstr>
      <vt:lpstr>EURO QoL 5D</vt:lpstr>
      <vt:lpstr>Pittsburg Sleep Quality Index</vt:lpstr>
      <vt:lpstr>State Trai Anxiety Inventory</vt:lpstr>
      <vt:lpstr>ITEM_CODES</vt:lpstr>
      <vt:lpstr>Legend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CNSTV-RS-EC-D2</dc:creator>
  <cp:keywords/>
  <dc:description/>
  <cp:lastModifiedBy>Pedro Sánchez</cp:lastModifiedBy>
  <cp:revision/>
  <dcterms:created xsi:type="dcterms:W3CDTF">2022-05-05T08:21:15Z</dcterms:created>
  <dcterms:modified xsi:type="dcterms:W3CDTF">2026-03-12T08:44:38Z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0x0101006B72482C5C6D1B4BA1C6AE722AAAF024</vt:lpwstr>
  </property>
  <property fmtid="{D5CDD505-2E9C-101B-9397-08002B2CF9AE}" pid="3" name="MediaServiceImageTags">
    <vt:lpwstr/>
  </property>
</Properties>
</file>